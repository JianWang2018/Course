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5" yWindow="-15" windowWidth="7680" windowHeight="8970" tabRatio="530"/>
  </bookViews>
  <sheets>
    <sheet name="Input" sheetId="25" r:id="rId1"/>
    <sheet name="Asset" sheetId="14" r:id="rId2"/>
    <sheet name="Halton Sequences" sheetId="26" r:id="rId3"/>
    <sheet name="Mort Tables" sheetId="16" r:id="rId4"/>
    <sheet name="Hurdle Rate Simulation" sheetId="27" r:id="rId5"/>
  </sheets>
  <functionGroups/>
  <externalReferences>
    <externalReference r:id="rId6"/>
  </externalReferences>
  <definedNames>
    <definedName name="_Day1">#REF!</definedName>
    <definedName name="_Day2">#REF!</definedName>
    <definedName name="_Day3">#REF!</definedName>
    <definedName name="_gam94">'Mort Tables'!#REF!</definedName>
    <definedName name="age">Input!$B$3</definedName>
    <definedName name="assetmort">#REF!</definedName>
    <definedName name="BackPmt">#REF!</definedName>
    <definedName name="baseyear" localSheetId="3">'Mort Tables'!#REF!</definedName>
    <definedName name="baseyear">'[1]Mort Tables'!$A$5:$B$5</definedName>
    <definedName name="CCINT" localSheetId="3">'[1]Projected Mort'!#REF!</definedName>
    <definedName name="CCINT">#REF!</definedName>
    <definedName name="ccrates">#REF!</definedName>
    <definedName name="ChinaMort1993">'Mort Tables'!$A$7:$G$112</definedName>
    <definedName name="COL_MON">#REF!</definedName>
    <definedName name="Dben">Input!$B$7</definedName>
    <definedName name="femalep">#REF!</definedName>
    <definedName name="femaleq">#REF!</definedName>
    <definedName name="FPINT" localSheetId="3">'[1]Projected Mort'!#REF!</definedName>
    <definedName name="FPINT">#REF!</definedName>
    <definedName name="fprates">#REF!</definedName>
    <definedName name="Gender">Input!$B$4</definedName>
    <definedName name="H_rate">Input!$B$5</definedName>
    <definedName name="LostPmts">#REF!</definedName>
    <definedName name="malep">#REF!</definedName>
    <definedName name="Mode">#REF!</definedName>
    <definedName name="month1">#REF!</definedName>
    <definedName name="month2">#REF!</definedName>
    <definedName name="month3">#REF!</definedName>
    <definedName name="mortbasetable">'Mort Tables'!#REF!</definedName>
    <definedName name="p">#REF!</definedName>
    <definedName name="Prem">Input!$B$6</definedName>
    <definedName name="_xlnm.Print_Area" localSheetId="3">'Mort Tables'!#REF!</definedName>
    <definedName name="_xlnm.Print_Titles" localSheetId="3">'Mort Tables'!$1:$7</definedName>
    <definedName name="resmort">#REF!</definedName>
    <definedName name="Resv">#REF!</definedName>
    <definedName name="scalefacts">#REF!</definedName>
    <definedName name="Year1">#REF!</definedName>
    <definedName name="Year2">#REF!</definedName>
    <definedName name="Year3">#REF!</definedName>
  </definedNames>
  <calcPr calcId="125725" calcMode="autoNoTable"/>
</workbook>
</file>

<file path=xl/calcChain.xml><?xml version="1.0" encoding="utf-8"?>
<calcChain xmlns="http://schemas.openxmlformats.org/spreadsheetml/2006/main">
  <c r="V17" i="14"/>
  <c r="V18"/>
  <c r="V19" s="1"/>
  <c r="V16"/>
  <c r="S1" i="27"/>
  <c r="T1"/>
  <c r="U1"/>
  <c r="V1"/>
  <c r="W1"/>
  <c r="X1"/>
  <c r="Y1"/>
  <c r="Z1"/>
  <c r="AA1"/>
  <c r="AB1"/>
  <c r="R1"/>
  <c r="S3"/>
  <c r="T3"/>
  <c r="U3"/>
  <c r="V3"/>
  <c r="W3"/>
  <c r="X3"/>
  <c r="Y3"/>
  <c r="Z3"/>
  <c r="AA3"/>
  <c r="AB3"/>
  <c r="S4"/>
  <c r="T4"/>
  <c r="U4"/>
  <c r="V4" s="1"/>
  <c r="W4" s="1"/>
  <c r="X4" s="1"/>
  <c r="Y4" s="1"/>
  <c r="Z4" s="1"/>
  <c r="AA4" s="1"/>
  <c r="AB4" s="1"/>
  <c r="S5"/>
  <c r="T5"/>
  <c r="U5"/>
  <c r="V5"/>
  <c r="W5"/>
  <c r="X5"/>
  <c r="Y5"/>
  <c r="Z5"/>
  <c r="AA5"/>
  <c r="AB5"/>
  <c r="S6"/>
  <c r="T6"/>
  <c r="U6"/>
  <c r="V6"/>
  <c r="W6"/>
  <c r="X6"/>
  <c r="Y6"/>
  <c r="Z6"/>
  <c r="AA6"/>
  <c r="AB6"/>
  <c r="S7"/>
  <c r="T7"/>
  <c r="U7"/>
  <c r="V7"/>
  <c r="W7"/>
  <c r="X7"/>
  <c r="Y7"/>
  <c r="Z7"/>
  <c r="AA7"/>
  <c r="AB7"/>
  <c r="S8"/>
  <c r="T8"/>
  <c r="U8"/>
  <c r="V8"/>
  <c r="W8"/>
  <c r="X8"/>
  <c r="Y8"/>
  <c r="Z8"/>
  <c r="AA8"/>
  <c r="AB8"/>
  <c r="S9"/>
  <c r="T9"/>
  <c r="U9"/>
  <c r="V9" s="1"/>
  <c r="W9" s="1"/>
  <c r="X9" s="1"/>
  <c r="Y9" s="1"/>
  <c r="Z9" s="1"/>
  <c r="AA9" s="1"/>
  <c r="AB9" s="1"/>
  <c r="S10"/>
  <c r="T10" s="1"/>
  <c r="U10" s="1"/>
  <c r="V10" s="1"/>
  <c r="W10" s="1"/>
  <c r="X10" s="1"/>
  <c r="Y10" s="1"/>
  <c r="Z10" s="1"/>
  <c r="AA10" s="1"/>
  <c r="AB10" s="1"/>
  <c r="S11"/>
  <c r="T11" s="1"/>
  <c r="U11" s="1"/>
  <c r="V11" s="1"/>
  <c r="W11" s="1"/>
  <c r="X11" s="1"/>
  <c r="Y11" s="1"/>
  <c r="Z11" s="1"/>
  <c r="AA11" s="1"/>
  <c r="AB11" s="1"/>
  <c r="S12"/>
  <c r="T12" s="1"/>
  <c r="U12" s="1"/>
  <c r="V12" s="1"/>
  <c r="W12" s="1"/>
  <c r="X12" s="1"/>
  <c r="Y12" s="1"/>
  <c r="Z12" s="1"/>
  <c r="AA12" s="1"/>
  <c r="AB12" s="1"/>
  <c r="S13"/>
  <c r="T13" s="1"/>
  <c r="U13" s="1"/>
  <c r="V13" s="1"/>
  <c r="W13" s="1"/>
  <c r="X13" s="1"/>
  <c r="Y13" s="1"/>
  <c r="Z13" s="1"/>
  <c r="AA13" s="1"/>
  <c r="AB13" s="1"/>
  <c r="S14"/>
  <c r="T14" s="1"/>
  <c r="U14" s="1"/>
  <c r="V14" s="1"/>
  <c r="W14" s="1"/>
  <c r="X14" s="1"/>
  <c r="Y14" s="1"/>
  <c r="Z14" s="1"/>
  <c r="AA14" s="1"/>
  <c r="AB14" s="1"/>
  <c r="S15"/>
  <c r="T15" s="1"/>
  <c r="U15" s="1"/>
  <c r="V15" s="1"/>
  <c r="W15" s="1"/>
  <c r="X15" s="1"/>
  <c r="Y15" s="1"/>
  <c r="Z15" s="1"/>
  <c r="AA15" s="1"/>
  <c r="AB15" s="1"/>
  <c r="S16"/>
  <c r="T16" s="1"/>
  <c r="U16" s="1"/>
  <c r="V16" s="1"/>
  <c r="W16" s="1"/>
  <c r="X16" s="1"/>
  <c r="Y16" s="1"/>
  <c r="Z16" s="1"/>
  <c r="AA16" s="1"/>
  <c r="AB16" s="1"/>
  <c r="S17"/>
  <c r="T17" s="1"/>
  <c r="U17" s="1"/>
  <c r="V17" s="1"/>
  <c r="W17" s="1"/>
  <c r="X17" s="1"/>
  <c r="Y17" s="1"/>
  <c r="Z17" s="1"/>
  <c r="AA17" s="1"/>
  <c r="AB17" s="1"/>
  <c r="S18"/>
  <c r="T18" s="1"/>
  <c r="U18" s="1"/>
  <c r="V18" s="1"/>
  <c r="W18" s="1"/>
  <c r="X18" s="1"/>
  <c r="Y18" s="1"/>
  <c r="Z18" s="1"/>
  <c r="AA18" s="1"/>
  <c r="AB18" s="1"/>
  <c r="S19"/>
  <c r="T19" s="1"/>
  <c r="U19" s="1"/>
  <c r="V19" s="1"/>
  <c r="W19" s="1"/>
  <c r="X19" s="1"/>
  <c r="Y19" s="1"/>
  <c r="Z19" s="1"/>
  <c r="AA19" s="1"/>
  <c r="AB19" s="1"/>
  <c r="S20"/>
  <c r="T20" s="1"/>
  <c r="U20" s="1"/>
  <c r="V20" s="1"/>
  <c r="W20" s="1"/>
  <c r="X20" s="1"/>
  <c r="Y20" s="1"/>
  <c r="Z20" s="1"/>
  <c r="AA20" s="1"/>
  <c r="AB20" s="1"/>
  <c r="S21"/>
  <c r="T21" s="1"/>
  <c r="U21" s="1"/>
  <c r="V21" s="1"/>
  <c r="W21" s="1"/>
  <c r="X21" s="1"/>
  <c r="Y21" s="1"/>
  <c r="Z21" s="1"/>
  <c r="AA21" s="1"/>
  <c r="AB21" s="1"/>
  <c r="S22"/>
  <c r="T22" s="1"/>
  <c r="U22" s="1"/>
  <c r="V22" s="1"/>
  <c r="W22" s="1"/>
  <c r="X22" s="1"/>
  <c r="Y22" s="1"/>
  <c r="Z22" s="1"/>
  <c r="AA22" s="1"/>
  <c r="AB22" s="1"/>
  <c r="S23"/>
  <c r="T23" s="1"/>
  <c r="U23" s="1"/>
  <c r="V23" s="1"/>
  <c r="W23" s="1"/>
  <c r="X23" s="1"/>
  <c r="Y23" s="1"/>
  <c r="Z23" s="1"/>
  <c r="AA23" s="1"/>
  <c r="AB23" s="1"/>
  <c r="S24"/>
  <c r="T24" s="1"/>
  <c r="U24" s="1"/>
  <c r="V24" s="1"/>
  <c r="W24" s="1"/>
  <c r="X24" s="1"/>
  <c r="Y24" s="1"/>
  <c r="Z24" s="1"/>
  <c r="AA24" s="1"/>
  <c r="AB24" s="1"/>
  <c r="S25"/>
  <c r="T25" s="1"/>
  <c r="U25" s="1"/>
  <c r="V25" s="1"/>
  <c r="W25" s="1"/>
  <c r="X25" s="1"/>
  <c r="Y25" s="1"/>
  <c r="Z25" s="1"/>
  <c r="AA25" s="1"/>
  <c r="AB25" s="1"/>
  <c r="S26"/>
  <c r="T26" s="1"/>
  <c r="U26" s="1"/>
  <c r="V26" s="1"/>
  <c r="W26" s="1"/>
  <c r="X26" s="1"/>
  <c r="Y26" s="1"/>
  <c r="Z26" s="1"/>
  <c r="AA26" s="1"/>
  <c r="AB26" s="1"/>
  <c r="S27"/>
  <c r="T27" s="1"/>
  <c r="U27" s="1"/>
  <c r="V27" s="1"/>
  <c r="W27" s="1"/>
  <c r="X27" s="1"/>
  <c r="Y27" s="1"/>
  <c r="Z27" s="1"/>
  <c r="AA27" s="1"/>
  <c r="AB27" s="1"/>
  <c r="S28"/>
  <c r="T28" s="1"/>
  <c r="U28" s="1"/>
  <c r="V28" s="1"/>
  <c r="W28" s="1"/>
  <c r="X28" s="1"/>
  <c r="Y28" s="1"/>
  <c r="Z28" s="1"/>
  <c r="AA28" s="1"/>
  <c r="AB28" s="1"/>
  <c r="S29"/>
  <c r="T29" s="1"/>
  <c r="U29" s="1"/>
  <c r="V29" s="1"/>
  <c r="W29" s="1"/>
  <c r="X29" s="1"/>
  <c r="Y29" s="1"/>
  <c r="Z29" s="1"/>
  <c r="AA29" s="1"/>
  <c r="AB29" s="1"/>
  <c r="S30"/>
  <c r="T30" s="1"/>
  <c r="U30" s="1"/>
  <c r="V30" s="1"/>
  <c r="W30" s="1"/>
  <c r="X30" s="1"/>
  <c r="Y30" s="1"/>
  <c r="Z30" s="1"/>
  <c r="AA30" s="1"/>
  <c r="AB30" s="1"/>
  <c r="S31"/>
  <c r="T31" s="1"/>
  <c r="U31" s="1"/>
  <c r="V31" s="1"/>
  <c r="W31" s="1"/>
  <c r="X31" s="1"/>
  <c r="Y31" s="1"/>
  <c r="Z31" s="1"/>
  <c r="AA31" s="1"/>
  <c r="AB31" s="1"/>
  <c r="S32"/>
  <c r="T32" s="1"/>
  <c r="U32" s="1"/>
  <c r="V32" s="1"/>
  <c r="W32" s="1"/>
  <c r="X32" s="1"/>
  <c r="Y32" s="1"/>
  <c r="Z32" s="1"/>
  <c r="AA32" s="1"/>
  <c r="AB32" s="1"/>
  <c r="S33"/>
  <c r="T33" s="1"/>
  <c r="U33" s="1"/>
  <c r="V33" s="1"/>
  <c r="W33" s="1"/>
  <c r="X33" s="1"/>
  <c r="Y33" s="1"/>
  <c r="Z33" s="1"/>
  <c r="AA33" s="1"/>
  <c r="AB33" s="1"/>
  <c r="S34"/>
  <c r="T34" s="1"/>
  <c r="U34" s="1"/>
  <c r="V34" s="1"/>
  <c r="W34" s="1"/>
  <c r="X34" s="1"/>
  <c r="Y34" s="1"/>
  <c r="Z34" s="1"/>
  <c r="AA34" s="1"/>
  <c r="AB34" s="1"/>
  <c r="S35"/>
  <c r="T35" s="1"/>
  <c r="U35" s="1"/>
  <c r="V35" s="1"/>
  <c r="W35" s="1"/>
  <c r="X35" s="1"/>
  <c r="Y35" s="1"/>
  <c r="Z35" s="1"/>
  <c r="AA35" s="1"/>
  <c r="AB35" s="1"/>
  <c r="S36"/>
  <c r="T36" s="1"/>
  <c r="U36" s="1"/>
  <c r="V36" s="1"/>
  <c r="W36" s="1"/>
  <c r="X36" s="1"/>
  <c r="Y36" s="1"/>
  <c r="Z36" s="1"/>
  <c r="AA36" s="1"/>
  <c r="AB36" s="1"/>
  <c r="S37"/>
  <c r="T37" s="1"/>
  <c r="U37" s="1"/>
  <c r="V37" s="1"/>
  <c r="W37" s="1"/>
  <c r="X37" s="1"/>
  <c r="Y37" s="1"/>
  <c r="Z37" s="1"/>
  <c r="AA37" s="1"/>
  <c r="AB37" s="1"/>
  <c r="S38"/>
  <c r="T38" s="1"/>
  <c r="U38" s="1"/>
  <c r="V38" s="1"/>
  <c r="W38" s="1"/>
  <c r="X38" s="1"/>
  <c r="Y38" s="1"/>
  <c r="Z38" s="1"/>
  <c r="AA38" s="1"/>
  <c r="AB38" s="1"/>
  <c r="S39"/>
  <c r="T39" s="1"/>
  <c r="U39" s="1"/>
  <c r="V39" s="1"/>
  <c r="W39" s="1"/>
  <c r="X39" s="1"/>
  <c r="Y39" s="1"/>
  <c r="Z39" s="1"/>
  <c r="AA39" s="1"/>
  <c r="AB39" s="1"/>
  <c r="S40"/>
  <c r="T40" s="1"/>
  <c r="U40" s="1"/>
  <c r="V40" s="1"/>
  <c r="W40" s="1"/>
  <c r="X40" s="1"/>
  <c r="Y40" s="1"/>
  <c r="Z40" s="1"/>
  <c r="AA40" s="1"/>
  <c r="AB40" s="1"/>
  <c r="S41"/>
  <c r="T41" s="1"/>
  <c r="U41" s="1"/>
  <c r="V41" s="1"/>
  <c r="W41" s="1"/>
  <c r="X41" s="1"/>
  <c r="Y41" s="1"/>
  <c r="Z41" s="1"/>
  <c r="AA41" s="1"/>
  <c r="AB41" s="1"/>
  <c r="S42"/>
  <c r="T42" s="1"/>
  <c r="U42" s="1"/>
  <c r="V42" s="1"/>
  <c r="W42" s="1"/>
  <c r="X42" s="1"/>
  <c r="Y42" s="1"/>
  <c r="Z42" s="1"/>
  <c r="AA42" s="1"/>
  <c r="AB42" s="1"/>
  <c r="S43"/>
  <c r="T43" s="1"/>
  <c r="U43" s="1"/>
  <c r="V43" s="1"/>
  <c r="W43" s="1"/>
  <c r="X43" s="1"/>
  <c r="Y43" s="1"/>
  <c r="Z43" s="1"/>
  <c r="AA43" s="1"/>
  <c r="AB43" s="1"/>
  <c r="S44"/>
  <c r="T44" s="1"/>
  <c r="U44" s="1"/>
  <c r="V44" s="1"/>
  <c r="W44" s="1"/>
  <c r="X44" s="1"/>
  <c r="Y44" s="1"/>
  <c r="Z44" s="1"/>
  <c r="AA44" s="1"/>
  <c r="AB44" s="1"/>
  <c r="S45"/>
  <c r="T45" s="1"/>
  <c r="U45" s="1"/>
  <c r="V45" s="1"/>
  <c r="W45" s="1"/>
  <c r="X45" s="1"/>
  <c r="Y45" s="1"/>
  <c r="Z45" s="1"/>
  <c r="AA45" s="1"/>
  <c r="AB45" s="1"/>
  <c r="S46"/>
  <c r="T46" s="1"/>
  <c r="U46" s="1"/>
  <c r="V46" s="1"/>
  <c r="W46" s="1"/>
  <c r="X46" s="1"/>
  <c r="Y46" s="1"/>
  <c r="Z46" s="1"/>
  <c r="AA46" s="1"/>
  <c r="AB46" s="1"/>
  <c r="S47"/>
  <c r="T47" s="1"/>
  <c r="U47" s="1"/>
  <c r="V47" s="1"/>
  <c r="W47" s="1"/>
  <c r="X47" s="1"/>
  <c r="Y47" s="1"/>
  <c r="Z47" s="1"/>
  <c r="AA47" s="1"/>
  <c r="AB47" s="1"/>
  <c r="S48"/>
  <c r="T48" s="1"/>
  <c r="U48"/>
  <c r="V48" s="1"/>
  <c r="W48" s="1"/>
  <c r="X48" s="1"/>
  <c r="Y48" s="1"/>
  <c r="Z48" s="1"/>
  <c r="AA48" s="1"/>
  <c r="AB48" s="1"/>
  <c r="S49"/>
  <c r="T49" s="1"/>
  <c r="U49" s="1"/>
  <c r="V49" s="1"/>
  <c r="W49" s="1"/>
  <c r="X49" s="1"/>
  <c r="Y49" s="1"/>
  <c r="Z49" s="1"/>
  <c r="AA49" s="1"/>
  <c r="AB49" s="1"/>
  <c r="S50"/>
  <c r="T50" s="1"/>
  <c r="U50"/>
  <c r="V50" s="1"/>
  <c r="W50" s="1"/>
  <c r="X50" s="1"/>
  <c r="Y50" s="1"/>
  <c r="Z50" s="1"/>
  <c r="AA50" s="1"/>
  <c r="AB50" s="1"/>
  <c r="S51"/>
  <c r="T51" s="1"/>
  <c r="U51" s="1"/>
  <c r="V51" s="1"/>
  <c r="W51" s="1"/>
  <c r="X51" s="1"/>
  <c r="Y51" s="1"/>
  <c r="Z51" s="1"/>
  <c r="AA51" s="1"/>
  <c r="AB51" s="1"/>
  <c r="S52"/>
  <c r="T52" s="1"/>
  <c r="U52"/>
  <c r="V52" s="1"/>
  <c r="W52" s="1"/>
  <c r="X52" s="1"/>
  <c r="Y52" s="1"/>
  <c r="Z52" s="1"/>
  <c r="AA52" s="1"/>
  <c r="AB52" s="1"/>
  <c r="S53"/>
  <c r="T53" s="1"/>
  <c r="U53" s="1"/>
  <c r="V53" s="1"/>
  <c r="W53" s="1"/>
  <c r="X53" s="1"/>
  <c r="Y53" s="1"/>
  <c r="Z53" s="1"/>
  <c r="AA53" s="1"/>
  <c r="AB53" s="1"/>
  <c r="S54"/>
  <c r="T54" s="1"/>
  <c r="U54"/>
  <c r="V54" s="1"/>
  <c r="W54" s="1"/>
  <c r="X54" s="1"/>
  <c r="Y54" s="1"/>
  <c r="Z54" s="1"/>
  <c r="AA54" s="1"/>
  <c r="AB54" s="1"/>
  <c r="S55"/>
  <c r="T55" s="1"/>
  <c r="U55" s="1"/>
  <c r="V55" s="1"/>
  <c r="W55" s="1"/>
  <c r="X55" s="1"/>
  <c r="Y55" s="1"/>
  <c r="Z55" s="1"/>
  <c r="AA55" s="1"/>
  <c r="AB55" s="1"/>
  <c r="S56"/>
  <c r="T56" s="1"/>
  <c r="U56"/>
  <c r="V56" s="1"/>
  <c r="W56" s="1"/>
  <c r="X56" s="1"/>
  <c r="Y56" s="1"/>
  <c r="Z56" s="1"/>
  <c r="AA56" s="1"/>
  <c r="AB56" s="1"/>
  <c r="S57"/>
  <c r="T57" s="1"/>
  <c r="U57" s="1"/>
  <c r="V57" s="1"/>
  <c r="W57" s="1"/>
  <c r="X57" s="1"/>
  <c r="Y57" s="1"/>
  <c r="Z57" s="1"/>
  <c r="AA57" s="1"/>
  <c r="AB57" s="1"/>
  <c r="S58"/>
  <c r="T58" s="1"/>
  <c r="U58"/>
  <c r="V58" s="1"/>
  <c r="W58" s="1"/>
  <c r="X58" s="1"/>
  <c r="Y58" s="1"/>
  <c r="Z58" s="1"/>
  <c r="AA58" s="1"/>
  <c r="AB58" s="1"/>
  <c r="S59"/>
  <c r="T59" s="1"/>
  <c r="U59" s="1"/>
  <c r="V59" s="1"/>
  <c r="W59" s="1"/>
  <c r="X59" s="1"/>
  <c r="Y59" s="1"/>
  <c r="Z59" s="1"/>
  <c r="AA59" s="1"/>
  <c r="AB59" s="1"/>
  <c r="S60"/>
  <c r="T60"/>
  <c r="U60" s="1"/>
  <c r="V60" s="1"/>
  <c r="W60" s="1"/>
  <c r="X60" s="1"/>
  <c r="Y60" s="1"/>
  <c r="Z60" s="1"/>
  <c r="AA60" s="1"/>
  <c r="AB60" s="1"/>
  <c r="S61"/>
  <c r="T61"/>
  <c r="U61" s="1"/>
  <c r="V61" s="1"/>
  <c r="W61" s="1"/>
  <c r="X61" s="1"/>
  <c r="Y61" s="1"/>
  <c r="Z61" s="1"/>
  <c r="AA61" s="1"/>
  <c r="AB61" s="1"/>
  <c r="S62"/>
  <c r="T62"/>
  <c r="U62" s="1"/>
  <c r="V62" s="1"/>
  <c r="W62" s="1"/>
  <c r="X62" s="1"/>
  <c r="Y62" s="1"/>
  <c r="Z62" s="1"/>
  <c r="AA62" s="1"/>
  <c r="AB62" s="1"/>
  <c r="S63"/>
  <c r="T63"/>
  <c r="U63" s="1"/>
  <c r="V63" s="1"/>
  <c r="W63" s="1"/>
  <c r="X63" s="1"/>
  <c r="Y63" s="1"/>
  <c r="Z63" s="1"/>
  <c r="AA63" s="1"/>
  <c r="AB63" s="1"/>
  <c r="S64"/>
  <c r="T64"/>
  <c r="U64" s="1"/>
  <c r="V64" s="1"/>
  <c r="W64" s="1"/>
  <c r="X64" s="1"/>
  <c r="Y64" s="1"/>
  <c r="Z64" s="1"/>
  <c r="AA64" s="1"/>
  <c r="AB64" s="1"/>
  <c r="S65"/>
  <c r="T65"/>
  <c r="U65" s="1"/>
  <c r="V65" s="1"/>
  <c r="W65" s="1"/>
  <c r="X65" s="1"/>
  <c r="Y65" s="1"/>
  <c r="Z65" s="1"/>
  <c r="AA65" s="1"/>
  <c r="AB65" s="1"/>
  <c r="S66"/>
  <c r="T66"/>
  <c r="U66" s="1"/>
  <c r="V66" s="1"/>
  <c r="W66" s="1"/>
  <c r="X66" s="1"/>
  <c r="Y66" s="1"/>
  <c r="Z66" s="1"/>
  <c r="AA66" s="1"/>
  <c r="AB66" s="1"/>
  <c r="S67"/>
  <c r="T67"/>
  <c r="U67" s="1"/>
  <c r="V67" s="1"/>
  <c r="W67" s="1"/>
  <c r="X67" s="1"/>
  <c r="Y67" s="1"/>
  <c r="Z67" s="1"/>
  <c r="AA67" s="1"/>
  <c r="AB67" s="1"/>
  <c r="S68"/>
  <c r="T68"/>
  <c r="U68" s="1"/>
  <c r="V68" s="1"/>
  <c r="W68" s="1"/>
  <c r="X68" s="1"/>
  <c r="Y68" s="1"/>
  <c r="Z68" s="1"/>
  <c r="AA68" s="1"/>
  <c r="AB68" s="1"/>
  <c r="S69"/>
  <c r="T69"/>
  <c r="U69" s="1"/>
  <c r="V69" s="1"/>
  <c r="W69" s="1"/>
  <c r="X69" s="1"/>
  <c r="Y69" s="1"/>
  <c r="Z69" s="1"/>
  <c r="AA69" s="1"/>
  <c r="AB69" s="1"/>
  <c r="S70"/>
  <c r="T70"/>
  <c r="U70" s="1"/>
  <c r="V70" s="1"/>
  <c r="W70" s="1"/>
  <c r="X70" s="1"/>
  <c r="Y70" s="1"/>
  <c r="Z70" s="1"/>
  <c r="AA70" s="1"/>
  <c r="AB70" s="1"/>
  <c r="S71"/>
  <c r="T71"/>
  <c r="U71" s="1"/>
  <c r="V71" s="1"/>
  <c r="W71" s="1"/>
  <c r="X71" s="1"/>
  <c r="Y71" s="1"/>
  <c r="Z71" s="1"/>
  <c r="AA71" s="1"/>
  <c r="AB71" s="1"/>
  <c r="S72"/>
  <c r="T72"/>
  <c r="U72" s="1"/>
  <c r="V72" s="1"/>
  <c r="W72" s="1"/>
  <c r="X72" s="1"/>
  <c r="Y72" s="1"/>
  <c r="Z72" s="1"/>
  <c r="AA72" s="1"/>
  <c r="AB72" s="1"/>
  <c r="S73"/>
  <c r="T73"/>
  <c r="U73" s="1"/>
  <c r="V73" s="1"/>
  <c r="W73" s="1"/>
  <c r="X73" s="1"/>
  <c r="Y73" s="1"/>
  <c r="Z73" s="1"/>
  <c r="AA73" s="1"/>
  <c r="AB73" s="1"/>
  <c r="S74"/>
  <c r="T74"/>
  <c r="U74" s="1"/>
  <c r="V74" s="1"/>
  <c r="W74" s="1"/>
  <c r="X74" s="1"/>
  <c r="Y74" s="1"/>
  <c r="Z74" s="1"/>
  <c r="AA74" s="1"/>
  <c r="AB74" s="1"/>
  <c r="S75"/>
  <c r="T75"/>
  <c r="U75" s="1"/>
  <c r="V75" s="1"/>
  <c r="W75" s="1"/>
  <c r="X75" s="1"/>
  <c r="Y75" s="1"/>
  <c r="Z75" s="1"/>
  <c r="AA75" s="1"/>
  <c r="AB75" s="1"/>
  <c r="S76"/>
  <c r="T76"/>
  <c r="U76" s="1"/>
  <c r="V76" s="1"/>
  <c r="W76" s="1"/>
  <c r="X76" s="1"/>
  <c r="Y76" s="1"/>
  <c r="Z76" s="1"/>
  <c r="AA76" s="1"/>
  <c r="AB76" s="1"/>
  <c r="S77"/>
  <c r="T77"/>
  <c r="U77" s="1"/>
  <c r="V77" s="1"/>
  <c r="W77" s="1"/>
  <c r="X77" s="1"/>
  <c r="Y77" s="1"/>
  <c r="Z77" s="1"/>
  <c r="AA77" s="1"/>
  <c r="AB77" s="1"/>
  <c r="S78"/>
  <c r="T78"/>
  <c r="U78" s="1"/>
  <c r="V78" s="1"/>
  <c r="W78" s="1"/>
  <c r="X78" s="1"/>
  <c r="Y78" s="1"/>
  <c r="Z78" s="1"/>
  <c r="AA78" s="1"/>
  <c r="AB78" s="1"/>
  <c r="S79"/>
  <c r="T79"/>
  <c r="U79" s="1"/>
  <c r="V79" s="1"/>
  <c r="W79" s="1"/>
  <c r="X79" s="1"/>
  <c r="Y79" s="1"/>
  <c r="Z79" s="1"/>
  <c r="AA79" s="1"/>
  <c r="AB79" s="1"/>
  <c r="S80"/>
  <c r="T80"/>
  <c r="U80" s="1"/>
  <c r="V80" s="1"/>
  <c r="W80" s="1"/>
  <c r="X80" s="1"/>
  <c r="Y80" s="1"/>
  <c r="Z80" s="1"/>
  <c r="AA80" s="1"/>
  <c r="AB80" s="1"/>
  <c r="S81"/>
  <c r="T81"/>
  <c r="U81" s="1"/>
  <c r="V81" s="1"/>
  <c r="W81" s="1"/>
  <c r="X81" s="1"/>
  <c r="Y81" s="1"/>
  <c r="Z81" s="1"/>
  <c r="AA81" s="1"/>
  <c r="AB81" s="1"/>
  <c r="S82"/>
  <c r="T82"/>
  <c r="U82" s="1"/>
  <c r="V82" s="1"/>
  <c r="W82" s="1"/>
  <c r="X82" s="1"/>
  <c r="Y82" s="1"/>
  <c r="Z82" s="1"/>
  <c r="AA82" s="1"/>
  <c r="AB82" s="1"/>
  <c r="S83"/>
  <c r="T83"/>
  <c r="U83" s="1"/>
  <c r="V83" s="1"/>
  <c r="W83" s="1"/>
  <c r="X83" s="1"/>
  <c r="Y83" s="1"/>
  <c r="Z83" s="1"/>
  <c r="AA83" s="1"/>
  <c r="AB83" s="1"/>
  <c r="S84"/>
  <c r="T84"/>
  <c r="U84" s="1"/>
  <c r="V84" s="1"/>
  <c r="W84" s="1"/>
  <c r="X84" s="1"/>
  <c r="Y84" s="1"/>
  <c r="Z84" s="1"/>
  <c r="AA84" s="1"/>
  <c r="AB84" s="1"/>
  <c r="S85"/>
  <c r="T85"/>
  <c r="U85" s="1"/>
  <c r="V85" s="1"/>
  <c r="W85" s="1"/>
  <c r="X85" s="1"/>
  <c r="Y85" s="1"/>
  <c r="Z85" s="1"/>
  <c r="AA85" s="1"/>
  <c r="AB85" s="1"/>
  <c r="S86"/>
  <c r="T86"/>
  <c r="U86" s="1"/>
  <c r="V86" s="1"/>
  <c r="W86" s="1"/>
  <c r="X86" s="1"/>
  <c r="Y86" s="1"/>
  <c r="Z86" s="1"/>
  <c r="AA86" s="1"/>
  <c r="AB86" s="1"/>
  <c r="S87"/>
  <c r="T87"/>
  <c r="U87" s="1"/>
  <c r="V87" s="1"/>
  <c r="W87" s="1"/>
  <c r="X87" s="1"/>
  <c r="Y87" s="1"/>
  <c r="Z87" s="1"/>
  <c r="AA87" s="1"/>
  <c r="AB87" s="1"/>
  <c r="S88"/>
  <c r="T88"/>
  <c r="U88" s="1"/>
  <c r="V88" s="1"/>
  <c r="W88" s="1"/>
  <c r="X88" s="1"/>
  <c r="Y88" s="1"/>
  <c r="Z88" s="1"/>
  <c r="AA88" s="1"/>
  <c r="AB88" s="1"/>
  <c r="S89"/>
  <c r="T89"/>
  <c r="U89" s="1"/>
  <c r="V89" s="1"/>
  <c r="W89" s="1"/>
  <c r="X89" s="1"/>
  <c r="Y89" s="1"/>
  <c r="Z89" s="1"/>
  <c r="AA89" s="1"/>
  <c r="AB89" s="1"/>
  <c r="S90"/>
  <c r="T90"/>
  <c r="U90" s="1"/>
  <c r="V90"/>
  <c r="W90" s="1"/>
  <c r="X90" s="1"/>
  <c r="Y90" s="1"/>
  <c r="Z90" s="1"/>
  <c r="AA90" s="1"/>
  <c r="AB90" s="1"/>
  <c r="S91"/>
  <c r="T91"/>
  <c r="U91" s="1"/>
  <c r="V91"/>
  <c r="W91" s="1"/>
  <c r="X91" s="1"/>
  <c r="Y91" s="1"/>
  <c r="Z91" s="1"/>
  <c r="AA91" s="1"/>
  <c r="AB91" s="1"/>
  <c r="S92"/>
  <c r="T92"/>
  <c r="U92" s="1"/>
  <c r="V92"/>
  <c r="W92" s="1"/>
  <c r="X92" s="1"/>
  <c r="Y92" s="1"/>
  <c r="Z92" s="1"/>
  <c r="AA92" s="1"/>
  <c r="AB92" s="1"/>
  <c r="S93"/>
  <c r="T93"/>
  <c r="U93" s="1"/>
  <c r="V93"/>
  <c r="W93" s="1"/>
  <c r="X93" s="1"/>
  <c r="Y93" s="1"/>
  <c r="Z93" s="1"/>
  <c r="AA93" s="1"/>
  <c r="AB93" s="1"/>
  <c r="S94"/>
  <c r="T94"/>
  <c r="U94" s="1"/>
  <c r="V94"/>
  <c r="W94" s="1"/>
  <c r="X94" s="1"/>
  <c r="Y94" s="1"/>
  <c r="Z94" s="1"/>
  <c r="AA94" s="1"/>
  <c r="AB94" s="1"/>
  <c r="S95"/>
  <c r="T95"/>
  <c r="U95" s="1"/>
  <c r="V95"/>
  <c r="W95" s="1"/>
  <c r="X95" s="1"/>
  <c r="Y95" s="1"/>
  <c r="Z95" s="1"/>
  <c r="AA95" s="1"/>
  <c r="AB95" s="1"/>
  <c r="S96"/>
  <c r="T96"/>
  <c r="U96" s="1"/>
  <c r="V96"/>
  <c r="W96" s="1"/>
  <c r="X96" s="1"/>
  <c r="Y96" s="1"/>
  <c r="Z96" s="1"/>
  <c r="AA96" s="1"/>
  <c r="AB96" s="1"/>
  <c r="S97"/>
  <c r="T97"/>
  <c r="U97" s="1"/>
  <c r="V97"/>
  <c r="W97" s="1"/>
  <c r="X97" s="1"/>
  <c r="Y97" s="1"/>
  <c r="Z97" s="1"/>
  <c r="AA97" s="1"/>
  <c r="AB97" s="1"/>
  <c r="S98"/>
  <c r="T98"/>
  <c r="U98" s="1"/>
  <c r="V98"/>
  <c r="W98" s="1"/>
  <c r="X98" s="1"/>
  <c r="Y98" s="1"/>
  <c r="Z98" s="1"/>
  <c r="AA98" s="1"/>
  <c r="AB98" s="1"/>
  <c r="S99"/>
  <c r="T99"/>
  <c r="U99" s="1"/>
  <c r="V99"/>
  <c r="W99" s="1"/>
  <c r="X99" s="1"/>
  <c r="Y99" s="1"/>
  <c r="Z99" s="1"/>
  <c r="AA99" s="1"/>
  <c r="AB99" s="1"/>
  <c r="S100"/>
  <c r="T100"/>
  <c r="U100" s="1"/>
  <c r="V100"/>
  <c r="W100" s="1"/>
  <c r="X100" s="1"/>
  <c r="Y100" s="1"/>
  <c r="Z100" s="1"/>
  <c r="AA100" s="1"/>
  <c r="AB100" s="1"/>
  <c r="S101"/>
  <c r="T101"/>
  <c r="U101" s="1"/>
  <c r="V101"/>
  <c r="W101" s="1"/>
  <c r="X101" s="1"/>
  <c r="Y101" s="1"/>
  <c r="Z101" s="1"/>
  <c r="AA101" s="1"/>
  <c r="AB101" s="1"/>
  <c r="S102"/>
  <c r="T102"/>
  <c r="U102" s="1"/>
  <c r="V102"/>
  <c r="W102" s="1"/>
  <c r="X102" s="1"/>
  <c r="Y102" s="1"/>
  <c r="Z102" s="1"/>
  <c r="AA102" s="1"/>
  <c r="AB102" s="1"/>
  <c r="S103"/>
  <c r="T103"/>
  <c r="U103" s="1"/>
  <c r="V103"/>
  <c r="W103" s="1"/>
  <c r="X103" s="1"/>
  <c r="Y103" s="1"/>
  <c r="Z103" s="1"/>
  <c r="AA103" s="1"/>
  <c r="AB103" s="1"/>
  <c r="S104"/>
  <c r="T104"/>
  <c r="U104" s="1"/>
  <c r="V104"/>
  <c r="W104" s="1"/>
  <c r="X104" s="1"/>
  <c r="Y104" s="1"/>
  <c r="Z104" s="1"/>
  <c r="AA104" s="1"/>
  <c r="AB104" s="1"/>
  <c r="S105"/>
  <c r="T105"/>
  <c r="U105" s="1"/>
  <c r="V105"/>
  <c r="W105" s="1"/>
  <c r="X105" s="1"/>
  <c r="Y105" s="1"/>
  <c r="Z105" s="1"/>
  <c r="AA105" s="1"/>
  <c r="AB105" s="1"/>
  <c r="S106"/>
  <c r="T106"/>
  <c r="U106" s="1"/>
  <c r="V106"/>
  <c r="W106" s="1"/>
  <c r="X106" s="1"/>
  <c r="Y106" s="1"/>
  <c r="Z106" s="1"/>
  <c r="AA106" s="1"/>
  <c r="AB106" s="1"/>
  <c r="S107"/>
  <c r="T107"/>
  <c r="U107" s="1"/>
  <c r="V107"/>
  <c r="W107" s="1"/>
  <c r="X107" s="1"/>
  <c r="Y107" s="1"/>
  <c r="Z107" s="1"/>
  <c r="AA107" s="1"/>
  <c r="AB107" s="1"/>
  <c r="S108"/>
  <c r="T108"/>
  <c r="U108" s="1"/>
  <c r="V108"/>
  <c r="W108" s="1"/>
  <c r="X108" s="1"/>
  <c r="Y108" s="1"/>
  <c r="Z108" s="1"/>
  <c r="AA108" s="1"/>
  <c r="AB108" s="1"/>
  <c r="S109"/>
  <c r="T109"/>
  <c r="U109" s="1"/>
  <c r="V109"/>
  <c r="W109" s="1"/>
  <c r="X109" s="1"/>
  <c r="Y109" s="1"/>
  <c r="Z109" s="1"/>
  <c r="AA109" s="1"/>
  <c r="AB109" s="1"/>
  <c r="S110"/>
  <c r="T110"/>
  <c r="U110" s="1"/>
  <c r="V110"/>
  <c r="W110" s="1"/>
  <c r="X110" s="1"/>
  <c r="Y110" s="1"/>
  <c r="Z110" s="1"/>
  <c r="AA110" s="1"/>
  <c r="AB110" s="1"/>
  <c r="S111"/>
  <c r="T111"/>
  <c r="U111" s="1"/>
  <c r="V111"/>
  <c r="W111" s="1"/>
  <c r="X111" s="1"/>
  <c r="Y111" s="1"/>
  <c r="Z111" s="1"/>
  <c r="AA111" s="1"/>
  <c r="AB111" s="1"/>
  <c r="S112"/>
  <c r="T112"/>
  <c r="U112" s="1"/>
  <c r="V112"/>
  <c r="W112" s="1"/>
  <c r="X112" s="1"/>
  <c r="Y112" s="1"/>
  <c r="Z112" s="1"/>
  <c r="AA112" s="1"/>
  <c r="AB112" s="1"/>
  <c r="S113"/>
  <c r="T113"/>
  <c r="U113" s="1"/>
  <c r="V113"/>
  <c r="W113" s="1"/>
  <c r="X113" s="1"/>
  <c r="Y113" s="1"/>
  <c r="Z113" s="1"/>
  <c r="AA113" s="1"/>
  <c r="AB113" s="1"/>
  <c r="S114"/>
  <c r="T114"/>
  <c r="U114" s="1"/>
  <c r="V114"/>
  <c r="W114" s="1"/>
  <c r="X114" s="1"/>
  <c r="Y114" s="1"/>
  <c r="Z114" s="1"/>
  <c r="AA114" s="1"/>
  <c r="AB114" s="1"/>
  <c r="S115"/>
  <c r="T115"/>
  <c r="U115" s="1"/>
  <c r="V115"/>
  <c r="W115" s="1"/>
  <c r="X115" s="1"/>
  <c r="Y115" s="1"/>
  <c r="Z115" s="1"/>
  <c r="AA115" s="1"/>
  <c r="AB115" s="1"/>
  <c r="S116"/>
  <c r="T116"/>
  <c r="U116" s="1"/>
  <c r="V116"/>
  <c r="W116" s="1"/>
  <c r="X116" s="1"/>
  <c r="Y116" s="1"/>
  <c r="Z116" s="1"/>
  <c r="AA116" s="1"/>
  <c r="AB116" s="1"/>
  <c r="S117"/>
  <c r="T117"/>
  <c r="U117" s="1"/>
  <c r="V117"/>
  <c r="W117" s="1"/>
  <c r="X117" s="1"/>
  <c r="Y117" s="1"/>
  <c r="Z117" s="1"/>
  <c r="AA117" s="1"/>
  <c r="AB117" s="1"/>
  <c r="S118"/>
  <c r="T118"/>
  <c r="U118" s="1"/>
  <c r="V118" s="1"/>
  <c r="W118" s="1"/>
  <c r="X118" s="1"/>
  <c r="Y118" s="1"/>
  <c r="Z118" s="1"/>
  <c r="AA118" s="1"/>
  <c r="AB118" s="1"/>
  <c r="S119"/>
  <c r="T119"/>
  <c r="U119" s="1"/>
  <c r="V119" s="1"/>
  <c r="W119" s="1"/>
  <c r="X119" s="1"/>
  <c r="Y119" s="1"/>
  <c r="Z119" s="1"/>
  <c r="AA119" s="1"/>
  <c r="AB119" s="1"/>
  <c r="S120"/>
  <c r="T120"/>
  <c r="U120" s="1"/>
  <c r="V120" s="1"/>
  <c r="W120" s="1"/>
  <c r="X120" s="1"/>
  <c r="Y120" s="1"/>
  <c r="Z120" s="1"/>
  <c r="AA120" s="1"/>
  <c r="AB120" s="1"/>
  <c r="S121"/>
  <c r="T121"/>
  <c r="U121" s="1"/>
  <c r="V121" s="1"/>
  <c r="W121" s="1"/>
  <c r="X121" s="1"/>
  <c r="Y121" s="1"/>
  <c r="Z121" s="1"/>
  <c r="AA121" s="1"/>
  <c r="AB121" s="1"/>
  <c r="S122"/>
  <c r="T122"/>
  <c r="U122" s="1"/>
  <c r="V122" s="1"/>
  <c r="W122" s="1"/>
  <c r="X122" s="1"/>
  <c r="Y122" s="1"/>
  <c r="Z122" s="1"/>
  <c r="AA122" s="1"/>
  <c r="AB122" s="1"/>
  <c r="S123"/>
  <c r="T123"/>
  <c r="U123" s="1"/>
  <c r="V123" s="1"/>
  <c r="W123" s="1"/>
  <c r="X123" s="1"/>
  <c r="Y123" s="1"/>
  <c r="Z123" s="1"/>
  <c r="AA123" s="1"/>
  <c r="AB123" s="1"/>
  <c r="S124"/>
  <c r="T124"/>
  <c r="U124" s="1"/>
  <c r="V124" s="1"/>
  <c r="W124" s="1"/>
  <c r="X124" s="1"/>
  <c r="Y124" s="1"/>
  <c r="Z124" s="1"/>
  <c r="AA124" s="1"/>
  <c r="AB124" s="1"/>
  <c r="S125"/>
  <c r="T125"/>
  <c r="U125" s="1"/>
  <c r="V125" s="1"/>
  <c r="W125" s="1"/>
  <c r="X125" s="1"/>
  <c r="Y125" s="1"/>
  <c r="Z125" s="1"/>
  <c r="AA125" s="1"/>
  <c r="AB125" s="1"/>
  <c r="S126"/>
  <c r="T126"/>
  <c r="U126" s="1"/>
  <c r="V126" s="1"/>
  <c r="W126" s="1"/>
  <c r="X126" s="1"/>
  <c r="Y126" s="1"/>
  <c r="Z126" s="1"/>
  <c r="AA126" s="1"/>
  <c r="AB126" s="1"/>
  <c r="S127"/>
  <c r="T127"/>
  <c r="U127" s="1"/>
  <c r="V127" s="1"/>
  <c r="W127" s="1"/>
  <c r="X127" s="1"/>
  <c r="Y127" s="1"/>
  <c r="Z127" s="1"/>
  <c r="AA127" s="1"/>
  <c r="AB127" s="1"/>
  <c r="S128"/>
  <c r="T128"/>
  <c r="U128" s="1"/>
  <c r="V128" s="1"/>
  <c r="W128" s="1"/>
  <c r="X128" s="1"/>
  <c r="Y128" s="1"/>
  <c r="Z128" s="1"/>
  <c r="AA128" s="1"/>
  <c r="AB128" s="1"/>
  <c r="S129"/>
  <c r="T129"/>
  <c r="U129" s="1"/>
  <c r="V129" s="1"/>
  <c r="W129" s="1"/>
  <c r="X129" s="1"/>
  <c r="Y129" s="1"/>
  <c r="Z129" s="1"/>
  <c r="AA129" s="1"/>
  <c r="AB129" s="1"/>
  <c r="S130"/>
  <c r="T130"/>
  <c r="U130" s="1"/>
  <c r="V130" s="1"/>
  <c r="W130" s="1"/>
  <c r="X130" s="1"/>
  <c r="Y130" s="1"/>
  <c r="Z130" s="1"/>
  <c r="AA130" s="1"/>
  <c r="AB130" s="1"/>
  <c r="S131"/>
  <c r="T131"/>
  <c r="U131" s="1"/>
  <c r="V131" s="1"/>
  <c r="W131" s="1"/>
  <c r="X131" s="1"/>
  <c r="Y131" s="1"/>
  <c r="Z131" s="1"/>
  <c r="AA131" s="1"/>
  <c r="AB131" s="1"/>
  <c r="S132"/>
  <c r="T132"/>
  <c r="U132" s="1"/>
  <c r="V132" s="1"/>
  <c r="W132" s="1"/>
  <c r="X132" s="1"/>
  <c r="Y132" s="1"/>
  <c r="Z132" s="1"/>
  <c r="AA132" s="1"/>
  <c r="AB132" s="1"/>
  <c r="S133"/>
  <c r="T133"/>
  <c r="U133" s="1"/>
  <c r="V133" s="1"/>
  <c r="W133" s="1"/>
  <c r="X133" s="1"/>
  <c r="Y133" s="1"/>
  <c r="Z133" s="1"/>
  <c r="AA133" s="1"/>
  <c r="AB133" s="1"/>
  <c r="S134"/>
  <c r="T134"/>
  <c r="U134" s="1"/>
  <c r="V134" s="1"/>
  <c r="W134" s="1"/>
  <c r="X134" s="1"/>
  <c r="Y134" s="1"/>
  <c r="Z134" s="1"/>
  <c r="AA134" s="1"/>
  <c r="AB134" s="1"/>
  <c r="S135"/>
  <c r="T135"/>
  <c r="U135" s="1"/>
  <c r="V135" s="1"/>
  <c r="W135" s="1"/>
  <c r="X135" s="1"/>
  <c r="Y135" s="1"/>
  <c r="Z135" s="1"/>
  <c r="AA135" s="1"/>
  <c r="AB135" s="1"/>
  <c r="S136"/>
  <c r="T136"/>
  <c r="U136" s="1"/>
  <c r="V136" s="1"/>
  <c r="W136" s="1"/>
  <c r="X136" s="1"/>
  <c r="Y136" s="1"/>
  <c r="Z136" s="1"/>
  <c r="AA136" s="1"/>
  <c r="AB136" s="1"/>
  <c r="S137"/>
  <c r="T137"/>
  <c r="U137" s="1"/>
  <c r="V137" s="1"/>
  <c r="W137" s="1"/>
  <c r="X137" s="1"/>
  <c r="Y137" s="1"/>
  <c r="Z137" s="1"/>
  <c r="AA137" s="1"/>
  <c r="AB137" s="1"/>
  <c r="S138"/>
  <c r="T138"/>
  <c r="U138" s="1"/>
  <c r="V138" s="1"/>
  <c r="W138" s="1"/>
  <c r="X138" s="1"/>
  <c r="Y138" s="1"/>
  <c r="Z138" s="1"/>
  <c r="AA138" s="1"/>
  <c r="AB138" s="1"/>
  <c r="S139"/>
  <c r="T139"/>
  <c r="U139" s="1"/>
  <c r="V139" s="1"/>
  <c r="W139" s="1"/>
  <c r="X139" s="1"/>
  <c r="Y139" s="1"/>
  <c r="Z139" s="1"/>
  <c r="AA139" s="1"/>
  <c r="AB139" s="1"/>
  <c r="S140"/>
  <c r="T140"/>
  <c r="U140" s="1"/>
  <c r="V140" s="1"/>
  <c r="W140" s="1"/>
  <c r="X140" s="1"/>
  <c r="Y140" s="1"/>
  <c r="Z140" s="1"/>
  <c r="AA140" s="1"/>
  <c r="AB140" s="1"/>
  <c r="S141"/>
  <c r="T141"/>
  <c r="U141" s="1"/>
  <c r="V141" s="1"/>
  <c r="W141" s="1"/>
  <c r="X141" s="1"/>
  <c r="Y141" s="1"/>
  <c r="Z141" s="1"/>
  <c r="AA141" s="1"/>
  <c r="AB141" s="1"/>
  <c r="S142"/>
  <c r="T142"/>
  <c r="U142" s="1"/>
  <c r="V142" s="1"/>
  <c r="W142" s="1"/>
  <c r="X142" s="1"/>
  <c r="Y142" s="1"/>
  <c r="Z142" s="1"/>
  <c r="AA142" s="1"/>
  <c r="AB142" s="1"/>
  <c r="S143"/>
  <c r="T143"/>
  <c r="U143" s="1"/>
  <c r="V143" s="1"/>
  <c r="W143" s="1"/>
  <c r="X143" s="1"/>
  <c r="Y143" s="1"/>
  <c r="Z143" s="1"/>
  <c r="AA143" s="1"/>
  <c r="AB143" s="1"/>
  <c r="S144"/>
  <c r="T144"/>
  <c r="U144" s="1"/>
  <c r="V144" s="1"/>
  <c r="W144" s="1"/>
  <c r="X144" s="1"/>
  <c r="Y144" s="1"/>
  <c r="Z144" s="1"/>
  <c r="AA144" s="1"/>
  <c r="AB144" s="1"/>
  <c r="S145"/>
  <c r="T145"/>
  <c r="U145" s="1"/>
  <c r="V145" s="1"/>
  <c r="W145" s="1"/>
  <c r="X145" s="1"/>
  <c r="Y145" s="1"/>
  <c r="Z145" s="1"/>
  <c r="AA145" s="1"/>
  <c r="AB145" s="1"/>
  <c r="S146"/>
  <c r="T146"/>
  <c r="U146" s="1"/>
  <c r="V146" s="1"/>
  <c r="W146" s="1"/>
  <c r="X146" s="1"/>
  <c r="Y146" s="1"/>
  <c r="Z146" s="1"/>
  <c r="AA146" s="1"/>
  <c r="AB146" s="1"/>
  <c r="S147"/>
  <c r="T147"/>
  <c r="U147" s="1"/>
  <c r="V147" s="1"/>
  <c r="W147" s="1"/>
  <c r="X147" s="1"/>
  <c r="Y147" s="1"/>
  <c r="Z147" s="1"/>
  <c r="AA147" s="1"/>
  <c r="AB147" s="1"/>
  <c r="S148"/>
  <c r="T148"/>
  <c r="U148" s="1"/>
  <c r="V148" s="1"/>
  <c r="W148" s="1"/>
  <c r="X148" s="1"/>
  <c r="Y148" s="1"/>
  <c r="Z148" s="1"/>
  <c r="AA148" s="1"/>
  <c r="AB148" s="1"/>
  <c r="S149"/>
  <c r="T149"/>
  <c r="U149" s="1"/>
  <c r="V149" s="1"/>
  <c r="W149" s="1"/>
  <c r="X149" s="1"/>
  <c r="Y149" s="1"/>
  <c r="Z149" s="1"/>
  <c r="AA149" s="1"/>
  <c r="AB149" s="1"/>
  <c r="S150"/>
  <c r="T150"/>
  <c r="U150" s="1"/>
  <c r="V150" s="1"/>
  <c r="W150" s="1"/>
  <c r="X150" s="1"/>
  <c r="Y150" s="1"/>
  <c r="Z150" s="1"/>
  <c r="AA150" s="1"/>
  <c r="AB150" s="1"/>
  <c r="S151"/>
  <c r="T151"/>
  <c r="U151" s="1"/>
  <c r="V151" s="1"/>
  <c r="W151" s="1"/>
  <c r="X151" s="1"/>
  <c r="Y151" s="1"/>
  <c r="Z151" s="1"/>
  <c r="AA151" s="1"/>
  <c r="AB151" s="1"/>
  <c r="S152"/>
  <c r="T152"/>
  <c r="U152" s="1"/>
  <c r="V152" s="1"/>
  <c r="W152" s="1"/>
  <c r="X152" s="1"/>
  <c r="Y152" s="1"/>
  <c r="Z152" s="1"/>
  <c r="AA152" s="1"/>
  <c r="AB152" s="1"/>
  <c r="S153"/>
  <c r="T153"/>
  <c r="U153" s="1"/>
  <c r="V153" s="1"/>
  <c r="W153" s="1"/>
  <c r="X153" s="1"/>
  <c r="Y153" s="1"/>
  <c r="Z153" s="1"/>
  <c r="AA153" s="1"/>
  <c r="AB153" s="1"/>
  <c r="S154"/>
  <c r="T154"/>
  <c r="U154" s="1"/>
  <c r="V154" s="1"/>
  <c r="W154" s="1"/>
  <c r="X154" s="1"/>
  <c r="Y154" s="1"/>
  <c r="Z154" s="1"/>
  <c r="AA154" s="1"/>
  <c r="AB154" s="1"/>
  <c r="S155"/>
  <c r="T155"/>
  <c r="U155" s="1"/>
  <c r="V155" s="1"/>
  <c r="W155" s="1"/>
  <c r="X155" s="1"/>
  <c r="Y155" s="1"/>
  <c r="Z155" s="1"/>
  <c r="AA155" s="1"/>
  <c r="AB155" s="1"/>
  <c r="S156"/>
  <c r="T156"/>
  <c r="U156" s="1"/>
  <c r="V156" s="1"/>
  <c r="W156" s="1"/>
  <c r="X156" s="1"/>
  <c r="Y156" s="1"/>
  <c r="Z156" s="1"/>
  <c r="AA156" s="1"/>
  <c r="AB156" s="1"/>
  <c r="S157"/>
  <c r="T157"/>
  <c r="U157" s="1"/>
  <c r="V157" s="1"/>
  <c r="W157" s="1"/>
  <c r="X157" s="1"/>
  <c r="Y157" s="1"/>
  <c r="Z157" s="1"/>
  <c r="AA157" s="1"/>
  <c r="AB157" s="1"/>
  <c r="S158"/>
  <c r="T158"/>
  <c r="U158" s="1"/>
  <c r="V158" s="1"/>
  <c r="W158" s="1"/>
  <c r="X158" s="1"/>
  <c r="Y158" s="1"/>
  <c r="Z158" s="1"/>
  <c r="AA158" s="1"/>
  <c r="AB158" s="1"/>
  <c r="S159"/>
  <c r="T159"/>
  <c r="U159" s="1"/>
  <c r="V159" s="1"/>
  <c r="W159" s="1"/>
  <c r="X159" s="1"/>
  <c r="Y159" s="1"/>
  <c r="Z159" s="1"/>
  <c r="AA159" s="1"/>
  <c r="AB159" s="1"/>
  <c r="S160"/>
  <c r="T160"/>
  <c r="U160" s="1"/>
  <c r="V160" s="1"/>
  <c r="W160" s="1"/>
  <c r="X160" s="1"/>
  <c r="Y160" s="1"/>
  <c r="Z160" s="1"/>
  <c r="AA160" s="1"/>
  <c r="AB160" s="1"/>
  <c r="S161"/>
  <c r="T161"/>
  <c r="U161" s="1"/>
  <c r="V161" s="1"/>
  <c r="W161" s="1"/>
  <c r="X161" s="1"/>
  <c r="Y161" s="1"/>
  <c r="Z161" s="1"/>
  <c r="AA161" s="1"/>
  <c r="AB161" s="1"/>
  <c r="S162"/>
  <c r="T162"/>
  <c r="U162" s="1"/>
  <c r="V162" s="1"/>
  <c r="W162" s="1"/>
  <c r="X162" s="1"/>
  <c r="Y162" s="1"/>
  <c r="Z162" s="1"/>
  <c r="AA162" s="1"/>
  <c r="AB162" s="1"/>
  <c r="S163"/>
  <c r="T163"/>
  <c r="U163" s="1"/>
  <c r="V163" s="1"/>
  <c r="W163" s="1"/>
  <c r="X163" s="1"/>
  <c r="Y163" s="1"/>
  <c r="Z163" s="1"/>
  <c r="AA163" s="1"/>
  <c r="AB163" s="1"/>
  <c r="S164"/>
  <c r="T164"/>
  <c r="U164" s="1"/>
  <c r="V164" s="1"/>
  <c r="W164" s="1"/>
  <c r="X164" s="1"/>
  <c r="Y164" s="1"/>
  <c r="Z164" s="1"/>
  <c r="AA164" s="1"/>
  <c r="AB164" s="1"/>
  <c r="S165"/>
  <c r="T165"/>
  <c r="U165" s="1"/>
  <c r="V165" s="1"/>
  <c r="W165" s="1"/>
  <c r="X165" s="1"/>
  <c r="Y165" s="1"/>
  <c r="Z165" s="1"/>
  <c r="AA165" s="1"/>
  <c r="AB165" s="1"/>
  <c r="S166"/>
  <c r="T166"/>
  <c r="U166" s="1"/>
  <c r="V166" s="1"/>
  <c r="W166" s="1"/>
  <c r="X166" s="1"/>
  <c r="Y166" s="1"/>
  <c r="Z166" s="1"/>
  <c r="AA166" s="1"/>
  <c r="AB166" s="1"/>
  <c r="S167"/>
  <c r="T167"/>
  <c r="U167" s="1"/>
  <c r="V167" s="1"/>
  <c r="W167" s="1"/>
  <c r="X167" s="1"/>
  <c r="Y167" s="1"/>
  <c r="Z167" s="1"/>
  <c r="AA167" s="1"/>
  <c r="AB167" s="1"/>
  <c r="S168"/>
  <c r="T168"/>
  <c r="U168" s="1"/>
  <c r="V168" s="1"/>
  <c r="W168" s="1"/>
  <c r="X168" s="1"/>
  <c r="Y168" s="1"/>
  <c r="Z168" s="1"/>
  <c r="AA168" s="1"/>
  <c r="AB168" s="1"/>
  <c r="S169"/>
  <c r="T169"/>
  <c r="U169" s="1"/>
  <c r="V169" s="1"/>
  <c r="W169" s="1"/>
  <c r="X169" s="1"/>
  <c r="Y169" s="1"/>
  <c r="Z169" s="1"/>
  <c r="AA169" s="1"/>
  <c r="AB169" s="1"/>
  <c r="S170"/>
  <c r="T170"/>
  <c r="U170" s="1"/>
  <c r="V170" s="1"/>
  <c r="W170" s="1"/>
  <c r="X170" s="1"/>
  <c r="Y170" s="1"/>
  <c r="Z170" s="1"/>
  <c r="AA170" s="1"/>
  <c r="AB170" s="1"/>
  <c r="S171"/>
  <c r="T171"/>
  <c r="U171" s="1"/>
  <c r="V171" s="1"/>
  <c r="W171" s="1"/>
  <c r="X171" s="1"/>
  <c r="Y171" s="1"/>
  <c r="Z171" s="1"/>
  <c r="AA171" s="1"/>
  <c r="AB171" s="1"/>
  <c r="S172"/>
  <c r="T172"/>
  <c r="U172" s="1"/>
  <c r="V172" s="1"/>
  <c r="W172" s="1"/>
  <c r="X172" s="1"/>
  <c r="Y172" s="1"/>
  <c r="Z172" s="1"/>
  <c r="AA172" s="1"/>
  <c r="AB172" s="1"/>
  <c r="S173"/>
  <c r="T173"/>
  <c r="U173" s="1"/>
  <c r="V173" s="1"/>
  <c r="W173" s="1"/>
  <c r="X173" s="1"/>
  <c r="Y173" s="1"/>
  <c r="Z173" s="1"/>
  <c r="AA173" s="1"/>
  <c r="AB173" s="1"/>
  <c r="S174"/>
  <c r="T174"/>
  <c r="U174" s="1"/>
  <c r="V174" s="1"/>
  <c r="W174" s="1"/>
  <c r="X174" s="1"/>
  <c r="Y174" s="1"/>
  <c r="Z174" s="1"/>
  <c r="AA174" s="1"/>
  <c r="AB174" s="1"/>
  <c r="S175"/>
  <c r="T175"/>
  <c r="U175" s="1"/>
  <c r="V175" s="1"/>
  <c r="W175" s="1"/>
  <c r="X175" s="1"/>
  <c r="Y175" s="1"/>
  <c r="Z175" s="1"/>
  <c r="AA175" s="1"/>
  <c r="AB175" s="1"/>
  <c r="S176"/>
  <c r="T176"/>
  <c r="U176" s="1"/>
  <c r="V176" s="1"/>
  <c r="W176" s="1"/>
  <c r="X176" s="1"/>
  <c r="Y176" s="1"/>
  <c r="Z176" s="1"/>
  <c r="AA176" s="1"/>
  <c r="AB176" s="1"/>
  <c r="S177"/>
  <c r="T177"/>
  <c r="U177" s="1"/>
  <c r="V177" s="1"/>
  <c r="W177" s="1"/>
  <c r="X177" s="1"/>
  <c r="Y177" s="1"/>
  <c r="Z177" s="1"/>
  <c r="AA177" s="1"/>
  <c r="AB177" s="1"/>
  <c r="S178"/>
  <c r="T178"/>
  <c r="U178" s="1"/>
  <c r="V178" s="1"/>
  <c r="W178" s="1"/>
  <c r="X178" s="1"/>
  <c r="Y178" s="1"/>
  <c r="Z178" s="1"/>
  <c r="AA178" s="1"/>
  <c r="AB178" s="1"/>
  <c r="S179"/>
  <c r="T179"/>
  <c r="U179" s="1"/>
  <c r="V179" s="1"/>
  <c r="W179" s="1"/>
  <c r="X179" s="1"/>
  <c r="Y179" s="1"/>
  <c r="Z179" s="1"/>
  <c r="AA179" s="1"/>
  <c r="AB179" s="1"/>
  <c r="S180"/>
  <c r="T180"/>
  <c r="U180" s="1"/>
  <c r="V180" s="1"/>
  <c r="W180" s="1"/>
  <c r="X180" s="1"/>
  <c r="Y180" s="1"/>
  <c r="Z180" s="1"/>
  <c r="AA180" s="1"/>
  <c r="AB180" s="1"/>
  <c r="S181"/>
  <c r="T181"/>
  <c r="U181" s="1"/>
  <c r="V181" s="1"/>
  <c r="W181" s="1"/>
  <c r="X181" s="1"/>
  <c r="Y181" s="1"/>
  <c r="Z181" s="1"/>
  <c r="AA181" s="1"/>
  <c r="AB181" s="1"/>
  <c r="S182"/>
  <c r="T182"/>
  <c r="U182" s="1"/>
  <c r="V182" s="1"/>
  <c r="W182" s="1"/>
  <c r="X182" s="1"/>
  <c r="Y182" s="1"/>
  <c r="Z182" s="1"/>
  <c r="AA182" s="1"/>
  <c r="AB182" s="1"/>
  <c r="S183"/>
  <c r="T183"/>
  <c r="U183" s="1"/>
  <c r="V183" s="1"/>
  <c r="W183" s="1"/>
  <c r="X183" s="1"/>
  <c r="Y183" s="1"/>
  <c r="Z183" s="1"/>
  <c r="AA183" s="1"/>
  <c r="AB183" s="1"/>
  <c r="S184"/>
  <c r="T184"/>
  <c r="U184" s="1"/>
  <c r="V184" s="1"/>
  <c r="W184" s="1"/>
  <c r="X184" s="1"/>
  <c r="Y184" s="1"/>
  <c r="Z184" s="1"/>
  <c r="AA184" s="1"/>
  <c r="AB184" s="1"/>
  <c r="S185"/>
  <c r="T185"/>
  <c r="U185" s="1"/>
  <c r="V185" s="1"/>
  <c r="W185" s="1"/>
  <c r="X185" s="1"/>
  <c r="Y185" s="1"/>
  <c r="Z185" s="1"/>
  <c r="AA185" s="1"/>
  <c r="AB185" s="1"/>
  <c r="S186"/>
  <c r="T186"/>
  <c r="U186" s="1"/>
  <c r="V186" s="1"/>
  <c r="W186" s="1"/>
  <c r="X186" s="1"/>
  <c r="Y186" s="1"/>
  <c r="Z186" s="1"/>
  <c r="AA186" s="1"/>
  <c r="AB186" s="1"/>
  <c r="S187"/>
  <c r="T187"/>
  <c r="U187" s="1"/>
  <c r="V187" s="1"/>
  <c r="W187" s="1"/>
  <c r="X187" s="1"/>
  <c r="Y187" s="1"/>
  <c r="Z187" s="1"/>
  <c r="AA187" s="1"/>
  <c r="AB187" s="1"/>
  <c r="S188"/>
  <c r="T188"/>
  <c r="U188" s="1"/>
  <c r="V188" s="1"/>
  <c r="W188" s="1"/>
  <c r="X188" s="1"/>
  <c r="Y188" s="1"/>
  <c r="Z188" s="1"/>
  <c r="AA188" s="1"/>
  <c r="AB188" s="1"/>
  <c r="S189"/>
  <c r="T189"/>
  <c r="U189" s="1"/>
  <c r="V189" s="1"/>
  <c r="W189" s="1"/>
  <c r="X189" s="1"/>
  <c r="Y189" s="1"/>
  <c r="Z189" s="1"/>
  <c r="AA189" s="1"/>
  <c r="AB189" s="1"/>
  <c r="S190"/>
  <c r="T190"/>
  <c r="U190" s="1"/>
  <c r="V190" s="1"/>
  <c r="W190" s="1"/>
  <c r="X190" s="1"/>
  <c r="Y190" s="1"/>
  <c r="Z190" s="1"/>
  <c r="AA190" s="1"/>
  <c r="AB190" s="1"/>
  <c r="S191"/>
  <c r="T191"/>
  <c r="U191" s="1"/>
  <c r="V191" s="1"/>
  <c r="W191" s="1"/>
  <c r="X191" s="1"/>
  <c r="Y191" s="1"/>
  <c r="Z191" s="1"/>
  <c r="AA191" s="1"/>
  <c r="AB191" s="1"/>
  <c r="S192"/>
  <c r="T192"/>
  <c r="U192" s="1"/>
  <c r="V192" s="1"/>
  <c r="W192" s="1"/>
  <c r="X192" s="1"/>
  <c r="Y192" s="1"/>
  <c r="Z192" s="1"/>
  <c r="AA192" s="1"/>
  <c r="AB192" s="1"/>
  <c r="S193"/>
  <c r="T193"/>
  <c r="U193" s="1"/>
  <c r="V193" s="1"/>
  <c r="W193" s="1"/>
  <c r="X193" s="1"/>
  <c r="Y193" s="1"/>
  <c r="Z193" s="1"/>
  <c r="AA193" s="1"/>
  <c r="AB193" s="1"/>
  <c r="S194"/>
  <c r="T194"/>
  <c r="U194" s="1"/>
  <c r="V194" s="1"/>
  <c r="W194" s="1"/>
  <c r="X194" s="1"/>
  <c r="Y194" s="1"/>
  <c r="Z194" s="1"/>
  <c r="AA194" s="1"/>
  <c r="AB194" s="1"/>
  <c r="S195"/>
  <c r="T195"/>
  <c r="U195" s="1"/>
  <c r="V195" s="1"/>
  <c r="W195" s="1"/>
  <c r="X195" s="1"/>
  <c r="Y195" s="1"/>
  <c r="Z195" s="1"/>
  <c r="AA195" s="1"/>
  <c r="AB195" s="1"/>
  <c r="S196"/>
  <c r="T196"/>
  <c r="U196" s="1"/>
  <c r="V196" s="1"/>
  <c r="W196" s="1"/>
  <c r="X196" s="1"/>
  <c r="Y196" s="1"/>
  <c r="Z196" s="1"/>
  <c r="AA196" s="1"/>
  <c r="AB196" s="1"/>
  <c r="S197"/>
  <c r="T197"/>
  <c r="U197" s="1"/>
  <c r="V197" s="1"/>
  <c r="W197" s="1"/>
  <c r="X197" s="1"/>
  <c r="Y197" s="1"/>
  <c r="Z197" s="1"/>
  <c r="AA197" s="1"/>
  <c r="AB197" s="1"/>
  <c r="S198"/>
  <c r="T198"/>
  <c r="U198" s="1"/>
  <c r="V198" s="1"/>
  <c r="W198" s="1"/>
  <c r="X198" s="1"/>
  <c r="Y198" s="1"/>
  <c r="Z198" s="1"/>
  <c r="AA198" s="1"/>
  <c r="AB198" s="1"/>
  <c r="S199"/>
  <c r="T199"/>
  <c r="U199" s="1"/>
  <c r="V199" s="1"/>
  <c r="W199" s="1"/>
  <c r="X199" s="1"/>
  <c r="Y199" s="1"/>
  <c r="Z199" s="1"/>
  <c r="AA199" s="1"/>
  <c r="AB199" s="1"/>
  <c r="S200"/>
  <c r="T200"/>
  <c r="U200" s="1"/>
  <c r="V200" s="1"/>
  <c r="W200" s="1"/>
  <c r="X200" s="1"/>
  <c r="Y200" s="1"/>
  <c r="Z200" s="1"/>
  <c r="AA200" s="1"/>
  <c r="AB200" s="1"/>
  <c r="S201"/>
  <c r="T201"/>
  <c r="U201" s="1"/>
  <c r="V201" s="1"/>
  <c r="W201" s="1"/>
  <c r="X201" s="1"/>
  <c r="Y201" s="1"/>
  <c r="Z201" s="1"/>
  <c r="AA201" s="1"/>
  <c r="AB201" s="1"/>
  <c r="S202"/>
  <c r="T202"/>
  <c r="U202" s="1"/>
  <c r="V202" s="1"/>
  <c r="W202" s="1"/>
  <c r="X202" s="1"/>
  <c r="Y202" s="1"/>
  <c r="Z202" s="1"/>
  <c r="AA202" s="1"/>
  <c r="AB202" s="1"/>
  <c r="S203"/>
  <c r="T203"/>
  <c r="U203" s="1"/>
  <c r="V203" s="1"/>
  <c r="W203" s="1"/>
  <c r="X203" s="1"/>
  <c r="Y203" s="1"/>
  <c r="Z203" s="1"/>
  <c r="AA203" s="1"/>
  <c r="AB203" s="1"/>
  <c r="S204"/>
  <c r="T204"/>
  <c r="U204" s="1"/>
  <c r="V204" s="1"/>
  <c r="W204" s="1"/>
  <c r="X204" s="1"/>
  <c r="Y204" s="1"/>
  <c r="Z204" s="1"/>
  <c r="AA204" s="1"/>
  <c r="AB204" s="1"/>
  <c r="S205"/>
  <c r="T205"/>
  <c r="U205" s="1"/>
  <c r="V205" s="1"/>
  <c r="W205" s="1"/>
  <c r="X205" s="1"/>
  <c r="Y205" s="1"/>
  <c r="Z205" s="1"/>
  <c r="AA205" s="1"/>
  <c r="AB205" s="1"/>
  <c r="S206"/>
  <c r="T206"/>
  <c r="U206" s="1"/>
  <c r="V206" s="1"/>
  <c r="W206" s="1"/>
  <c r="X206" s="1"/>
  <c r="Y206" s="1"/>
  <c r="Z206" s="1"/>
  <c r="AA206" s="1"/>
  <c r="AB206" s="1"/>
  <c r="S207"/>
  <c r="T207"/>
  <c r="U207" s="1"/>
  <c r="V207" s="1"/>
  <c r="W207" s="1"/>
  <c r="X207" s="1"/>
  <c r="Y207" s="1"/>
  <c r="Z207" s="1"/>
  <c r="AA207" s="1"/>
  <c r="AB207" s="1"/>
  <c r="S208"/>
  <c r="T208"/>
  <c r="U208" s="1"/>
  <c r="V208" s="1"/>
  <c r="W208" s="1"/>
  <c r="X208" s="1"/>
  <c r="Y208" s="1"/>
  <c r="Z208" s="1"/>
  <c r="AA208" s="1"/>
  <c r="AB208" s="1"/>
  <c r="S209"/>
  <c r="T209"/>
  <c r="U209" s="1"/>
  <c r="V209" s="1"/>
  <c r="W209" s="1"/>
  <c r="X209" s="1"/>
  <c r="Y209" s="1"/>
  <c r="Z209" s="1"/>
  <c r="AA209" s="1"/>
  <c r="AB209" s="1"/>
  <c r="S210"/>
  <c r="T210"/>
  <c r="U210" s="1"/>
  <c r="V210" s="1"/>
  <c r="W210" s="1"/>
  <c r="X210" s="1"/>
  <c r="Y210" s="1"/>
  <c r="Z210" s="1"/>
  <c r="AA210" s="1"/>
  <c r="AB210" s="1"/>
  <c r="S211"/>
  <c r="T211"/>
  <c r="U211" s="1"/>
  <c r="V211" s="1"/>
  <c r="W211" s="1"/>
  <c r="X211" s="1"/>
  <c r="Y211" s="1"/>
  <c r="Z211" s="1"/>
  <c r="AA211" s="1"/>
  <c r="AB211" s="1"/>
  <c r="S212"/>
  <c r="T212"/>
  <c r="U212" s="1"/>
  <c r="V212" s="1"/>
  <c r="W212" s="1"/>
  <c r="X212" s="1"/>
  <c r="Y212" s="1"/>
  <c r="Z212" s="1"/>
  <c r="AA212" s="1"/>
  <c r="AB212" s="1"/>
  <c r="S213"/>
  <c r="T213"/>
  <c r="U213" s="1"/>
  <c r="V213" s="1"/>
  <c r="W213" s="1"/>
  <c r="X213" s="1"/>
  <c r="Y213" s="1"/>
  <c r="Z213" s="1"/>
  <c r="AA213" s="1"/>
  <c r="AB213" s="1"/>
  <c r="S214"/>
  <c r="T214"/>
  <c r="U214" s="1"/>
  <c r="V214" s="1"/>
  <c r="W214" s="1"/>
  <c r="X214" s="1"/>
  <c r="Y214" s="1"/>
  <c r="Z214" s="1"/>
  <c r="AA214" s="1"/>
  <c r="AB214" s="1"/>
  <c r="S215"/>
  <c r="T215"/>
  <c r="U215" s="1"/>
  <c r="V215" s="1"/>
  <c r="W215" s="1"/>
  <c r="X215" s="1"/>
  <c r="Y215" s="1"/>
  <c r="Z215" s="1"/>
  <c r="AA215" s="1"/>
  <c r="AB215" s="1"/>
  <c r="S216"/>
  <c r="T216"/>
  <c r="U216" s="1"/>
  <c r="V216" s="1"/>
  <c r="W216" s="1"/>
  <c r="X216" s="1"/>
  <c r="Y216" s="1"/>
  <c r="Z216" s="1"/>
  <c r="AA216" s="1"/>
  <c r="AB216" s="1"/>
  <c r="S217"/>
  <c r="T217"/>
  <c r="U217" s="1"/>
  <c r="V217" s="1"/>
  <c r="W217" s="1"/>
  <c r="X217" s="1"/>
  <c r="Y217" s="1"/>
  <c r="Z217" s="1"/>
  <c r="AA217" s="1"/>
  <c r="AB217" s="1"/>
  <c r="S218"/>
  <c r="T218"/>
  <c r="U218" s="1"/>
  <c r="V218" s="1"/>
  <c r="W218" s="1"/>
  <c r="X218" s="1"/>
  <c r="Y218" s="1"/>
  <c r="Z218" s="1"/>
  <c r="AA218" s="1"/>
  <c r="AB218" s="1"/>
  <c r="S219"/>
  <c r="T219"/>
  <c r="U219" s="1"/>
  <c r="V219" s="1"/>
  <c r="W219" s="1"/>
  <c r="X219" s="1"/>
  <c r="Y219" s="1"/>
  <c r="Z219" s="1"/>
  <c r="AA219" s="1"/>
  <c r="AB219" s="1"/>
  <c r="S220"/>
  <c r="T220"/>
  <c r="U220" s="1"/>
  <c r="V220" s="1"/>
  <c r="W220" s="1"/>
  <c r="X220" s="1"/>
  <c r="Y220" s="1"/>
  <c r="Z220" s="1"/>
  <c r="AA220" s="1"/>
  <c r="AB220" s="1"/>
  <c r="S221"/>
  <c r="T221"/>
  <c r="U221" s="1"/>
  <c r="V221" s="1"/>
  <c r="W221" s="1"/>
  <c r="X221" s="1"/>
  <c r="Y221" s="1"/>
  <c r="Z221" s="1"/>
  <c r="AA221" s="1"/>
  <c r="AB221" s="1"/>
  <c r="S222"/>
  <c r="T222"/>
  <c r="U222" s="1"/>
  <c r="V222" s="1"/>
  <c r="W222" s="1"/>
  <c r="X222" s="1"/>
  <c r="Y222" s="1"/>
  <c r="Z222" s="1"/>
  <c r="AA222" s="1"/>
  <c r="AB222" s="1"/>
  <c r="S223"/>
  <c r="T223"/>
  <c r="U223" s="1"/>
  <c r="V223" s="1"/>
  <c r="W223" s="1"/>
  <c r="X223" s="1"/>
  <c r="Y223" s="1"/>
  <c r="Z223" s="1"/>
  <c r="AA223" s="1"/>
  <c r="AB223" s="1"/>
  <c r="S224"/>
  <c r="T224"/>
  <c r="U224" s="1"/>
  <c r="V224" s="1"/>
  <c r="W224" s="1"/>
  <c r="X224" s="1"/>
  <c r="Y224" s="1"/>
  <c r="Z224" s="1"/>
  <c r="AA224" s="1"/>
  <c r="AB224" s="1"/>
  <c r="S225"/>
  <c r="T225"/>
  <c r="U225" s="1"/>
  <c r="V225" s="1"/>
  <c r="W225" s="1"/>
  <c r="X225" s="1"/>
  <c r="Y225" s="1"/>
  <c r="Z225" s="1"/>
  <c r="AA225" s="1"/>
  <c r="AB225" s="1"/>
  <c r="S226"/>
  <c r="T226"/>
  <c r="U226" s="1"/>
  <c r="V226" s="1"/>
  <c r="W226" s="1"/>
  <c r="X226" s="1"/>
  <c r="Y226" s="1"/>
  <c r="Z226" s="1"/>
  <c r="AA226" s="1"/>
  <c r="AB226" s="1"/>
  <c r="S227"/>
  <c r="T227"/>
  <c r="U227" s="1"/>
  <c r="V227" s="1"/>
  <c r="W227" s="1"/>
  <c r="X227" s="1"/>
  <c r="Y227" s="1"/>
  <c r="Z227" s="1"/>
  <c r="AA227" s="1"/>
  <c r="AB227" s="1"/>
  <c r="S228"/>
  <c r="T228"/>
  <c r="U228" s="1"/>
  <c r="V228" s="1"/>
  <c r="W228" s="1"/>
  <c r="X228" s="1"/>
  <c r="Y228" s="1"/>
  <c r="Z228" s="1"/>
  <c r="AA228" s="1"/>
  <c r="AB228" s="1"/>
  <c r="S229"/>
  <c r="T229"/>
  <c r="U229" s="1"/>
  <c r="V229" s="1"/>
  <c r="W229" s="1"/>
  <c r="X229" s="1"/>
  <c r="Y229" s="1"/>
  <c r="Z229" s="1"/>
  <c r="AA229" s="1"/>
  <c r="AB229" s="1"/>
  <c r="S230"/>
  <c r="T230"/>
  <c r="U230" s="1"/>
  <c r="V230" s="1"/>
  <c r="W230" s="1"/>
  <c r="X230" s="1"/>
  <c r="Y230" s="1"/>
  <c r="Z230" s="1"/>
  <c r="AA230" s="1"/>
  <c r="AB230" s="1"/>
  <c r="S231"/>
  <c r="T231"/>
  <c r="U231" s="1"/>
  <c r="V231" s="1"/>
  <c r="W231" s="1"/>
  <c r="X231" s="1"/>
  <c r="Y231" s="1"/>
  <c r="Z231" s="1"/>
  <c r="AA231" s="1"/>
  <c r="AB231" s="1"/>
  <c r="S232"/>
  <c r="T232" s="1"/>
  <c r="U232" s="1"/>
  <c r="V232" s="1"/>
  <c r="W232" s="1"/>
  <c r="X232" s="1"/>
  <c r="Y232" s="1"/>
  <c r="Z232" s="1"/>
  <c r="AA232" s="1"/>
  <c r="AB232" s="1"/>
  <c r="S233"/>
  <c r="T233" s="1"/>
  <c r="U233" s="1"/>
  <c r="V233" s="1"/>
  <c r="W233" s="1"/>
  <c r="X233" s="1"/>
  <c r="Y233" s="1"/>
  <c r="Z233" s="1"/>
  <c r="AA233" s="1"/>
  <c r="AB233" s="1"/>
  <c r="S234"/>
  <c r="T234" s="1"/>
  <c r="U234" s="1"/>
  <c r="V234" s="1"/>
  <c r="W234" s="1"/>
  <c r="X234" s="1"/>
  <c r="Y234" s="1"/>
  <c r="Z234" s="1"/>
  <c r="AA234" s="1"/>
  <c r="AB234" s="1"/>
  <c r="S235"/>
  <c r="T235" s="1"/>
  <c r="U235" s="1"/>
  <c r="V235" s="1"/>
  <c r="W235" s="1"/>
  <c r="X235" s="1"/>
  <c r="Y235" s="1"/>
  <c r="Z235" s="1"/>
  <c r="AA235" s="1"/>
  <c r="AB235" s="1"/>
  <c r="S236"/>
  <c r="T236" s="1"/>
  <c r="U236" s="1"/>
  <c r="V236" s="1"/>
  <c r="W236" s="1"/>
  <c r="X236" s="1"/>
  <c r="Y236" s="1"/>
  <c r="Z236" s="1"/>
  <c r="AA236" s="1"/>
  <c r="AB236" s="1"/>
  <c r="S237"/>
  <c r="T237" s="1"/>
  <c r="U237" s="1"/>
  <c r="V237" s="1"/>
  <c r="W237" s="1"/>
  <c r="X237" s="1"/>
  <c r="Y237" s="1"/>
  <c r="Z237" s="1"/>
  <c r="AA237" s="1"/>
  <c r="AB237" s="1"/>
  <c r="S238"/>
  <c r="T238" s="1"/>
  <c r="U238" s="1"/>
  <c r="V238" s="1"/>
  <c r="W238" s="1"/>
  <c r="X238" s="1"/>
  <c r="Y238" s="1"/>
  <c r="Z238" s="1"/>
  <c r="AA238" s="1"/>
  <c r="AB238" s="1"/>
  <c r="S239"/>
  <c r="T239" s="1"/>
  <c r="U239" s="1"/>
  <c r="V239" s="1"/>
  <c r="W239" s="1"/>
  <c r="X239" s="1"/>
  <c r="Y239" s="1"/>
  <c r="Z239" s="1"/>
  <c r="AA239" s="1"/>
  <c r="AB239" s="1"/>
  <c r="S240"/>
  <c r="T240" s="1"/>
  <c r="U240" s="1"/>
  <c r="V240" s="1"/>
  <c r="W240" s="1"/>
  <c r="X240" s="1"/>
  <c r="Y240" s="1"/>
  <c r="Z240" s="1"/>
  <c r="AA240" s="1"/>
  <c r="AB240" s="1"/>
  <c r="S241"/>
  <c r="T241" s="1"/>
  <c r="U241" s="1"/>
  <c r="V241" s="1"/>
  <c r="W241" s="1"/>
  <c r="X241" s="1"/>
  <c r="Y241" s="1"/>
  <c r="Z241" s="1"/>
  <c r="AA241" s="1"/>
  <c r="AB241" s="1"/>
  <c r="S242"/>
  <c r="T242" s="1"/>
  <c r="U242" s="1"/>
  <c r="V242" s="1"/>
  <c r="W242" s="1"/>
  <c r="X242" s="1"/>
  <c r="Y242" s="1"/>
  <c r="Z242" s="1"/>
  <c r="AA242" s="1"/>
  <c r="AB242" s="1"/>
  <c r="S243"/>
  <c r="T243" s="1"/>
  <c r="U243" s="1"/>
  <c r="V243" s="1"/>
  <c r="W243" s="1"/>
  <c r="X243" s="1"/>
  <c r="Y243" s="1"/>
  <c r="Z243" s="1"/>
  <c r="AA243" s="1"/>
  <c r="AB243" s="1"/>
  <c r="S244"/>
  <c r="T244" s="1"/>
  <c r="U244" s="1"/>
  <c r="V244" s="1"/>
  <c r="W244" s="1"/>
  <c r="X244" s="1"/>
  <c r="Y244" s="1"/>
  <c r="Z244" s="1"/>
  <c r="AA244" s="1"/>
  <c r="AB244" s="1"/>
  <c r="S245"/>
  <c r="T245" s="1"/>
  <c r="U245" s="1"/>
  <c r="V245" s="1"/>
  <c r="W245" s="1"/>
  <c r="X245" s="1"/>
  <c r="Y245" s="1"/>
  <c r="Z245" s="1"/>
  <c r="AA245" s="1"/>
  <c r="AB245" s="1"/>
  <c r="S246"/>
  <c r="T246" s="1"/>
  <c r="U246" s="1"/>
  <c r="V246" s="1"/>
  <c r="W246" s="1"/>
  <c r="X246" s="1"/>
  <c r="Y246" s="1"/>
  <c r="Z246" s="1"/>
  <c r="AA246" s="1"/>
  <c r="AB246" s="1"/>
  <c r="S247"/>
  <c r="T247" s="1"/>
  <c r="U247" s="1"/>
  <c r="V247" s="1"/>
  <c r="W247" s="1"/>
  <c r="X247" s="1"/>
  <c r="Y247" s="1"/>
  <c r="Z247" s="1"/>
  <c r="AA247" s="1"/>
  <c r="AB247" s="1"/>
  <c r="S248"/>
  <c r="T248" s="1"/>
  <c r="U248" s="1"/>
  <c r="V248" s="1"/>
  <c r="W248" s="1"/>
  <c r="X248" s="1"/>
  <c r="Y248" s="1"/>
  <c r="Z248" s="1"/>
  <c r="AA248" s="1"/>
  <c r="AB248" s="1"/>
  <c r="S249"/>
  <c r="T249" s="1"/>
  <c r="U249" s="1"/>
  <c r="V249" s="1"/>
  <c r="W249" s="1"/>
  <c r="X249" s="1"/>
  <c r="Y249" s="1"/>
  <c r="Z249" s="1"/>
  <c r="AA249" s="1"/>
  <c r="AB249" s="1"/>
  <c r="S250"/>
  <c r="T250" s="1"/>
  <c r="U250" s="1"/>
  <c r="V250" s="1"/>
  <c r="W250" s="1"/>
  <c r="X250" s="1"/>
  <c r="Y250" s="1"/>
  <c r="Z250" s="1"/>
  <c r="AA250" s="1"/>
  <c r="AB250" s="1"/>
  <c r="S251"/>
  <c r="T251" s="1"/>
  <c r="U251" s="1"/>
  <c r="V251" s="1"/>
  <c r="W251" s="1"/>
  <c r="X251" s="1"/>
  <c r="Y251" s="1"/>
  <c r="Z251" s="1"/>
  <c r="AA251" s="1"/>
  <c r="AB251" s="1"/>
  <c r="S252"/>
  <c r="T252" s="1"/>
  <c r="U252" s="1"/>
  <c r="V252" s="1"/>
  <c r="W252" s="1"/>
  <c r="X252" s="1"/>
  <c r="Y252" s="1"/>
  <c r="Z252" s="1"/>
  <c r="AA252" s="1"/>
  <c r="AB252" s="1"/>
  <c r="S253"/>
  <c r="T253" s="1"/>
  <c r="U253" s="1"/>
  <c r="V253" s="1"/>
  <c r="W253" s="1"/>
  <c r="X253" s="1"/>
  <c r="Y253" s="1"/>
  <c r="Z253" s="1"/>
  <c r="AA253" s="1"/>
  <c r="AB253" s="1"/>
  <c r="S254"/>
  <c r="T254" s="1"/>
  <c r="U254" s="1"/>
  <c r="V254" s="1"/>
  <c r="W254" s="1"/>
  <c r="X254" s="1"/>
  <c r="Y254" s="1"/>
  <c r="Z254" s="1"/>
  <c r="AA254" s="1"/>
  <c r="AB254" s="1"/>
  <c r="S255"/>
  <c r="T255" s="1"/>
  <c r="U255" s="1"/>
  <c r="V255" s="1"/>
  <c r="W255" s="1"/>
  <c r="X255" s="1"/>
  <c r="Y255" s="1"/>
  <c r="Z255" s="1"/>
  <c r="AA255" s="1"/>
  <c r="AB255" s="1"/>
  <c r="S256"/>
  <c r="T256" s="1"/>
  <c r="U256" s="1"/>
  <c r="V256" s="1"/>
  <c r="W256" s="1"/>
  <c r="X256" s="1"/>
  <c r="Y256" s="1"/>
  <c r="Z256" s="1"/>
  <c r="AA256" s="1"/>
  <c r="AB256" s="1"/>
  <c r="S257"/>
  <c r="T257" s="1"/>
  <c r="U257" s="1"/>
  <c r="V257" s="1"/>
  <c r="W257" s="1"/>
  <c r="X257" s="1"/>
  <c r="Y257" s="1"/>
  <c r="Z257" s="1"/>
  <c r="AA257" s="1"/>
  <c r="AB257" s="1"/>
  <c r="S258"/>
  <c r="T258" s="1"/>
  <c r="U258" s="1"/>
  <c r="V258" s="1"/>
  <c r="W258" s="1"/>
  <c r="X258" s="1"/>
  <c r="Y258" s="1"/>
  <c r="Z258" s="1"/>
  <c r="AA258" s="1"/>
  <c r="AB258" s="1"/>
  <c r="S259"/>
  <c r="T259" s="1"/>
  <c r="U259" s="1"/>
  <c r="V259" s="1"/>
  <c r="W259" s="1"/>
  <c r="X259" s="1"/>
  <c r="Y259" s="1"/>
  <c r="Z259" s="1"/>
  <c r="AA259" s="1"/>
  <c r="AB259" s="1"/>
  <c r="S260"/>
  <c r="T260" s="1"/>
  <c r="U260" s="1"/>
  <c r="V260" s="1"/>
  <c r="W260" s="1"/>
  <c r="X260" s="1"/>
  <c r="Y260" s="1"/>
  <c r="Z260" s="1"/>
  <c r="AA260" s="1"/>
  <c r="AB260" s="1"/>
  <c r="S261"/>
  <c r="T261" s="1"/>
  <c r="U261" s="1"/>
  <c r="V261" s="1"/>
  <c r="W261" s="1"/>
  <c r="X261" s="1"/>
  <c r="Y261" s="1"/>
  <c r="Z261" s="1"/>
  <c r="AA261" s="1"/>
  <c r="AB261" s="1"/>
  <c r="S262"/>
  <c r="T262" s="1"/>
  <c r="U262" s="1"/>
  <c r="V262" s="1"/>
  <c r="W262" s="1"/>
  <c r="X262" s="1"/>
  <c r="Y262" s="1"/>
  <c r="Z262" s="1"/>
  <c r="AA262" s="1"/>
  <c r="AB262" s="1"/>
  <c r="S263"/>
  <c r="T263" s="1"/>
  <c r="U263" s="1"/>
  <c r="V263" s="1"/>
  <c r="W263" s="1"/>
  <c r="X263" s="1"/>
  <c r="Y263" s="1"/>
  <c r="Z263" s="1"/>
  <c r="AA263" s="1"/>
  <c r="AB263" s="1"/>
  <c r="S264"/>
  <c r="T264" s="1"/>
  <c r="U264" s="1"/>
  <c r="V264" s="1"/>
  <c r="W264" s="1"/>
  <c r="X264" s="1"/>
  <c r="Y264" s="1"/>
  <c r="Z264" s="1"/>
  <c r="AA264" s="1"/>
  <c r="AB264" s="1"/>
  <c r="S265"/>
  <c r="T265" s="1"/>
  <c r="U265" s="1"/>
  <c r="V265" s="1"/>
  <c r="W265" s="1"/>
  <c r="X265" s="1"/>
  <c r="Y265" s="1"/>
  <c r="Z265" s="1"/>
  <c r="AA265" s="1"/>
  <c r="AB265" s="1"/>
  <c r="S266"/>
  <c r="T266" s="1"/>
  <c r="U266" s="1"/>
  <c r="V266" s="1"/>
  <c r="W266" s="1"/>
  <c r="X266" s="1"/>
  <c r="Y266" s="1"/>
  <c r="Z266" s="1"/>
  <c r="AA266" s="1"/>
  <c r="AB266" s="1"/>
  <c r="S267"/>
  <c r="T267" s="1"/>
  <c r="U267" s="1"/>
  <c r="V267" s="1"/>
  <c r="W267" s="1"/>
  <c r="X267" s="1"/>
  <c r="Y267" s="1"/>
  <c r="Z267" s="1"/>
  <c r="AA267" s="1"/>
  <c r="AB267" s="1"/>
  <c r="S268"/>
  <c r="T268" s="1"/>
  <c r="U268" s="1"/>
  <c r="V268" s="1"/>
  <c r="W268" s="1"/>
  <c r="X268" s="1"/>
  <c r="Y268" s="1"/>
  <c r="Z268" s="1"/>
  <c r="AA268" s="1"/>
  <c r="AB268" s="1"/>
  <c r="S269"/>
  <c r="T269" s="1"/>
  <c r="U269" s="1"/>
  <c r="V269" s="1"/>
  <c r="W269" s="1"/>
  <c r="X269" s="1"/>
  <c r="Y269" s="1"/>
  <c r="Z269" s="1"/>
  <c r="AA269" s="1"/>
  <c r="AB269" s="1"/>
  <c r="S270"/>
  <c r="T270" s="1"/>
  <c r="U270" s="1"/>
  <c r="V270" s="1"/>
  <c r="W270" s="1"/>
  <c r="X270" s="1"/>
  <c r="Y270" s="1"/>
  <c r="Z270" s="1"/>
  <c r="AA270" s="1"/>
  <c r="AB270" s="1"/>
  <c r="S271"/>
  <c r="T271" s="1"/>
  <c r="U271" s="1"/>
  <c r="V271" s="1"/>
  <c r="W271" s="1"/>
  <c r="X271" s="1"/>
  <c r="Y271" s="1"/>
  <c r="Z271" s="1"/>
  <c r="AA271" s="1"/>
  <c r="AB271" s="1"/>
  <c r="S272"/>
  <c r="T272" s="1"/>
  <c r="U272" s="1"/>
  <c r="V272" s="1"/>
  <c r="W272" s="1"/>
  <c r="X272" s="1"/>
  <c r="Y272" s="1"/>
  <c r="Z272" s="1"/>
  <c r="AA272" s="1"/>
  <c r="AB272" s="1"/>
  <c r="S273"/>
  <c r="T273" s="1"/>
  <c r="U273" s="1"/>
  <c r="V273" s="1"/>
  <c r="W273" s="1"/>
  <c r="X273" s="1"/>
  <c r="Y273" s="1"/>
  <c r="Z273" s="1"/>
  <c r="AA273" s="1"/>
  <c r="AB273" s="1"/>
  <c r="S274"/>
  <c r="T274" s="1"/>
  <c r="U274" s="1"/>
  <c r="V274" s="1"/>
  <c r="W274" s="1"/>
  <c r="X274" s="1"/>
  <c r="Y274" s="1"/>
  <c r="Z274" s="1"/>
  <c r="AA274" s="1"/>
  <c r="AB274" s="1"/>
  <c r="S275"/>
  <c r="T275" s="1"/>
  <c r="U275" s="1"/>
  <c r="V275" s="1"/>
  <c r="W275" s="1"/>
  <c r="X275" s="1"/>
  <c r="Y275" s="1"/>
  <c r="Z275" s="1"/>
  <c r="AA275" s="1"/>
  <c r="AB275" s="1"/>
  <c r="S276"/>
  <c r="T276" s="1"/>
  <c r="U276" s="1"/>
  <c r="V276" s="1"/>
  <c r="W276" s="1"/>
  <c r="X276" s="1"/>
  <c r="Y276" s="1"/>
  <c r="Z276" s="1"/>
  <c r="AA276" s="1"/>
  <c r="AB276" s="1"/>
  <c r="S277"/>
  <c r="T277" s="1"/>
  <c r="U277" s="1"/>
  <c r="V277" s="1"/>
  <c r="W277" s="1"/>
  <c r="X277" s="1"/>
  <c r="Y277" s="1"/>
  <c r="Z277" s="1"/>
  <c r="AA277" s="1"/>
  <c r="AB277" s="1"/>
  <c r="S278"/>
  <c r="T278" s="1"/>
  <c r="U278" s="1"/>
  <c r="V278" s="1"/>
  <c r="W278" s="1"/>
  <c r="X278" s="1"/>
  <c r="Y278" s="1"/>
  <c r="Z278" s="1"/>
  <c r="AA278" s="1"/>
  <c r="AB278" s="1"/>
  <c r="S279"/>
  <c r="T279" s="1"/>
  <c r="U279" s="1"/>
  <c r="V279" s="1"/>
  <c r="W279" s="1"/>
  <c r="X279" s="1"/>
  <c r="Y279" s="1"/>
  <c r="Z279" s="1"/>
  <c r="AA279" s="1"/>
  <c r="AB279" s="1"/>
  <c r="S280"/>
  <c r="T280" s="1"/>
  <c r="U280" s="1"/>
  <c r="V280" s="1"/>
  <c r="W280" s="1"/>
  <c r="X280" s="1"/>
  <c r="Y280" s="1"/>
  <c r="Z280" s="1"/>
  <c r="AA280" s="1"/>
  <c r="AB280" s="1"/>
  <c r="S281"/>
  <c r="T281" s="1"/>
  <c r="U281" s="1"/>
  <c r="V281" s="1"/>
  <c r="W281" s="1"/>
  <c r="X281" s="1"/>
  <c r="Y281" s="1"/>
  <c r="Z281" s="1"/>
  <c r="AA281" s="1"/>
  <c r="AB281" s="1"/>
  <c r="S282"/>
  <c r="T282" s="1"/>
  <c r="U282" s="1"/>
  <c r="V282" s="1"/>
  <c r="W282" s="1"/>
  <c r="X282" s="1"/>
  <c r="Y282" s="1"/>
  <c r="Z282" s="1"/>
  <c r="AA282" s="1"/>
  <c r="AB282" s="1"/>
  <c r="S283"/>
  <c r="T283" s="1"/>
  <c r="U283" s="1"/>
  <c r="V283" s="1"/>
  <c r="W283" s="1"/>
  <c r="X283" s="1"/>
  <c r="Y283" s="1"/>
  <c r="Z283" s="1"/>
  <c r="AA283" s="1"/>
  <c r="AB283" s="1"/>
  <c r="S284"/>
  <c r="T284" s="1"/>
  <c r="U284" s="1"/>
  <c r="V284" s="1"/>
  <c r="W284" s="1"/>
  <c r="X284" s="1"/>
  <c r="Y284" s="1"/>
  <c r="Z284" s="1"/>
  <c r="AA284" s="1"/>
  <c r="AB284" s="1"/>
  <c r="S285"/>
  <c r="T285" s="1"/>
  <c r="U285" s="1"/>
  <c r="V285" s="1"/>
  <c r="W285" s="1"/>
  <c r="X285" s="1"/>
  <c r="Y285" s="1"/>
  <c r="Z285" s="1"/>
  <c r="AA285" s="1"/>
  <c r="AB285" s="1"/>
  <c r="S286"/>
  <c r="T286" s="1"/>
  <c r="U286" s="1"/>
  <c r="V286" s="1"/>
  <c r="W286" s="1"/>
  <c r="X286" s="1"/>
  <c r="Y286" s="1"/>
  <c r="Z286" s="1"/>
  <c r="AA286" s="1"/>
  <c r="AB286" s="1"/>
  <c r="S287"/>
  <c r="T287" s="1"/>
  <c r="U287" s="1"/>
  <c r="V287" s="1"/>
  <c r="W287" s="1"/>
  <c r="X287" s="1"/>
  <c r="Y287" s="1"/>
  <c r="Z287" s="1"/>
  <c r="AA287" s="1"/>
  <c r="AB287" s="1"/>
  <c r="S288"/>
  <c r="T288" s="1"/>
  <c r="U288" s="1"/>
  <c r="V288" s="1"/>
  <c r="W288" s="1"/>
  <c r="X288" s="1"/>
  <c r="Y288" s="1"/>
  <c r="Z288" s="1"/>
  <c r="AA288" s="1"/>
  <c r="AB288" s="1"/>
  <c r="S289"/>
  <c r="T289" s="1"/>
  <c r="U289" s="1"/>
  <c r="V289" s="1"/>
  <c r="W289" s="1"/>
  <c r="X289" s="1"/>
  <c r="Y289" s="1"/>
  <c r="Z289" s="1"/>
  <c r="AA289" s="1"/>
  <c r="AB289" s="1"/>
  <c r="S290"/>
  <c r="T290" s="1"/>
  <c r="U290" s="1"/>
  <c r="V290" s="1"/>
  <c r="W290" s="1"/>
  <c r="X290" s="1"/>
  <c r="Y290" s="1"/>
  <c r="Z290" s="1"/>
  <c r="AA290" s="1"/>
  <c r="AB290" s="1"/>
  <c r="S291"/>
  <c r="T291" s="1"/>
  <c r="U291" s="1"/>
  <c r="V291" s="1"/>
  <c r="W291" s="1"/>
  <c r="X291" s="1"/>
  <c r="Y291" s="1"/>
  <c r="Z291" s="1"/>
  <c r="AA291" s="1"/>
  <c r="AB291" s="1"/>
  <c r="S292"/>
  <c r="T292" s="1"/>
  <c r="U292" s="1"/>
  <c r="V292" s="1"/>
  <c r="W292" s="1"/>
  <c r="X292" s="1"/>
  <c r="Y292" s="1"/>
  <c r="Z292" s="1"/>
  <c r="AA292" s="1"/>
  <c r="AB292" s="1"/>
  <c r="S293"/>
  <c r="T293" s="1"/>
  <c r="U293" s="1"/>
  <c r="V293" s="1"/>
  <c r="W293" s="1"/>
  <c r="X293" s="1"/>
  <c r="Y293" s="1"/>
  <c r="Z293" s="1"/>
  <c r="AA293" s="1"/>
  <c r="AB293" s="1"/>
  <c r="S294"/>
  <c r="T294" s="1"/>
  <c r="U294" s="1"/>
  <c r="V294" s="1"/>
  <c r="W294" s="1"/>
  <c r="X294" s="1"/>
  <c r="Y294" s="1"/>
  <c r="Z294" s="1"/>
  <c r="AA294" s="1"/>
  <c r="AB294" s="1"/>
  <c r="S295"/>
  <c r="T295" s="1"/>
  <c r="U295" s="1"/>
  <c r="V295" s="1"/>
  <c r="W295" s="1"/>
  <c r="X295" s="1"/>
  <c r="Y295" s="1"/>
  <c r="Z295" s="1"/>
  <c r="AA295" s="1"/>
  <c r="AB295" s="1"/>
  <c r="S296"/>
  <c r="T296" s="1"/>
  <c r="U296" s="1"/>
  <c r="V296" s="1"/>
  <c r="W296" s="1"/>
  <c r="X296" s="1"/>
  <c r="Y296" s="1"/>
  <c r="Z296" s="1"/>
  <c r="AA296" s="1"/>
  <c r="AB296" s="1"/>
  <c r="S297"/>
  <c r="T297" s="1"/>
  <c r="U297" s="1"/>
  <c r="V297" s="1"/>
  <c r="W297" s="1"/>
  <c r="X297" s="1"/>
  <c r="Y297" s="1"/>
  <c r="Z297" s="1"/>
  <c r="AA297" s="1"/>
  <c r="AB297" s="1"/>
  <c r="S298"/>
  <c r="T298" s="1"/>
  <c r="U298" s="1"/>
  <c r="V298" s="1"/>
  <c r="W298" s="1"/>
  <c r="X298" s="1"/>
  <c r="Y298" s="1"/>
  <c r="Z298" s="1"/>
  <c r="AA298" s="1"/>
  <c r="AB298" s="1"/>
  <c r="S299"/>
  <c r="T299" s="1"/>
  <c r="U299" s="1"/>
  <c r="V299" s="1"/>
  <c r="W299" s="1"/>
  <c r="X299" s="1"/>
  <c r="Y299" s="1"/>
  <c r="Z299" s="1"/>
  <c r="AA299" s="1"/>
  <c r="AB299" s="1"/>
  <c r="S300"/>
  <c r="T300" s="1"/>
  <c r="U300" s="1"/>
  <c r="V300" s="1"/>
  <c r="W300" s="1"/>
  <c r="X300" s="1"/>
  <c r="Y300" s="1"/>
  <c r="Z300" s="1"/>
  <c r="AA300" s="1"/>
  <c r="AB300" s="1"/>
  <c r="S301"/>
  <c r="T301" s="1"/>
  <c r="U301" s="1"/>
  <c r="V301" s="1"/>
  <c r="W301" s="1"/>
  <c r="X301" s="1"/>
  <c r="Y301" s="1"/>
  <c r="Z301" s="1"/>
  <c r="AA301" s="1"/>
  <c r="AB301" s="1"/>
  <c r="S302"/>
  <c r="T302" s="1"/>
  <c r="U302" s="1"/>
  <c r="V302" s="1"/>
  <c r="W302" s="1"/>
  <c r="X302" s="1"/>
  <c r="Y302" s="1"/>
  <c r="Z302" s="1"/>
  <c r="AA302" s="1"/>
  <c r="AB302" s="1"/>
  <c r="S303"/>
  <c r="T303" s="1"/>
  <c r="U303" s="1"/>
  <c r="V303" s="1"/>
  <c r="W303" s="1"/>
  <c r="X303" s="1"/>
  <c r="Y303" s="1"/>
  <c r="Z303" s="1"/>
  <c r="AA303" s="1"/>
  <c r="AB303" s="1"/>
  <c r="S304"/>
  <c r="T304" s="1"/>
  <c r="U304" s="1"/>
  <c r="V304" s="1"/>
  <c r="W304" s="1"/>
  <c r="X304" s="1"/>
  <c r="Y304" s="1"/>
  <c r="Z304" s="1"/>
  <c r="AA304" s="1"/>
  <c r="AB304" s="1"/>
  <c r="S305"/>
  <c r="T305" s="1"/>
  <c r="U305" s="1"/>
  <c r="V305" s="1"/>
  <c r="W305" s="1"/>
  <c r="X305" s="1"/>
  <c r="Y305" s="1"/>
  <c r="Z305" s="1"/>
  <c r="AA305" s="1"/>
  <c r="AB305" s="1"/>
  <c r="S306"/>
  <c r="T306" s="1"/>
  <c r="U306" s="1"/>
  <c r="V306" s="1"/>
  <c r="W306" s="1"/>
  <c r="X306" s="1"/>
  <c r="Y306" s="1"/>
  <c r="Z306" s="1"/>
  <c r="AA306" s="1"/>
  <c r="AB306" s="1"/>
  <c r="S307"/>
  <c r="T307" s="1"/>
  <c r="U307" s="1"/>
  <c r="V307" s="1"/>
  <c r="W307" s="1"/>
  <c r="X307" s="1"/>
  <c r="Y307" s="1"/>
  <c r="Z307" s="1"/>
  <c r="AA307" s="1"/>
  <c r="AB307" s="1"/>
  <c r="S308"/>
  <c r="T308" s="1"/>
  <c r="U308" s="1"/>
  <c r="V308" s="1"/>
  <c r="W308" s="1"/>
  <c r="X308" s="1"/>
  <c r="Y308" s="1"/>
  <c r="Z308" s="1"/>
  <c r="AA308" s="1"/>
  <c r="AB308" s="1"/>
  <c r="S309"/>
  <c r="T309" s="1"/>
  <c r="U309" s="1"/>
  <c r="V309" s="1"/>
  <c r="W309" s="1"/>
  <c r="X309" s="1"/>
  <c r="Y309" s="1"/>
  <c r="Z309" s="1"/>
  <c r="AA309" s="1"/>
  <c r="AB309" s="1"/>
  <c r="S310"/>
  <c r="T310" s="1"/>
  <c r="U310" s="1"/>
  <c r="V310" s="1"/>
  <c r="W310" s="1"/>
  <c r="X310" s="1"/>
  <c r="Y310" s="1"/>
  <c r="Z310" s="1"/>
  <c r="AA310" s="1"/>
  <c r="AB310" s="1"/>
  <c r="S311"/>
  <c r="T311" s="1"/>
  <c r="U311" s="1"/>
  <c r="V311" s="1"/>
  <c r="W311" s="1"/>
  <c r="X311" s="1"/>
  <c r="Y311" s="1"/>
  <c r="Z311" s="1"/>
  <c r="AA311" s="1"/>
  <c r="AB311" s="1"/>
  <c r="S312"/>
  <c r="T312" s="1"/>
  <c r="U312"/>
  <c r="V312" s="1"/>
  <c r="W312" s="1"/>
  <c r="X312" s="1"/>
  <c r="Y312" s="1"/>
  <c r="Z312" s="1"/>
  <c r="AA312" s="1"/>
  <c r="AB312" s="1"/>
  <c r="S313"/>
  <c r="T313" s="1"/>
  <c r="U313" s="1"/>
  <c r="V313" s="1"/>
  <c r="W313" s="1"/>
  <c r="X313" s="1"/>
  <c r="Y313" s="1"/>
  <c r="Z313" s="1"/>
  <c r="AA313" s="1"/>
  <c r="AB313" s="1"/>
  <c r="S314"/>
  <c r="T314" s="1"/>
  <c r="U314"/>
  <c r="V314" s="1"/>
  <c r="W314" s="1"/>
  <c r="X314" s="1"/>
  <c r="Y314" s="1"/>
  <c r="Z314" s="1"/>
  <c r="AA314" s="1"/>
  <c r="AB314" s="1"/>
  <c r="S315"/>
  <c r="T315" s="1"/>
  <c r="U315" s="1"/>
  <c r="V315" s="1"/>
  <c r="W315" s="1"/>
  <c r="X315" s="1"/>
  <c r="Y315" s="1"/>
  <c r="Z315" s="1"/>
  <c r="AA315" s="1"/>
  <c r="AB315" s="1"/>
  <c r="S316"/>
  <c r="T316" s="1"/>
  <c r="U316"/>
  <c r="V316" s="1"/>
  <c r="W316" s="1"/>
  <c r="X316" s="1"/>
  <c r="Y316" s="1"/>
  <c r="Z316" s="1"/>
  <c r="AA316" s="1"/>
  <c r="AB316" s="1"/>
  <c r="S317"/>
  <c r="T317" s="1"/>
  <c r="U317" s="1"/>
  <c r="V317" s="1"/>
  <c r="W317" s="1"/>
  <c r="X317" s="1"/>
  <c r="Y317" s="1"/>
  <c r="Z317" s="1"/>
  <c r="AA317" s="1"/>
  <c r="AB317" s="1"/>
  <c r="S318"/>
  <c r="T318" s="1"/>
  <c r="U318"/>
  <c r="V318" s="1"/>
  <c r="W318" s="1"/>
  <c r="X318" s="1"/>
  <c r="Y318" s="1"/>
  <c r="Z318" s="1"/>
  <c r="AA318" s="1"/>
  <c r="AB318" s="1"/>
  <c r="S319"/>
  <c r="T319" s="1"/>
  <c r="U319" s="1"/>
  <c r="V319" s="1"/>
  <c r="W319" s="1"/>
  <c r="X319" s="1"/>
  <c r="Y319" s="1"/>
  <c r="Z319" s="1"/>
  <c r="AA319" s="1"/>
  <c r="AB319" s="1"/>
  <c r="S320"/>
  <c r="T320" s="1"/>
  <c r="U320"/>
  <c r="V320" s="1"/>
  <c r="W320" s="1"/>
  <c r="X320" s="1"/>
  <c r="Y320" s="1"/>
  <c r="Z320" s="1"/>
  <c r="AA320" s="1"/>
  <c r="AB320" s="1"/>
  <c r="S321"/>
  <c r="T321" s="1"/>
  <c r="U321" s="1"/>
  <c r="V321" s="1"/>
  <c r="W321" s="1"/>
  <c r="X321" s="1"/>
  <c r="Y321" s="1"/>
  <c r="Z321" s="1"/>
  <c r="AA321" s="1"/>
  <c r="AB321" s="1"/>
  <c r="S322"/>
  <c r="T322" s="1"/>
  <c r="U322"/>
  <c r="V322" s="1"/>
  <c r="W322" s="1"/>
  <c r="X322" s="1"/>
  <c r="Y322" s="1"/>
  <c r="Z322" s="1"/>
  <c r="AA322" s="1"/>
  <c r="AB322" s="1"/>
  <c r="S323"/>
  <c r="T323" s="1"/>
  <c r="U323" s="1"/>
  <c r="V323" s="1"/>
  <c r="W323" s="1"/>
  <c r="X323" s="1"/>
  <c r="Y323" s="1"/>
  <c r="Z323" s="1"/>
  <c r="AA323" s="1"/>
  <c r="AB323" s="1"/>
  <c r="S324"/>
  <c r="T324" s="1"/>
  <c r="U324"/>
  <c r="V324" s="1"/>
  <c r="W324" s="1"/>
  <c r="X324" s="1"/>
  <c r="Y324" s="1"/>
  <c r="Z324" s="1"/>
  <c r="AA324" s="1"/>
  <c r="AB324" s="1"/>
  <c r="S325"/>
  <c r="T325" s="1"/>
  <c r="U325" s="1"/>
  <c r="V325" s="1"/>
  <c r="W325" s="1"/>
  <c r="X325" s="1"/>
  <c r="Y325" s="1"/>
  <c r="Z325" s="1"/>
  <c r="AA325" s="1"/>
  <c r="AB325" s="1"/>
  <c r="S326"/>
  <c r="T326" s="1"/>
  <c r="U326"/>
  <c r="V326" s="1"/>
  <c r="W326" s="1"/>
  <c r="X326" s="1"/>
  <c r="Y326" s="1"/>
  <c r="Z326" s="1"/>
  <c r="AA326" s="1"/>
  <c r="AB326" s="1"/>
  <c r="S327"/>
  <c r="T327" s="1"/>
  <c r="U327" s="1"/>
  <c r="V327" s="1"/>
  <c r="W327" s="1"/>
  <c r="X327" s="1"/>
  <c r="Y327" s="1"/>
  <c r="Z327" s="1"/>
  <c r="AA327" s="1"/>
  <c r="AB327" s="1"/>
  <c r="S328"/>
  <c r="T328" s="1"/>
  <c r="U328"/>
  <c r="V328" s="1"/>
  <c r="W328" s="1"/>
  <c r="X328" s="1"/>
  <c r="Y328" s="1"/>
  <c r="Z328" s="1"/>
  <c r="AA328" s="1"/>
  <c r="AB328" s="1"/>
  <c r="S329"/>
  <c r="T329" s="1"/>
  <c r="U329" s="1"/>
  <c r="V329" s="1"/>
  <c r="W329" s="1"/>
  <c r="X329" s="1"/>
  <c r="Y329" s="1"/>
  <c r="Z329" s="1"/>
  <c r="AA329" s="1"/>
  <c r="AB329" s="1"/>
  <c r="S330"/>
  <c r="T330" s="1"/>
  <c r="U330"/>
  <c r="V330" s="1"/>
  <c r="W330" s="1"/>
  <c r="X330" s="1"/>
  <c r="Y330" s="1"/>
  <c r="Z330" s="1"/>
  <c r="AA330" s="1"/>
  <c r="AB330" s="1"/>
  <c r="S331"/>
  <c r="T331" s="1"/>
  <c r="U331" s="1"/>
  <c r="V331" s="1"/>
  <c r="W331" s="1"/>
  <c r="X331" s="1"/>
  <c r="Y331" s="1"/>
  <c r="Z331" s="1"/>
  <c r="AA331" s="1"/>
  <c r="AB331" s="1"/>
  <c r="S332"/>
  <c r="T332" s="1"/>
  <c r="U332"/>
  <c r="V332" s="1"/>
  <c r="W332" s="1"/>
  <c r="X332" s="1"/>
  <c r="Y332" s="1"/>
  <c r="Z332" s="1"/>
  <c r="AA332" s="1"/>
  <c r="AB332" s="1"/>
  <c r="S333"/>
  <c r="T333" s="1"/>
  <c r="U333" s="1"/>
  <c r="V333" s="1"/>
  <c r="W333" s="1"/>
  <c r="X333" s="1"/>
  <c r="Y333" s="1"/>
  <c r="Z333" s="1"/>
  <c r="AA333" s="1"/>
  <c r="AB333" s="1"/>
  <c r="S334"/>
  <c r="T334" s="1"/>
  <c r="U334"/>
  <c r="V334" s="1"/>
  <c r="W334" s="1"/>
  <c r="X334" s="1"/>
  <c r="Y334" s="1"/>
  <c r="Z334" s="1"/>
  <c r="AA334" s="1"/>
  <c r="AB334" s="1"/>
  <c r="S335"/>
  <c r="T335" s="1"/>
  <c r="U335" s="1"/>
  <c r="V335" s="1"/>
  <c r="W335" s="1"/>
  <c r="X335" s="1"/>
  <c r="Y335" s="1"/>
  <c r="Z335" s="1"/>
  <c r="AA335" s="1"/>
  <c r="AB335" s="1"/>
  <c r="S336"/>
  <c r="T336" s="1"/>
  <c r="U336"/>
  <c r="V336" s="1"/>
  <c r="W336" s="1"/>
  <c r="X336" s="1"/>
  <c r="Y336" s="1"/>
  <c r="Z336" s="1"/>
  <c r="AA336" s="1"/>
  <c r="AB336" s="1"/>
  <c r="S337"/>
  <c r="T337" s="1"/>
  <c r="U337" s="1"/>
  <c r="V337" s="1"/>
  <c r="W337" s="1"/>
  <c r="X337" s="1"/>
  <c r="Y337" s="1"/>
  <c r="Z337" s="1"/>
  <c r="AA337" s="1"/>
  <c r="AB337" s="1"/>
  <c r="S338"/>
  <c r="T338" s="1"/>
  <c r="U338"/>
  <c r="V338" s="1"/>
  <c r="W338" s="1"/>
  <c r="X338" s="1"/>
  <c r="Y338" s="1"/>
  <c r="Z338" s="1"/>
  <c r="AA338" s="1"/>
  <c r="AB338" s="1"/>
  <c r="S339"/>
  <c r="T339" s="1"/>
  <c r="U339" s="1"/>
  <c r="V339" s="1"/>
  <c r="W339" s="1"/>
  <c r="X339" s="1"/>
  <c r="Y339" s="1"/>
  <c r="Z339" s="1"/>
  <c r="AA339" s="1"/>
  <c r="AB339" s="1"/>
  <c r="S340"/>
  <c r="T340" s="1"/>
  <c r="U340"/>
  <c r="V340" s="1"/>
  <c r="W340" s="1"/>
  <c r="X340" s="1"/>
  <c r="Y340" s="1"/>
  <c r="Z340" s="1"/>
  <c r="AA340" s="1"/>
  <c r="AB340" s="1"/>
  <c r="S341"/>
  <c r="T341" s="1"/>
  <c r="U341" s="1"/>
  <c r="V341" s="1"/>
  <c r="W341" s="1"/>
  <c r="X341" s="1"/>
  <c r="Y341" s="1"/>
  <c r="Z341" s="1"/>
  <c r="AA341" s="1"/>
  <c r="AB341" s="1"/>
  <c r="S342"/>
  <c r="T342" s="1"/>
  <c r="U342"/>
  <c r="V342" s="1"/>
  <c r="W342" s="1"/>
  <c r="X342" s="1"/>
  <c r="Y342" s="1"/>
  <c r="Z342" s="1"/>
  <c r="AA342" s="1"/>
  <c r="AB342" s="1"/>
  <c r="S343"/>
  <c r="T343" s="1"/>
  <c r="U343" s="1"/>
  <c r="V343" s="1"/>
  <c r="W343" s="1"/>
  <c r="X343" s="1"/>
  <c r="Y343" s="1"/>
  <c r="Z343" s="1"/>
  <c r="AA343" s="1"/>
  <c r="AB343" s="1"/>
  <c r="S344"/>
  <c r="T344" s="1"/>
  <c r="U344"/>
  <c r="V344" s="1"/>
  <c r="W344" s="1"/>
  <c r="X344" s="1"/>
  <c r="Y344" s="1"/>
  <c r="Z344" s="1"/>
  <c r="AA344" s="1"/>
  <c r="AB344" s="1"/>
  <c r="S345"/>
  <c r="T345" s="1"/>
  <c r="U345" s="1"/>
  <c r="V345" s="1"/>
  <c r="W345" s="1"/>
  <c r="X345" s="1"/>
  <c r="Y345" s="1"/>
  <c r="Z345" s="1"/>
  <c r="AA345" s="1"/>
  <c r="AB345" s="1"/>
  <c r="S346"/>
  <c r="T346" s="1"/>
  <c r="U346"/>
  <c r="V346" s="1"/>
  <c r="W346" s="1"/>
  <c r="X346" s="1"/>
  <c r="Y346" s="1"/>
  <c r="Z346" s="1"/>
  <c r="AA346" s="1"/>
  <c r="AB346" s="1"/>
  <c r="S347"/>
  <c r="T347" s="1"/>
  <c r="U347" s="1"/>
  <c r="V347" s="1"/>
  <c r="W347" s="1"/>
  <c r="X347" s="1"/>
  <c r="Y347" s="1"/>
  <c r="Z347" s="1"/>
  <c r="AA347" s="1"/>
  <c r="AB347" s="1"/>
  <c r="S348"/>
  <c r="T348" s="1"/>
  <c r="U348"/>
  <c r="V348" s="1"/>
  <c r="W348" s="1"/>
  <c r="X348" s="1"/>
  <c r="Y348" s="1"/>
  <c r="Z348" s="1"/>
  <c r="AA348" s="1"/>
  <c r="AB348" s="1"/>
  <c r="S349"/>
  <c r="T349" s="1"/>
  <c r="U349" s="1"/>
  <c r="V349" s="1"/>
  <c r="W349" s="1"/>
  <c r="X349" s="1"/>
  <c r="Y349" s="1"/>
  <c r="Z349" s="1"/>
  <c r="AA349" s="1"/>
  <c r="AB349" s="1"/>
  <c r="S350"/>
  <c r="T350" s="1"/>
  <c r="U350"/>
  <c r="V350" s="1"/>
  <c r="W350" s="1"/>
  <c r="X350" s="1"/>
  <c r="Y350" s="1"/>
  <c r="Z350" s="1"/>
  <c r="AA350" s="1"/>
  <c r="AB350" s="1"/>
  <c r="S351"/>
  <c r="T351" s="1"/>
  <c r="U351" s="1"/>
  <c r="V351" s="1"/>
  <c r="W351" s="1"/>
  <c r="X351" s="1"/>
  <c r="Y351" s="1"/>
  <c r="Z351" s="1"/>
  <c r="AA351" s="1"/>
  <c r="AB351" s="1"/>
  <c r="S352"/>
  <c r="T352" s="1"/>
  <c r="U352"/>
  <c r="V352" s="1"/>
  <c r="W352" s="1"/>
  <c r="X352" s="1"/>
  <c r="Y352" s="1"/>
  <c r="Z352" s="1"/>
  <c r="AA352" s="1"/>
  <c r="AB352" s="1"/>
  <c r="S353"/>
  <c r="T353" s="1"/>
  <c r="U353" s="1"/>
  <c r="V353" s="1"/>
  <c r="W353" s="1"/>
  <c r="X353" s="1"/>
  <c r="Y353" s="1"/>
  <c r="Z353" s="1"/>
  <c r="AA353" s="1"/>
  <c r="AB353" s="1"/>
  <c r="S354"/>
  <c r="T354" s="1"/>
  <c r="U354"/>
  <c r="V354" s="1"/>
  <c r="W354" s="1"/>
  <c r="X354" s="1"/>
  <c r="Y354" s="1"/>
  <c r="Z354" s="1"/>
  <c r="AA354" s="1"/>
  <c r="AB354" s="1"/>
  <c r="S355"/>
  <c r="T355" s="1"/>
  <c r="U355" s="1"/>
  <c r="V355" s="1"/>
  <c r="W355" s="1"/>
  <c r="X355" s="1"/>
  <c r="Y355" s="1"/>
  <c r="Z355" s="1"/>
  <c r="AA355" s="1"/>
  <c r="AB355" s="1"/>
  <c r="S356"/>
  <c r="T356" s="1"/>
  <c r="U356"/>
  <c r="V356" s="1"/>
  <c r="W356" s="1"/>
  <c r="X356" s="1"/>
  <c r="Y356" s="1"/>
  <c r="Z356" s="1"/>
  <c r="AA356" s="1"/>
  <c r="AB356" s="1"/>
  <c r="S357"/>
  <c r="T357" s="1"/>
  <c r="U357" s="1"/>
  <c r="V357" s="1"/>
  <c r="W357" s="1"/>
  <c r="X357" s="1"/>
  <c r="Y357" s="1"/>
  <c r="Z357" s="1"/>
  <c r="AA357" s="1"/>
  <c r="AB357" s="1"/>
  <c r="S358"/>
  <c r="T358" s="1"/>
  <c r="U358"/>
  <c r="V358" s="1"/>
  <c r="W358" s="1"/>
  <c r="X358" s="1"/>
  <c r="Y358" s="1"/>
  <c r="Z358" s="1"/>
  <c r="AA358" s="1"/>
  <c r="AB358" s="1"/>
  <c r="S359"/>
  <c r="T359" s="1"/>
  <c r="U359" s="1"/>
  <c r="V359" s="1"/>
  <c r="W359" s="1"/>
  <c r="X359" s="1"/>
  <c r="Y359" s="1"/>
  <c r="Z359" s="1"/>
  <c r="AA359" s="1"/>
  <c r="AB359" s="1"/>
  <c r="S360"/>
  <c r="T360" s="1"/>
  <c r="U360"/>
  <c r="V360" s="1"/>
  <c r="W360" s="1"/>
  <c r="X360" s="1"/>
  <c r="Y360" s="1"/>
  <c r="Z360" s="1"/>
  <c r="AA360" s="1"/>
  <c r="AB360" s="1"/>
  <c r="S361"/>
  <c r="T361" s="1"/>
  <c r="U361" s="1"/>
  <c r="V361" s="1"/>
  <c r="W361" s="1"/>
  <c r="X361" s="1"/>
  <c r="Y361" s="1"/>
  <c r="Z361" s="1"/>
  <c r="AA361" s="1"/>
  <c r="AB361" s="1"/>
  <c r="S362"/>
  <c r="T362" s="1"/>
  <c r="U362"/>
  <c r="V362" s="1"/>
  <c r="W362" s="1"/>
  <c r="X362" s="1"/>
  <c r="Y362" s="1"/>
  <c r="Z362" s="1"/>
  <c r="AA362" s="1"/>
  <c r="AB362" s="1"/>
  <c r="S363"/>
  <c r="T363" s="1"/>
  <c r="U363" s="1"/>
  <c r="V363" s="1"/>
  <c r="W363" s="1"/>
  <c r="X363" s="1"/>
  <c r="Y363" s="1"/>
  <c r="Z363" s="1"/>
  <c r="AA363" s="1"/>
  <c r="AB363" s="1"/>
  <c r="S364"/>
  <c r="T364" s="1"/>
  <c r="U364"/>
  <c r="V364" s="1"/>
  <c r="W364" s="1"/>
  <c r="X364" s="1"/>
  <c r="Y364" s="1"/>
  <c r="Z364" s="1"/>
  <c r="AA364" s="1"/>
  <c r="AB364" s="1"/>
  <c r="S365"/>
  <c r="T365" s="1"/>
  <c r="U365" s="1"/>
  <c r="V365" s="1"/>
  <c r="W365" s="1"/>
  <c r="X365" s="1"/>
  <c r="Y365" s="1"/>
  <c r="Z365" s="1"/>
  <c r="AA365" s="1"/>
  <c r="AB365" s="1"/>
  <c r="S366"/>
  <c r="T366" s="1"/>
  <c r="U366"/>
  <c r="V366" s="1"/>
  <c r="W366" s="1"/>
  <c r="X366" s="1"/>
  <c r="Y366" s="1"/>
  <c r="Z366" s="1"/>
  <c r="AA366" s="1"/>
  <c r="AB366" s="1"/>
  <c r="S367"/>
  <c r="T367" s="1"/>
  <c r="U367" s="1"/>
  <c r="V367" s="1"/>
  <c r="W367" s="1"/>
  <c r="X367" s="1"/>
  <c r="Y367" s="1"/>
  <c r="Z367" s="1"/>
  <c r="AA367" s="1"/>
  <c r="AB367" s="1"/>
  <c r="S368"/>
  <c r="T368" s="1"/>
  <c r="U368"/>
  <c r="V368" s="1"/>
  <c r="W368" s="1"/>
  <c r="X368" s="1"/>
  <c r="Y368" s="1"/>
  <c r="Z368" s="1"/>
  <c r="AA368" s="1"/>
  <c r="AB368" s="1"/>
  <c r="S369"/>
  <c r="T369" s="1"/>
  <c r="U369" s="1"/>
  <c r="V369" s="1"/>
  <c r="W369" s="1"/>
  <c r="X369" s="1"/>
  <c r="Y369" s="1"/>
  <c r="Z369" s="1"/>
  <c r="AA369" s="1"/>
  <c r="AB369" s="1"/>
  <c r="S370"/>
  <c r="T370" s="1"/>
  <c r="U370"/>
  <c r="V370" s="1"/>
  <c r="W370" s="1"/>
  <c r="X370" s="1"/>
  <c r="Y370" s="1"/>
  <c r="Z370" s="1"/>
  <c r="AA370" s="1"/>
  <c r="AB370" s="1"/>
  <c r="S371"/>
  <c r="T371" s="1"/>
  <c r="U371" s="1"/>
  <c r="V371" s="1"/>
  <c r="W371" s="1"/>
  <c r="X371" s="1"/>
  <c r="Y371" s="1"/>
  <c r="Z371" s="1"/>
  <c r="AA371" s="1"/>
  <c r="AB371" s="1"/>
  <c r="S372"/>
  <c r="T372" s="1"/>
  <c r="U372"/>
  <c r="V372" s="1"/>
  <c r="W372" s="1"/>
  <c r="X372" s="1"/>
  <c r="Y372" s="1"/>
  <c r="Z372" s="1"/>
  <c r="AA372" s="1"/>
  <c r="AB372" s="1"/>
  <c r="S373"/>
  <c r="T373" s="1"/>
  <c r="U373" s="1"/>
  <c r="V373" s="1"/>
  <c r="W373" s="1"/>
  <c r="X373" s="1"/>
  <c r="Y373" s="1"/>
  <c r="Z373" s="1"/>
  <c r="AA373" s="1"/>
  <c r="AB373" s="1"/>
  <c r="S374"/>
  <c r="T374" s="1"/>
  <c r="U374"/>
  <c r="V374" s="1"/>
  <c r="W374" s="1"/>
  <c r="X374" s="1"/>
  <c r="Y374" s="1"/>
  <c r="Z374" s="1"/>
  <c r="AA374" s="1"/>
  <c r="AB374" s="1"/>
  <c r="S375"/>
  <c r="T375" s="1"/>
  <c r="U375" s="1"/>
  <c r="V375" s="1"/>
  <c r="W375" s="1"/>
  <c r="X375" s="1"/>
  <c r="Y375" s="1"/>
  <c r="Z375" s="1"/>
  <c r="AA375" s="1"/>
  <c r="AB375" s="1"/>
  <c r="S376"/>
  <c r="T376" s="1"/>
  <c r="U376"/>
  <c r="V376" s="1"/>
  <c r="W376" s="1"/>
  <c r="X376" s="1"/>
  <c r="Y376" s="1"/>
  <c r="Z376" s="1"/>
  <c r="AA376" s="1"/>
  <c r="AB376" s="1"/>
  <c r="S377"/>
  <c r="T377" s="1"/>
  <c r="U377" s="1"/>
  <c r="V377" s="1"/>
  <c r="W377" s="1"/>
  <c r="X377" s="1"/>
  <c r="Y377" s="1"/>
  <c r="Z377" s="1"/>
  <c r="AA377" s="1"/>
  <c r="AB377" s="1"/>
  <c r="S378"/>
  <c r="T378" s="1"/>
  <c r="U378"/>
  <c r="V378" s="1"/>
  <c r="W378" s="1"/>
  <c r="X378" s="1"/>
  <c r="Y378" s="1"/>
  <c r="Z378" s="1"/>
  <c r="AA378" s="1"/>
  <c r="AB378" s="1"/>
  <c r="S379"/>
  <c r="T379" s="1"/>
  <c r="U379" s="1"/>
  <c r="V379" s="1"/>
  <c r="W379" s="1"/>
  <c r="X379" s="1"/>
  <c r="Y379" s="1"/>
  <c r="Z379" s="1"/>
  <c r="AA379" s="1"/>
  <c r="AB379" s="1"/>
  <c r="S380"/>
  <c r="T380" s="1"/>
  <c r="U380"/>
  <c r="V380" s="1"/>
  <c r="W380" s="1"/>
  <c r="X380" s="1"/>
  <c r="Y380" s="1"/>
  <c r="Z380" s="1"/>
  <c r="AA380" s="1"/>
  <c r="AB380" s="1"/>
  <c r="S381"/>
  <c r="T381" s="1"/>
  <c r="U381" s="1"/>
  <c r="V381" s="1"/>
  <c r="W381" s="1"/>
  <c r="X381" s="1"/>
  <c r="Y381" s="1"/>
  <c r="Z381" s="1"/>
  <c r="AA381" s="1"/>
  <c r="AB381" s="1"/>
  <c r="S382"/>
  <c r="T382" s="1"/>
  <c r="U382"/>
  <c r="V382" s="1"/>
  <c r="W382" s="1"/>
  <c r="X382" s="1"/>
  <c r="Y382" s="1"/>
  <c r="Z382" s="1"/>
  <c r="AA382" s="1"/>
  <c r="AB382" s="1"/>
  <c r="S383"/>
  <c r="T383" s="1"/>
  <c r="U383" s="1"/>
  <c r="V383" s="1"/>
  <c r="W383" s="1"/>
  <c r="X383" s="1"/>
  <c r="Y383" s="1"/>
  <c r="Z383" s="1"/>
  <c r="AA383" s="1"/>
  <c r="AB383" s="1"/>
  <c r="S384"/>
  <c r="T384" s="1"/>
  <c r="U384"/>
  <c r="V384" s="1"/>
  <c r="W384" s="1"/>
  <c r="X384" s="1"/>
  <c r="Y384" s="1"/>
  <c r="Z384" s="1"/>
  <c r="AA384" s="1"/>
  <c r="AB384" s="1"/>
  <c r="S385"/>
  <c r="T385" s="1"/>
  <c r="U385" s="1"/>
  <c r="V385" s="1"/>
  <c r="W385" s="1"/>
  <c r="X385" s="1"/>
  <c r="Y385" s="1"/>
  <c r="Z385" s="1"/>
  <c r="AA385" s="1"/>
  <c r="AB385" s="1"/>
  <c r="S386"/>
  <c r="T386" s="1"/>
  <c r="U386"/>
  <c r="V386" s="1"/>
  <c r="W386" s="1"/>
  <c r="X386" s="1"/>
  <c r="Y386" s="1"/>
  <c r="Z386" s="1"/>
  <c r="AA386" s="1"/>
  <c r="AB386" s="1"/>
  <c r="S387"/>
  <c r="T387" s="1"/>
  <c r="U387" s="1"/>
  <c r="V387" s="1"/>
  <c r="W387" s="1"/>
  <c r="X387" s="1"/>
  <c r="Y387" s="1"/>
  <c r="Z387" s="1"/>
  <c r="AA387" s="1"/>
  <c r="AB387" s="1"/>
  <c r="S388"/>
  <c r="T388" s="1"/>
  <c r="U388"/>
  <c r="V388" s="1"/>
  <c r="W388" s="1"/>
  <c r="X388" s="1"/>
  <c r="Y388" s="1"/>
  <c r="Z388" s="1"/>
  <c r="AA388" s="1"/>
  <c r="AB388" s="1"/>
  <c r="S389"/>
  <c r="T389" s="1"/>
  <c r="U389" s="1"/>
  <c r="V389" s="1"/>
  <c r="W389" s="1"/>
  <c r="X389" s="1"/>
  <c r="Y389" s="1"/>
  <c r="Z389" s="1"/>
  <c r="AA389" s="1"/>
  <c r="AB389" s="1"/>
  <c r="S390"/>
  <c r="T390" s="1"/>
  <c r="U390"/>
  <c r="V390" s="1"/>
  <c r="W390" s="1"/>
  <c r="X390" s="1"/>
  <c r="Y390" s="1"/>
  <c r="Z390" s="1"/>
  <c r="AA390" s="1"/>
  <c r="AB390" s="1"/>
  <c r="S391"/>
  <c r="T391" s="1"/>
  <c r="U391" s="1"/>
  <c r="V391" s="1"/>
  <c r="W391" s="1"/>
  <c r="X391" s="1"/>
  <c r="Y391" s="1"/>
  <c r="Z391" s="1"/>
  <c r="AA391" s="1"/>
  <c r="AB391" s="1"/>
  <c r="S392"/>
  <c r="T392" s="1"/>
  <c r="U392"/>
  <c r="V392" s="1"/>
  <c r="W392" s="1"/>
  <c r="X392" s="1"/>
  <c r="Y392" s="1"/>
  <c r="Z392" s="1"/>
  <c r="AA392" s="1"/>
  <c r="AB392" s="1"/>
  <c r="S393"/>
  <c r="T393" s="1"/>
  <c r="U393" s="1"/>
  <c r="V393" s="1"/>
  <c r="W393" s="1"/>
  <c r="X393" s="1"/>
  <c r="Y393" s="1"/>
  <c r="Z393" s="1"/>
  <c r="AA393" s="1"/>
  <c r="AB393" s="1"/>
  <c r="S394"/>
  <c r="T394" s="1"/>
  <c r="U394"/>
  <c r="V394" s="1"/>
  <c r="W394" s="1"/>
  <c r="X394" s="1"/>
  <c r="Y394" s="1"/>
  <c r="Z394" s="1"/>
  <c r="AA394" s="1"/>
  <c r="AB394" s="1"/>
  <c r="S395"/>
  <c r="T395" s="1"/>
  <c r="U395" s="1"/>
  <c r="V395" s="1"/>
  <c r="W395" s="1"/>
  <c r="X395" s="1"/>
  <c r="Y395" s="1"/>
  <c r="Z395" s="1"/>
  <c r="AA395" s="1"/>
  <c r="AB395" s="1"/>
  <c r="S396"/>
  <c r="T396" s="1"/>
  <c r="U396"/>
  <c r="V396" s="1"/>
  <c r="W396" s="1"/>
  <c r="X396" s="1"/>
  <c r="Y396" s="1"/>
  <c r="Z396" s="1"/>
  <c r="AA396" s="1"/>
  <c r="AB396" s="1"/>
  <c r="S397"/>
  <c r="T397" s="1"/>
  <c r="U397" s="1"/>
  <c r="V397" s="1"/>
  <c r="W397" s="1"/>
  <c r="X397" s="1"/>
  <c r="Y397" s="1"/>
  <c r="Z397" s="1"/>
  <c r="AA397" s="1"/>
  <c r="AB397" s="1"/>
  <c r="S398"/>
  <c r="T398" s="1"/>
  <c r="U398"/>
  <c r="V398" s="1"/>
  <c r="W398" s="1"/>
  <c r="X398" s="1"/>
  <c r="Y398" s="1"/>
  <c r="Z398" s="1"/>
  <c r="AA398" s="1"/>
  <c r="AB398" s="1"/>
  <c r="S399"/>
  <c r="T399" s="1"/>
  <c r="U399" s="1"/>
  <c r="V399" s="1"/>
  <c r="W399" s="1"/>
  <c r="X399" s="1"/>
  <c r="Y399" s="1"/>
  <c r="Z399" s="1"/>
  <c r="AA399" s="1"/>
  <c r="AB399" s="1"/>
  <c r="S400"/>
  <c r="T400" s="1"/>
  <c r="U400"/>
  <c r="V400" s="1"/>
  <c r="W400" s="1"/>
  <c r="X400" s="1"/>
  <c r="Y400" s="1"/>
  <c r="Z400" s="1"/>
  <c r="AA400" s="1"/>
  <c r="AB400" s="1"/>
  <c r="S401"/>
  <c r="T401" s="1"/>
  <c r="U401" s="1"/>
  <c r="V401" s="1"/>
  <c r="W401" s="1"/>
  <c r="X401" s="1"/>
  <c r="Y401" s="1"/>
  <c r="Z401" s="1"/>
  <c r="AA401" s="1"/>
  <c r="AB401" s="1"/>
  <c r="S402"/>
  <c r="T402" s="1"/>
  <c r="U402"/>
  <c r="V402" s="1"/>
  <c r="W402" s="1"/>
  <c r="X402" s="1"/>
  <c r="Y402" s="1"/>
  <c r="Z402" s="1"/>
  <c r="AA402" s="1"/>
  <c r="AB402" s="1"/>
  <c r="S403"/>
  <c r="T403" s="1"/>
  <c r="U403" s="1"/>
  <c r="V403" s="1"/>
  <c r="W403" s="1"/>
  <c r="X403" s="1"/>
  <c r="Y403" s="1"/>
  <c r="Z403" s="1"/>
  <c r="AA403" s="1"/>
  <c r="AB403" s="1"/>
  <c r="S404"/>
  <c r="T404" s="1"/>
  <c r="U404"/>
  <c r="V404" s="1"/>
  <c r="W404" s="1"/>
  <c r="X404" s="1"/>
  <c r="Y404" s="1"/>
  <c r="Z404" s="1"/>
  <c r="AA404" s="1"/>
  <c r="AB404" s="1"/>
  <c r="S405"/>
  <c r="T405" s="1"/>
  <c r="U405" s="1"/>
  <c r="V405" s="1"/>
  <c r="W405" s="1"/>
  <c r="X405" s="1"/>
  <c r="Y405" s="1"/>
  <c r="Z405" s="1"/>
  <c r="AA405" s="1"/>
  <c r="AB405" s="1"/>
  <c r="S406"/>
  <c r="T406" s="1"/>
  <c r="U406"/>
  <c r="V406" s="1"/>
  <c r="W406" s="1"/>
  <c r="X406" s="1"/>
  <c r="Y406" s="1"/>
  <c r="Z406" s="1"/>
  <c r="AA406" s="1"/>
  <c r="AB406" s="1"/>
  <c r="S407"/>
  <c r="T407" s="1"/>
  <c r="U407" s="1"/>
  <c r="V407" s="1"/>
  <c r="W407" s="1"/>
  <c r="X407" s="1"/>
  <c r="Y407" s="1"/>
  <c r="Z407" s="1"/>
  <c r="AA407" s="1"/>
  <c r="AB407" s="1"/>
  <c r="S408"/>
  <c r="T408" s="1"/>
  <c r="U408"/>
  <c r="V408" s="1"/>
  <c r="W408" s="1"/>
  <c r="X408" s="1"/>
  <c r="Y408" s="1"/>
  <c r="Z408" s="1"/>
  <c r="AA408" s="1"/>
  <c r="AB408" s="1"/>
  <c r="S409"/>
  <c r="T409" s="1"/>
  <c r="U409" s="1"/>
  <c r="V409" s="1"/>
  <c r="W409" s="1"/>
  <c r="X409" s="1"/>
  <c r="Y409" s="1"/>
  <c r="Z409" s="1"/>
  <c r="AA409" s="1"/>
  <c r="AB409" s="1"/>
  <c r="S410"/>
  <c r="T410" s="1"/>
  <c r="U410"/>
  <c r="V410" s="1"/>
  <c r="W410" s="1"/>
  <c r="X410" s="1"/>
  <c r="Y410" s="1"/>
  <c r="Z410" s="1"/>
  <c r="AA410" s="1"/>
  <c r="AB410" s="1"/>
  <c r="S411"/>
  <c r="T411" s="1"/>
  <c r="U411" s="1"/>
  <c r="V411" s="1"/>
  <c r="W411" s="1"/>
  <c r="X411" s="1"/>
  <c r="Y411" s="1"/>
  <c r="Z411" s="1"/>
  <c r="AA411" s="1"/>
  <c r="AB411" s="1"/>
  <c r="S412"/>
  <c r="T412" s="1"/>
  <c r="U412"/>
  <c r="V412" s="1"/>
  <c r="W412" s="1"/>
  <c r="X412" s="1"/>
  <c r="Y412" s="1"/>
  <c r="Z412" s="1"/>
  <c r="AA412" s="1"/>
  <c r="AB412" s="1"/>
  <c r="S413"/>
  <c r="T413" s="1"/>
  <c r="U413" s="1"/>
  <c r="V413" s="1"/>
  <c r="W413" s="1"/>
  <c r="X413" s="1"/>
  <c r="Y413" s="1"/>
  <c r="Z413" s="1"/>
  <c r="AA413" s="1"/>
  <c r="AB413" s="1"/>
  <c r="S414"/>
  <c r="T414" s="1"/>
  <c r="U414"/>
  <c r="V414" s="1"/>
  <c r="W414" s="1"/>
  <c r="X414" s="1"/>
  <c r="Y414" s="1"/>
  <c r="Z414" s="1"/>
  <c r="AA414" s="1"/>
  <c r="AB414" s="1"/>
  <c r="S415"/>
  <c r="T415" s="1"/>
  <c r="U415" s="1"/>
  <c r="V415" s="1"/>
  <c r="W415" s="1"/>
  <c r="X415" s="1"/>
  <c r="Y415" s="1"/>
  <c r="Z415" s="1"/>
  <c r="AA415" s="1"/>
  <c r="AB415" s="1"/>
  <c r="S416"/>
  <c r="T416" s="1"/>
  <c r="U416"/>
  <c r="V416" s="1"/>
  <c r="W416" s="1"/>
  <c r="X416" s="1"/>
  <c r="Y416" s="1"/>
  <c r="Z416" s="1"/>
  <c r="AA416" s="1"/>
  <c r="AB416" s="1"/>
  <c r="S417"/>
  <c r="T417" s="1"/>
  <c r="U417" s="1"/>
  <c r="V417" s="1"/>
  <c r="W417" s="1"/>
  <c r="X417" s="1"/>
  <c r="Y417" s="1"/>
  <c r="Z417" s="1"/>
  <c r="AA417" s="1"/>
  <c r="AB417" s="1"/>
  <c r="S418"/>
  <c r="T418" s="1"/>
  <c r="U418"/>
  <c r="V418" s="1"/>
  <c r="W418" s="1"/>
  <c r="X418" s="1"/>
  <c r="Y418" s="1"/>
  <c r="Z418" s="1"/>
  <c r="AA418" s="1"/>
  <c r="AB418" s="1"/>
  <c r="S419"/>
  <c r="T419"/>
  <c r="U419" s="1"/>
  <c r="V419" s="1"/>
  <c r="W419" s="1"/>
  <c r="X419" s="1"/>
  <c r="Y419" s="1"/>
  <c r="Z419" s="1"/>
  <c r="AA419" s="1"/>
  <c r="AB419" s="1"/>
  <c r="S420"/>
  <c r="T420"/>
  <c r="U420" s="1"/>
  <c r="V420" s="1"/>
  <c r="W420" s="1"/>
  <c r="X420" s="1"/>
  <c r="Y420" s="1"/>
  <c r="Z420" s="1"/>
  <c r="AA420" s="1"/>
  <c r="AB420" s="1"/>
  <c r="S421"/>
  <c r="T421"/>
  <c r="U421" s="1"/>
  <c r="V421" s="1"/>
  <c r="W421" s="1"/>
  <c r="X421" s="1"/>
  <c r="Y421" s="1"/>
  <c r="Z421" s="1"/>
  <c r="AA421" s="1"/>
  <c r="AB421" s="1"/>
  <c r="S422"/>
  <c r="T422"/>
  <c r="U422" s="1"/>
  <c r="V422" s="1"/>
  <c r="W422" s="1"/>
  <c r="X422" s="1"/>
  <c r="Y422" s="1"/>
  <c r="Z422" s="1"/>
  <c r="AA422" s="1"/>
  <c r="AB422" s="1"/>
  <c r="S423"/>
  <c r="T423"/>
  <c r="U423" s="1"/>
  <c r="V423" s="1"/>
  <c r="W423" s="1"/>
  <c r="X423" s="1"/>
  <c r="Y423" s="1"/>
  <c r="Z423" s="1"/>
  <c r="AA423" s="1"/>
  <c r="AB423" s="1"/>
  <c r="S424"/>
  <c r="T424"/>
  <c r="U424" s="1"/>
  <c r="V424" s="1"/>
  <c r="W424" s="1"/>
  <c r="X424" s="1"/>
  <c r="Y424" s="1"/>
  <c r="Z424" s="1"/>
  <c r="AA424" s="1"/>
  <c r="AB424" s="1"/>
  <c r="S425"/>
  <c r="T425"/>
  <c r="U425" s="1"/>
  <c r="V425" s="1"/>
  <c r="W425" s="1"/>
  <c r="X425" s="1"/>
  <c r="Y425" s="1"/>
  <c r="Z425" s="1"/>
  <c r="AA425" s="1"/>
  <c r="AB425" s="1"/>
  <c r="S426"/>
  <c r="T426"/>
  <c r="U426" s="1"/>
  <c r="V426" s="1"/>
  <c r="W426" s="1"/>
  <c r="X426" s="1"/>
  <c r="Y426" s="1"/>
  <c r="Z426" s="1"/>
  <c r="AA426" s="1"/>
  <c r="AB426" s="1"/>
  <c r="S427"/>
  <c r="T427"/>
  <c r="U427" s="1"/>
  <c r="V427" s="1"/>
  <c r="W427" s="1"/>
  <c r="X427" s="1"/>
  <c r="Y427" s="1"/>
  <c r="Z427" s="1"/>
  <c r="AA427" s="1"/>
  <c r="AB427" s="1"/>
  <c r="S428"/>
  <c r="T428"/>
  <c r="U428" s="1"/>
  <c r="V428" s="1"/>
  <c r="W428" s="1"/>
  <c r="X428" s="1"/>
  <c r="Y428" s="1"/>
  <c r="Z428" s="1"/>
  <c r="AA428" s="1"/>
  <c r="AB428" s="1"/>
  <c r="S429"/>
  <c r="T429"/>
  <c r="U429" s="1"/>
  <c r="V429" s="1"/>
  <c r="W429" s="1"/>
  <c r="X429" s="1"/>
  <c r="Y429" s="1"/>
  <c r="Z429" s="1"/>
  <c r="AA429" s="1"/>
  <c r="AB429" s="1"/>
  <c r="S430"/>
  <c r="T430"/>
  <c r="U430" s="1"/>
  <c r="V430" s="1"/>
  <c r="W430" s="1"/>
  <c r="X430" s="1"/>
  <c r="Y430" s="1"/>
  <c r="Z430" s="1"/>
  <c r="AA430" s="1"/>
  <c r="AB430" s="1"/>
  <c r="S431"/>
  <c r="T431"/>
  <c r="U431" s="1"/>
  <c r="V431" s="1"/>
  <c r="W431" s="1"/>
  <c r="X431" s="1"/>
  <c r="Y431" s="1"/>
  <c r="Z431" s="1"/>
  <c r="AA431" s="1"/>
  <c r="AB431" s="1"/>
  <c r="S432"/>
  <c r="T432"/>
  <c r="U432" s="1"/>
  <c r="V432" s="1"/>
  <c r="W432" s="1"/>
  <c r="X432" s="1"/>
  <c r="Y432" s="1"/>
  <c r="Z432" s="1"/>
  <c r="AA432" s="1"/>
  <c r="AB432" s="1"/>
  <c r="S433"/>
  <c r="T433"/>
  <c r="U433" s="1"/>
  <c r="V433" s="1"/>
  <c r="W433" s="1"/>
  <c r="X433" s="1"/>
  <c r="Y433" s="1"/>
  <c r="Z433" s="1"/>
  <c r="AA433" s="1"/>
  <c r="AB433" s="1"/>
  <c r="S434"/>
  <c r="T434"/>
  <c r="U434" s="1"/>
  <c r="V434" s="1"/>
  <c r="W434" s="1"/>
  <c r="X434" s="1"/>
  <c r="Y434" s="1"/>
  <c r="Z434" s="1"/>
  <c r="AA434" s="1"/>
  <c r="AB434" s="1"/>
  <c r="S435"/>
  <c r="T435"/>
  <c r="U435" s="1"/>
  <c r="V435" s="1"/>
  <c r="W435" s="1"/>
  <c r="X435" s="1"/>
  <c r="Y435" s="1"/>
  <c r="Z435" s="1"/>
  <c r="AA435" s="1"/>
  <c r="AB435" s="1"/>
  <c r="S436"/>
  <c r="T436"/>
  <c r="U436" s="1"/>
  <c r="V436" s="1"/>
  <c r="W436" s="1"/>
  <c r="X436" s="1"/>
  <c r="Y436" s="1"/>
  <c r="Z436" s="1"/>
  <c r="AA436" s="1"/>
  <c r="AB436" s="1"/>
  <c r="S437"/>
  <c r="T437"/>
  <c r="U437" s="1"/>
  <c r="V437" s="1"/>
  <c r="W437" s="1"/>
  <c r="X437" s="1"/>
  <c r="Y437" s="1"/>
  <c r="Z437" s="1"/>
  <c r="AA437" s="1"/>
  <c r="AB437" s="1"/>
  <c r="S438"/>
  <c r="T438"/>
  <c r="U438" s="1"/>
  <c r="V438" s="1"/>
  <c r="W438" s="1"/>
  <c r="X438" s="1"/>
  <c r="Y438" s="1"/>
  <c r="Z438" s="1"/>
  <c r="AA438" s="1"/>
  <c r="AB438" s="1"/>
  <c r="S439"/>
  <c r="T439"/>
  <c r="U439" s="1"/>
  <c r="V439" s="1"/>
  <c r="W439" s="1"/>
  <c r="X439" s="1"/>
  <c r="Y439" s="1"/>
  <c r="Z439" s="1"/>
  <c r="AA439" s="1"/>
  <c r="AB439" s="1"/>
  <c r="S440"/>
  <c r="T440"/>
  <c r="U440" s="1"/>
  <c r="V440" s="1"/>
  <c r="W440" s="1"/>
  <c r="X440" s="1"/>
  <c r="Y440" s="1"/>
  <c r="Z440" s="1"/>
  <c r="AA440" s="1"/>
  <c r="AB440" s="1"/>
  <c r="S441"/>
  <c r="T441"/>
  <c r="U441" s="1"/>
  <c r="V441" s="1"/>
  <c r="W441" s="1"/>
  <c r="X441" s="1"/>
  <c r="Y441" s="1"/>
  <c r="Z441" s="1"/>
  <c r="AA441" s="1"/>
  <c r="AB441" s="1"/>
  <c r="S442"/>
  <c r="T442"/>
  <c r="U442" s="1"/>
  <c r="V442" s="1"/>
  <c r="W442" s="1"/>
  <c r="X442" s="1"/>
  <c r="Y442" s="1"/>
  <c r="Z442" s="1"/>
  <c r="AA442" s="1"/>
  <c r="AB442" s="1"/>
  <c r="S443"/>
  <c r="T443"/>
  <c r="U443" s="1"/>
  <c r="V443" s="1"/>
  <c r="W443" s="1"/>
  <c r="X443" s="1"/>
  <c r="Y443" s="1"/>
  <c r="Z443" s="1"/>
  <c r="AA443" s="1"/>
  <c r="AB443" s="1"/>
  <c r="S444"/>
  <c r="T444"/>
  <c r="U444" s="1"/>
  <c r="V444" s="1"/>
  <c r="W444" s="1"/>
  <c r="X444" s="1"/>
  <c r="Y444" s="1"/>
  <c r="Z444" s="1"/>
  <c r="AA444" s="1"/>
  <c r="AB444" s="1"/>
  <c r="S445"/>
  <c r="T445"/>
  <c r="U445" s="1"/>
  <c r="V445" s="1"/>
  <c r="W445" s="1"/>
  <c r="X445" s="1"/>
  <c r="Y445" s="1"/>
  <c r="Z445" s="1"/>
  <c r="AA445" s="1"/>
  <c r="AB445" s="1"/>
  <c r="S446"/>
  <c r="T446"/>
  <c r="U446" s="1"/>
  <c r="V446" s="1"/>
  <c r="W446" s="1"/>
  <c r="X446" s="1"/>
  <c r="Y446" s="1"/>
  <c r="Z446" s="1"/>
  <c r="AA446" s="1"/>
  <c r="AB446" s="1"/>
  <c r="S447"/>
  <c r="T447"/>
  <c r="U447" s="1"/>
  <c r="V447" s="1"/>
  <c r="W447" s="1"/>
  <c r="X447" s="1"/>
  <c r="Y447" s="1"/>
  <c r="Z447" s="1"/>
  <c r="AA447" s="1"/>
  <c r="AB447" s="1"/>
  <c r="S448"/>
  <c r="T448"/>
  <c r="U448" s="1"/>
  <c r="V448" s="1"/>
  <c r="W448" s="1"/>
  <c r="X448" s="1"/>
  <c r="Y448" s="1"/>
  <c r="Z448" s="1"/>
  <c r="AA448" s="1"/>
  <c r="AB448" s="1"/>
  <c r="S449"/>
  <c r="T449"/>
  <c r="U449" s="1"/>
  <c r="V449" s="1"/>
  <c r="W449" s="1"/>
  <c r="X449" s="1"/>
  <c r="Y449" s="1"/>
  <c r="Z449" s="1"/>
  <c r="AA449" s="1"/>
  <c r="AB449" s="1"/>
  <c r="S450"/>
  <c r="T450"/>
  <c r="U450" s="1"/>
  <c r="V450" s="1"/>
  <c r="W450" s="1"/>
  <c r="X450" s="1"/>
  <c r="Y450" s="1"/>
  <c r="Z450" s="1"/>
  <c r="AA450" s="1"/>
  <c r="AB450" s="1"/>
  <c r="S451"/>
  <c r="T451"/>
  <c r="U451" s="1"/>
  <c r="V451" s="1"/>
  <c r="W451" s="1"/>
  <c r="X451" s="1"/>
  <c r="Y451" s="1"/>
  <c r="Z451" s="1"/>
  <c r="AA451" s="1"/>
  <c r="AB451" s="1"/>
  <c r="S452"/>
  <c r="T452"/>
  <c r="U452" s="1"/>
  <c r="V452" s="1"/>
  <c r="W452" s="1"/>
  <c r="X452" s="1"/>
  <c r="Y452" s="1"/>
  <c r="Z452" s="1"/>
  <c r="AA452" s="1"/>
  <c r="AB452" s="1"/>
  <c r="S453"/>
  <c r="T453"/>
  <c r="U453" s="1"/>
  <c r="V453" s="1"/>
  <c r="W453" s="1"/>
  <c r="X453" s="1"/>
  <c r="Y453" s="1"/>
  <c r="Z453" s="1"/>
  <c r="AA453" s="1"/>
  <c r="AB453" s="1"/>
  <c r="S454"/>
  <c r="T454"/>
  <c r="U454" s="1"/>
  <c r="V454" s="1"/>
  <c r="W454" s="1"/>
  <c r="X454" s="1"/>
  <c r="Y454" s="1"/>
  <c r="Z454" s="1"/>
  <c r="AA454" s="1"/>
  <c r="AB454" s="1"/>
  <c r="S455"/>
  <c r="T455"/>
  <c r="U455" s="1"/>
  <c r="V455" s="1"/>
  <c r="W455" s="1"/>
  <c r="X455" s="1"/>
  <c r="Y455" s="1"/>
  <c r="Z455" s="1"/>
  <c r="AA455" s="1"/>
  <c r="AB455" s="1"/>
  <c r="S456"/>
  <c r="T456"/>
  <c r="U456" s="1"/>
  <c r="V456" s="1"/>
  <c r="W456" s="1"/>
  <c r="X456" s="1"/>
  <c r="Y456" s="1"/>
  <c r="Z456" s="1"/>
  <c r="AA456" s="1"/>
  <c r="AB456" s="1"/>
  <c r="S457"/>
  <c r="T457"/>
  <c r="U457" s="1"/>
  <c r="V457" s="1"/>
  <c r="W457" s="1"/>
  <c r="X457" s="1"/>
  <c r="Y457" s="1"/>
  <c r="Z457" s="1"/>
  <c r="AA457" s="1"/>
  <c r="AB457" s="1"/>
  <c r="S458"/>
  <c r="T458"/>
  <c r="U458" s="1"/>
  <c r="V458" s="1"/>
  <c r="W458" s="1"/>
  <c r="X458" s="1"/>
  <c r="Y458" s="1"/>
  <c r="Z458" s="1"/>
  <c r="AA458" s="1"/>
  <c r="AB458" s="1"/>
  <c r="S459"/>
  <c r="T459"/>
  <c r="U459" s="1"/>
  <c r="V459" s="1"/>
  <c r="W459" s="1"/>
  <c r="X459" s="1"/>
  <c r="Y459" s="1"/>
  <c r="Z459" s="1"/>
  <c r="AA459" s="1"/>
  <c r="AB459" s="1"/>
  <c r="S460"/>
  <c r="T460"/>
  <c r="U460" s="1"/>
  <c r="V460" s="1"/>
  <c r="W460" s="1"/>
  <c r="X460" s="1"/>
  <c r="Y460" s="1"/>
  <c r="Z460" s="1"/>
  <c r="AA460" s="1"/>
  <c r="AB460" s="1"/>
  <c r="S461"/>
  <c r="T461"/>
  <c r="U461" s="1"/>
  <c r="V461" s="1"/>
  <c r="W461" s="1"/>
  <c r="X461" s="1"/>
  <c r="Y461" s="1"/>
  <c r="Z461" s="1"/>
  <c r="AA461" s="1"/>
  <c r="AB461" s="1"/>
  <c r="S462"/>
  <c r="T462"/>
  <c r="U462" s="1"/>
  <c r="V462" s="1"/>
  <c r="W462" s="1"/>
  <c r="X462" s="1"/>
  <c r="Y462" s="1"/>
  <c r="Z462" s="1"/>
  <c r="AA462" s="1"/>
  <c r="AB462" s="1"/>
  <c r="S463"/>
  <c r="T463"/>
  <c r="U463" s="1"/>
  <c r="V463" s="1"/>
  <c r="W463" s="1"/>
  <c r="X463" s="1"/>
  <c r="Y463" s="1"/>
  <c r="Z463" s="1"/>
  <c r="AA463" s="1"/>
  <c r="AB463" s="1"/>
  <c r="S464"/>
  <c r="T464"/>
  <c r="U464" s="1"/>
  <c r="V464" s="1"/>
  <c r="W464" s="1"/>
  <c r="X464" s="1"/>
  <c r="Y464" s="1"/>
  <c r="Z464" s="1"/>
  <c r="AA464" s="1"/>
  <c r="AB464" s="1"/>
  <c r="S465"/>
  <c r="T465"/>
  <c r="U465" s="1"/>
  <c r="V465" s="1"/>
  <c r="W465" s="1"/>
  <c r="X465" s="1"/>
  <c r="Y465" s="1"/>
  <c r="Z465" s="1"/>
  <c r="AA465" s="1"/>
  <c r="AB465" s="1"/>
  <c r="S466"/>
  <c r="T466"/>
  <c r="U466" s="1"/>
  <c r="V466" s="1"/>
  <c r="W466" s="1"/>
  <c r="X466" s="1"/>
  <c r="Y466" s="1"/>
  <c r="Z466" s="1"/>
  <c r="AA466" s="1"/>
  <c r="AB466" s="1"/>
  <c r="S467"/>
  <c r="T467"/>
  <c r="U467" s="1"/>
  <c r="V467" s="1"/>
  <c r="W467" s="1"/>
  <c r="X467" s="1"/>
  <c r="Y467" s="1"/>
  <c r="Z467" s="1"/>
  <c r="AA467" s="1"/>
  <c r="AB467" s="1"/>
  <c r="S468"/>
  <c r="T468"/>
  <c r="U468" s="1"/>
  <c r="V468" s="1"/>
  <c r="W468" s="1"/>
  <c r="X468" s="1"/>
  <c r="Y468" s="1"/>
  <c r="Z468" s="1"/>
  <c r="AA468" s="1"/>
  <c r="AB468" s="1"/>
  <c r="S469"/>
  <c r="T469"/>
  <c r="U469" s="1"/>
  <c r="V469" s="1"/>
  <c r="W469" s="1"/>
  <c r="X469" s="1"/>
  <c r="Y469" s="1"/>
  <c r="Z469" s="1"/>
  <c r="AA469" s="1"/>
  <c r="AB469" s="1"/>
  <c r="S470"/>
  <c r="T470"/>
  <c r="U470" s="1"/>
  <c r="V470" s="1"/>
  <c r="W470" s="1"/>
  <c r="X470" s="1"/>
  <c r="Y470" s="1"/>
  <c r="Z470" s="1"/>
  <c r="AA470" s="1"/>
  <c r="AB470" s="1"/>
  <c r="S471"/>
  <c r="T471"/>
  <c r="U471" s="1"/>
  <c r="V471" s="1"/>
  <c r="W471" s="1"/>
  <c r="X471" s="1"/>
  <c r="Y471" s="1"/>
  <c r="Z471" s="1"/>
  <c r="AA471" s="1"/>
  <c r="AB471" s="1"/>
  <c r="S472"/>
  <c r="T472"/>
  <c r="U472" s="1"/>
  <c r="V472" s="1"/>
  <c r="W472" s="1"/>
  <c r="X472" s="1"/>
  <c r="Y472" s="1"/>
  <c r="Z472" s="1"/>
  <c r="AA472" s="1"/>
  <c r="AB472" s="1"/>
  <c r="S473"/>
  <c r="T473"/>
  <c r="U473" s="1"/>
  <c r="V473" s="1"/>
  <c r="W473" s="1"/>
  <c r="X473" s="1"/>
  <c r="Y473" s="1"/>
  <c r="Z473" s="1"/>
  <c r="AA473" s="1"/>
  <c r="AB473" s="1"/>
  <c r="S474"/>
  <c r="T474"/>
  <c r="U474" s="1"/>
  <c r="V474" s="1"/>
  <c r="W474" s="1"/>
  <c r="X474" s="1"/>
  <c r="Y474" s="1"/>
  <c r="Z474" s="1"/>
  <c r="AA474" s="1"/>
  <c r="AB474" s="1"/>
  <c r="S475"/>
  <c r="T475"/>
  <c r="U475" s="1"/>
  <c r="V475" s="1"/>
  <c r="W475" s="1"/>
  <c r="X475" s="1"/>
  <c r="Y475" s="1"/>
  <c r="Z475" s="1"/>
  <c r="AA475" s="1"/>
  <c r="AB475" s="1"/>
  <c r="S476"/>
  <c r="T476"/>
  <c r="U476" s="1"/>
  <c r="V476" s="1"/>
  <c r="W476" s="1"/>
  <c r="X476" s="1"/>
  <c r="Y476" s="1"/>
  <c r="Z476" s="1"/>
  <c r="AA476" s="1"/>
  <c r="AB476" s="1"/>
  <c r="S477"/>
  <c r="T477"/>
  <c r="U477" s="1"/>
  <c r="V477" s="1"/>
  <c r="W477" s="1"/>
  <c r="X477" s="1"/>
  <c r="Y477" s="1"/>
  <c r="Z477" s="1"/>
  <c r="AA477" s="1"/>
  <c r="AB477" s="1"/>
  <c r="S478"/>
  <c r="T478"/>
  <c r="U478" s="1"/>
  <c r="V478" s="1"/>
  <c r="W478" s="1"/>
  <c r="X478" s="1"/>
  <c r="Y478" s="1"/>
  <c r="Z478" s="1"/>
  <c r="AA478" s="1"/>
  <c r="AB478" s="1"/>
  <c r="S479"/>
  <c r="T479"/>
  <c r="U479" s="1"/>
  <c r="V479" s="1"/>
  <c r="W479" s="1"/>
  <c r="X479" s="1"/>
  <c r="Y479" s="1"/>
  <c r="Z479" s="1"/>
  <c r="AA479" s="1"/>
  <c r="AB479" s="1"/>
  <c r="S480"/>
  <c r="T480"/>
  <c r="U480" s="1"/>
  <c r="V480" s="1"/>
  <c r="W480" s="1"/>
  <c r="X480" s="1"/>
  <c r="Y480" s="1"/>
  <c r="Z480" s="1"/>
  <c r="AA480" s="1"/>
  <c r="AB480" s="1"/>
  <c r="S481"/>
  <c r="T481"/>
  <c r="U481" s="1"/>
  <c r="V481" s="1"/>
  <c r="W481" s="1"/>
  <c r="X481" s="1"/>
  <c r="Y481" s="1"/>
  <c r="Z481" s="1"/>
  <c r="AA481" s="1"/>
  <c r="AB481" s="1"/>
  <c r="S482"/>
  <c r="T482"/>
  <c r="U482" s="1"/>
  <c r="V482" s="1"/>
  <c r="W482" s="1"/>
  <c r="X482" s="1"/>
  <c r="Y482" s="1"/>
  <c r="Z482" s="1"/>
  <c r="AA482" s="1"/>
  <c r="AB482" s="1"/>
  <c r="S483"/>
  <c r="T483"/>
  <c r="U483" s="1"/>
  <c r="V483" s="1"/>
  <c r="W483" s="1"/>
  <c r="X483" s="1"/>
  <c r="Y483" s="1"/>
  <c r="Z483" s="1"/>
  <c r="AA483" s="1"/>
  <c r="AB483" s="1"/>
  <c r="S484"/>
  <c r="T484"/>
  <c r="U484" s="1"/>
  <c r="V484" s="1"/>
  <c r="W484" s="1"/>
  <c r="X484" s="1"/>
  <c r="Y484" s="1"/>
  <c r="Z484" s="1"/>
  <c r="AA484" s="1"/>
  <c r="AB484" s="1"/>
  <c r="S485"/>
  <c r="T485"/>
  <c r="U485" s="1"/>
  <c r="V485" s="1"/>
  <c r="W485" s="1"/>
  <c r="X485" s="1"/>
  <c r="Y485" s="1"/>
  <c r="Z485" s="1"/>
  <c r="AA485" s="1"/>
  <c r="AB485" s="1"/>
  <c r="S486"/>
  <c r="T486"/>
  <c r="U486" s="1"/>
  <c r="V486" s="1"/>
  <c r="W486" s="1"/>
  <c r="X486" s="1"/>
  <c r="Y486" s="1"/>
  <c r="Z486" s="1"/>
  <c r="AA486" s="1"/>
  <c r="AB486" s="1"/>
  <c r="S487"/>
  <c r="T487"/>
  <c r="U487" s="1"/>
  <c r="V487" s="1"/>
  <c r="W487" s="1"/>
  <c r="X487" s="1"/>
  <c r="Y487" s="1"/>
  <c r="Z487" s="1"/>
  <c r="AA487" s="1"/>
  <c r="AB487" s="1"/>
  <c r="S488"/>
  <c r="T488"/>
  <c r="U488" s="1"/>
  <c r="V488" s="1"/>
  <c r="W488" s="1"/>
  <c r="X488" s="1"/>
  <c r="Y488" s="1"/>
  <c r="Z488" s="1"/>
  <c r="AA488" s="1"/>
  <c r="AB488" s="1"/>
  <c r="S489"/>
  <c r="T489"/>
  <c r="U489" s="1"/>
  <c r="V489" s="1"/>
  <c r="W489" s="1"/>
  <c r="X489" s="1"/>
  <c r="Y489" s="1"/>
  <c r="Z489" s="1"/>
  <c r="AA489" s="1"/>
  <c r="AB489" s="1"/>
  <c r="S490"/>
  <c r="T490"/>
  <c r="U490" s="1"/>
  <c r="V490" s="1"/>
  <c r="W490" s="1"/>
  <c r="X490" s="1"/>
  <c r="Y490" s="1"/>
  <c r="Z490" s="1"/>
  <c r="AA490" s="1"/>
  <c r="AB490" s="1"/>
  <c r="S491"/>
  <c r="T491"/>
  <c r="U491" s="1"/>
  <c r="V491" s="1"/>
  <c r="W491" s="1"/>
  <c r="X491" s="1"/>
  <c r="Y491" s="1"/>
  <c r="Z491" s="1"/>
  <c r="AA491" s="1"/>
  <c r="AB491" s="1"/>
  <c r="S492"/>
  <c r="T492"/>
  <c r="U492" s="1"/>
  <c r="V492" s="1"/>
  <c r="W492" s="1"/>
  <c r="X492" s="1"/>
  <c r="Y492" s="1"/>
  <c r="Z492" s="1"/>
  <c r="AA492" s="1"/>
  <c r="AB492" s="1"/>
  <c r="S493"/>
  <c r="T493"/>
  <c r="U493" s="1"/>
  <c r="V493" s="1"/>
  <c r="W493" s="1"/>
  <c r="X493" s="1"/>
  <c r="Y493" s="1"/>
  <c r="Z493" s="1"/>
  <c r="AA493" s="1"/>
  <c r="AB493" s="1"/>
  <c r="S494"/>
  <c r="T494"/>
  <c r="U494" s="1"/>
  <c r="V494" s="1"/>
  <c r="W494" s="1"/>
  <c r="X494" s="1"/>
  <c r="Y494" s="1"/>
  <c r="Z494" s="1"/>
  <c r="AA494" s="1"/>
  <c r="AB494" s="1"/>
  <c r="S495"/>
  <c r="T495"/>
  <c r="U495" s="1"/>
  <c r="V495" s="1"/>
  <c r="W495" s="1"/>
  <c r="X495" s="1"/>
  <c r="Y495" s="1"/>
  <c r="Z495" s="1"/>
  <c r="AA495" s="1"/>
  <c r="AB495" s="1"/>
  <c r="S496"/>
  <c r="T496"/>
  <c r="U496" s="1"/>
  <c r="V496" s="1"/>
  <c r="W496" s="1"/>
  <c r="X496" s="1"/>
  <c r="Y496" s="1"/>
  <c r="Z496" s="1"/>
  <c r="AA496" s="1"/>
  <c r="AB496" s="1"/>
  <c r="S497"/>
  <c r="T497"/>
  <c r="U497" s="1"/>
  <c r="V497" s="1"/>
  <c r="W497" s="1"/>
  <c r="X497" s="1"/>
  <c r="Y497" s="1"/>
  <c r="Z497" s="1"/>
  <c r="AA497" s="1"/>
  <c r="AB497" s="1"/>
  <c r="S498"/>
  <c r="T498"/>
  <c r="U498" s="1"/>
  <c r="V498" s="1"/>
  <c r="W498" s="1"/>
  <c r="X498" s="1"/>
  <c r="Y498" s="1"/>
  <c r="Z498" s="1"/>
  <c r="AA498" s="1"/>
  <c r="AB498" s="1"/>
  <c r="S499"/>
  <c r="T499"/>
  <c r="U499" s="1"/>
  <c r="V499" s="1"/>
  <c r="W499" s="1"/>
  <c r="X499" s="1"/>
  <c r="Y499" s="1"/>
  <c r="Z499" s="1"/>
  <c r="AA499" s="1"/>
  <c r="AB499" s="1"/>
  <c r="S500"/>
  <c r="T500"/>
  <c r="U500" s="1"/>
  <c r="V500" s="1"/>
  <c r="W500" s="1"/>
  <c r="X500" s="1"/>
  <c r="Y500" s="1"/>
  <c r="Z500" s="1"/>
  <c r="AA500" s="1"/>
  <c r="AB500" s="1"/>
  <c r="S501"/>
  <c r="T501"/>
  <c r="U501" s="1"/>
  <c r="V501" s="1"/>
  <c r="W501" s="1"/>
  <c r="X501" s="1"/>
  <c r="Y501" s="1"/>
  <c r="Z501" s="1"/>
  <c r="AA501" s="1"/>
  <c r="AB501" s="1"/>
  <c r="S502"/>
  <c r="T502"/>
  <c r="U502" s="1"/>
  <c r="V502" s="1"/>
  <c r="W502" s="1"/>
  <c r="X502" s="1"/>
  <c r="Y502" s="1"/>
  <c r="Z502" s="1"/>
  <c r="AA502" s="1"/>
  <c r="AB502" s="1"/>
  <c r="S503"/>
  <c r="T503"/>
  <c r="U503" s="1"/>
  <c r="V503" s="1"/>
  <c r="W503" s="1"/>
  <c r="X503" s="1"/>
  <c r="Y503" s="1"/>
  <c r="Z503" s="1"/>
  <c r="AA503" s="1"/>
  <c r="AB503" s="1"/>
  <c r="S504"/>
  <c r="T504"/>
  <c r="U504" s="1"/>
  <c r="V504" s="1"/>
  <c r="W504" s="1"/>
  <c r="X504" s="1"/>
  <c r="Y504" s="1"/>
  <c r="Z504" s="1"/>
  <c r="AA504" s="1"/>
  <c r="AB504" s="1"/>
  <c r="S505"/>
  <c r="T505"/>
  <c r="U505" s="1"/>
  <c r="V505" s="1"/>
  <c r="W505" s="1"/>
  <c r="X505" s="1"/>
  <c r="Y505" s="1"/>
  <c r="Z505" s="1"/>
  <c r="AA505" s="1"/>
  <c r="AB505" s="1"/>
  <c r="S506"/>
  <c r="T506"/>
  <c r="U506" s="1"/>
  <c r="V506" s="1"/>
  <c r="W506" s="1"/>
  <c r="X506" s="1"/>
  <c r="Y506" s="1"/>
  <c r="Z506" s="1"/>
  <c r="AA506" s="1"/>
  <c r="AB506" s="1"/>
  <c r="S507"/>
  <c r="T507"/>
  <c r="U507" s="1"/>
  <c r="V507"/>
  <c r="W507" s="1"/>
  <c r="X507" s="1"/>
  <c r="Y507" s="1"/>
  <c r="Z507" s="1"/>
  <c r="AA507" s="1"/>
  <c r="AB507" s="1"/>
  <c r="S508"/>
  <c r="T508"/>
  <c r="U508" s="1"/>
  <c r="V508"/>
  <c r="W508" s="1"/>
  <c r="X508" s="1"/>
  <c r="Y508" s="1"/>
  <c r="Z508" s="1"/>
  <c r="AA508" s="1"/>
  <c r="AB508" s="1"/>
  <c r="S509"/>
  <c r="T509"/>
  <c r="U509" s="1"/>
  <c r="V509"/>
  <c r="W509" s="1"/>
  <c r="X509" s="1"/>
  <c r="Y509" s="1"/>
  <c r="Z509" s="1"/>
  <c r="AA509" s="1"/>
  <c r="AB509" s="1"/>
  <c r="S510"/>
  <c r="T510"/>
  <c r="U510" s="1"/>
  <c r="V510"/>
  <c r="W510" s="1"/>
  <c r="X510" s="1"/>
  <c r="Y510" s="1"/>
  <c r="Z510" s="1"/>
  <c r="AA510" s="1"/>
  <c r="AB510" s="1"/>
  <c r="S511"/>
  <c r="T511"/>
  <c r="U511" s="1"/>
  <c r="V511"/>
  <c r="W511" s="1"/>
  <c r="X511" s="1"/>
  <c r="Y511" s="1"/>
  <c r="Z511" s="1"/>
  <c r="AA511" s="1"/>
  <c r="AB511" s="1"/>
  <c r="S512"/>
  <c r="T512"/>
  <c r="U512" s="1"/>
  <c r="V512"/>
  <c r="W512" s="1"/>
  <c r="X512" s="1"/>
  <c r="Y512" s="1"/>
  <c r="Z512" s="1"/>
  <c r="AA512" s="1"/>
  <c r="AB512" s="1"/>
  <c r="S513"/>
  <c r="T513"/>
  <c r="U513" s="1"/>
  <c r="V513"/>
  <c r="W513" s="1"/>
  <c r="X513" s="1"/>
  <c r="Y513" s="1"/>
  <c r="Z513" s="1"/>
  <c r="AA513" s="1"/>
  <c r="AB513" s="1"/>
  <c r="S514"/>
  <c r="T514"/>
  <c r="U514" s="1"/>
  <c r="V514"/>
  <c r="W514" s="1"/>
  <c r="X514" s="1"/>
  <c r="Y514" s="1"/>
  <c r="Z514" s="1"/>
  <c r="AA514" s="1"/>
  <c r="AB514" s="1"/>
  <c r="S515"/>
  <c r="T515"/>
  <c r="U515" s="1"/>
  <c r="V515"/>
  <c r="W515" s="1"/>
  <c r="X515" s="1"/>
  <c r="Y515" s="1"/>
  <c r="Z515" s="1"/>
  <c r="AA515" s="1"/>
  <c r="AB515" s="1"/>
  <c r="S516"/>
  <c r="T516"/>
  <c r="U516" s="1"/>
  <c r="V516"/>
  <c r="W516" s="1"/>
  <c r="X516" s="1"/>
  <c r="Y516" s="1"/>
  <c r="Z516" s="1"/>
  <c r="AA516" s="1"/>
  <c r="AB516" s="1"/>
  <c r="S517"/>
  <c r="T517"/>
  <c r="U517" s="1"/>
  <c r="V517"/>
  <c r="W517" s="1"/>
  <c r="X517" s="1"/>
  <c r="Y517" s="1"/>
  <c r="Z517" s="1"/>
  <c r="AA517" s="1"/>
  <c r="AB517" s="1"/>
  <c r="S518"/>
  <c r="T518"/>
  <c r="U518" s="1"/>
  <c r="V518"/>
  <c r="W518" s="1"/>
  <c r="X518" s="1"/>
  <c r="Y518" s="1"/>
  <c r="Z518" s="1"/>
  <c r="AA518" s="1"/>
  <c r="AB518" s="1"/>
  <c r="S519"/>
  <c r="T519"/>
  <c r="U519" s="1"/>
  <c r="V519"/>
  <c r="W519" s="1"/>
  <c r="X519" s="1"/>
  <c r="Y519" s="1"/>
  <c r="Z519" s="1"/>
  <c r="AA519" s="1"/>
  <c r="AB519" s="1"/>
  <c r="S520"/>
  <c r="T520"/>
  <c r="U520" s="1"/>
  <c r="V520"/>
  <c r="W520" s="1"/>
  <c r="X520" s="1"/>
  <c r="Y520" s="1"/>
  <c r="Z520" s="1"/>
  <c r="AA520" s="1"/>
  <c r="AB520" s="1"/>
  <c r="S521"/>
  <c r="T521"/>
  <c r="U521" s="1"/>
  <c r="V521"/>
  <c r="W521" s="1"/>
  <c r="X521" s="1"/>
  <c r="Y521" s="1"/>
  <c r="Z521" s="1"/>
  <c r="AA521" s="1"/>
  <c r="AB521" s="1"/>
  <c r="S522"/>
  <c r="T522"/>
  <c r="U522" s="1"/>
  <c r="V522"/>
  <c r="W522" s="1"/>
  <c r="X522" s="1"/>
  <c r="Y522" s="1"/>
  <c r="Z522" s="1"/>
  <c r="AA522" s="1"/>
  <c r="AB522" s="1"/>
  <c r="S523"/>
  <c r="T523"/>
  <c r="U523" s="1"/>
  <c r="V523"/>
  <c r="W523" s="1"/>
  <c r="X523" s="1"/>
  <c r="Y523" s="1"/>
  <c r="Z523" s="1"/>
  <c r="AA523" s="1"/>
  <c r="AB523" s="1"/>
  <c r="S524"/>
  <c r="T524"/>
  <c r="U524" s="1"/>
  <c r="V524"/>
  <c r="W524" s="1"/>
  <c r="X524" s="1"/>
  <c r="Y524" s="1"/>
  <c r="Z524" s="1"/>
  <c r="AA524" s="1"/>
  <c r="AB524" s="1"/>
  <c r="S525"/>
  <c r="T525"/>
  <c r="U525" s="1"/>
  <c r="V525"/>
  <c r="W525" s="1"/>
  <c r="X525" s="1"/>
  <c r="Y525" s="1"/>
  <c r="Z525" s="1"/>
  <c r="AA525" s="1"/>
  <c r="AB525" s="1"/>
  <c r="S526"/>
  <c r="T526"/>
  <c r="U526" s="1"/>
  <c r="V526"/>
  <c r="W526" s="1"/>
  <c r="X526" s="1"/>
  <c r="Y526" s="1"/>
  <c r="Z526" s="1"/>
  <c r="AA526" s="1"/>
  <c r="AB526" s="1"/>
  <c r="S527"/>
  <c r="T527"/>
  <c r="U527" s="1"/>
  <c r="V527"/>
  <c r="W527" s="1"/>
  <c r="X527" s="1"/>
  <c r="Y527" s="1"/>
  <c r="Z527" s="1"/>
  <c r="AA527" s="1"/>
  <c r="AB527" s="1"/>
  <c r="S528"/>
  <c r="T528"/>
  <c r="U528" s="1"/>
  <c r="V528"/>
  <c r="W528" s="1"/>
  <c r="X528" s="1"/>
  <c r="Y528" s="1"/>
  <c r="Z528" s="1"/>
  <c r="AA528" s="1"/>
  <c r="AB528" s="1"/>
  <c r="S529"/>
  <c r="T529"/>
  <c r="U529" s="1"/>
  <c r="V529"/>
  <c r="W529" s="1"/>
  <c r="X529" s="1"/>
  <c r="Y529" s="1"/>
  <c r="Z529" s="1"/>
  <c r="AA529" s="1"/>
  <c r="AB529" s="1"/>
  <c r="S530"/>
  <c r="T530"/>
  <c r="U530" s="1"/>
  <c r="V530"/>
  <c r="W530" s="1"/>
  <c r="X530" s="1"/>
  <c r="Y530" s="1"/>
  <c r="Z530" s="1"/>
  <c r="AA530" s="1"/>
  <c r="AB530" s="1"/>
  <c r="S531"/>
  <c r="T531"/>
  <c r="U531" s="1"/>
  <c r="V531"/>
  <c r="W531" s="1"/>
  <c r="X531" s="1"/>
  <c r="Y531" s="1"/>
  <c r="Z531" s="1"/>
  <c r="AA531" s="1"/>
  <c r="AB531" s="1"/>
  <c r="S532"/>
  <c r="T532"/>
  <c r="U532" s="1"/>
  <c r="V532"/>
  <c r="W532" s="1"/>
  <c r="X532" s="1"/>
  <c r="Y532" s="1"/>
  <c r="Z532" s="1"/>
  <c r="AA532" s="1"/>
  <c r="AB532" s="1"/>
  <c r="S533"/>
  <c r="T533"/>
  <c r="U533" s="1"/>
  <c r="V533"/>
  <c r="W533" s="1"/>
  <c r="X533" s="1"/>
  <c r="Y533" s="1"/>
  <c r="Z533" s="1"/>
  <c r="AA533" s="1"/>
  <c r="AB533" s="1"/>
  <c r="S534"/>
  <c r="T534"/>
  <c r="U534" s="1"/>
  <c r="V534"/>
  <c r="W534" s="1"/>
  <c r="X534" s="1"/>
  <c r="Y534" s="1"/>
  <c r="Z534" s="1"/>
  <c r="AA534" s="1"/>
  <c r="AB534" s="1"/>
  <c r="S535"/>
  <c r="T535"/>
  <c r="U535" s="1"/>
  <c r="V535"/>
  <c r="W535" s="1"/>
  <c r="X535" s="1"/>
  <c r="Y535" s="1"/>
  <c r="Z535" s="1"/>
  <c r="AA535" s="1"/>
  <c r="AB535" s="1"/>
  <c r="S536"/>
  <c r="T536"/>
  <c r="U536" s="1"/>
  <c r="V536"/>
  <c r="W536" s="1"/>
  <c r="X536" s="1"/>
  <c r="Y536" s="1"/>
  <c r="Z536" s="1"/>
  <c r="AA536" s="1"/>
  <c r="AB536" s="1"/>
  <c r="S537"/>
  <c r="T537"/>
  <c r="U537" s="1"/>
  <c r="V537"/>
  <c r="W537" s="1"/>
  <c r="X537" s="1"/>
  <c r="Y537" s="1"/>
  <c r="Z537" s="1"/>
  <c r="AA537" s="1"/>
  <c r="AB537" s="1"/>
  <c r="S538"/>
  <c r="T538"/>
  <c r="U538" s="1"/>
  <c r="V538"/>
  <c r="W538" s="1"/>
  <c r="X538" s="1"/>
  <c r="Y538" s="1"/>
  <c r="Z538" s="1"/>
  <c r="AA538" s="1"/>
  <c r="AB538" s="1"/>
  <c r="S539"/>
  <c r="T539"/>
  <c r="U539" s="1"/>
  <c r="V539"/>
  <c r="W539" s="1"/>
  <c r="X539" s="1"/>
  <c r="Y539" s="1"/>
  <c r="Z539" s="1"/>
  <c r="AA539" s="1"/>
  <c r="AB539" s="1"/>
  <c r="S540"/>
  <c r="T540"/>
  <c r="U540" s="1"/>
  <c r="V540"/>
  <c r="W540" s="1"/>
  <c r="X540" s="1"/>
  <c r="Y540" s="1"/>
  <c r="Z540" s="1"/>
  <c r="AA540" s="1"/>
  <c r="AB540" s="1"/>
  <c r="S541"/>
  <c r="T541"/>
  <c r="U541" s="1"/>
  <c r="V541"/>
  <c r="W541" s="1"/>
  <c r="X541" s="1"/>
  <c r="Y541" s="1"/>
  <c r="Z541" s="1"/>
  <c r="AA541" s="1"/>
  <c r="AB541" s="1"/>
  <c r="S542"/>
  <c r="T542"/>
  <c r="U542" s="1"/>
  <c r="V542"/>
  <c r="W542" s="1"/>
  <c r="X542" s="1"/>
  <c r="Y542" s="1"/>
  <c r="Z542" s="1"/>
  <c r="AA542" s="1"/>
  <c r="AB542" s="1"/>
  <c r="S543"/>
  <c r="T543"/>
  <c r="U543" s="1"/>
  <c r="V543"/>
  <c r="W543" s="1"/>
  <c r="X543" s="1"/>
  <c r="Y543" s="1"/>
  <c r="Z543" s="1"/>
  <c r="AA543" s="1"/>
  <c r="AB543" s="1"/>
  <c r="S544"/>
  <c r="T544"/>
  <c r="U544" s="1"/>
  <c r="V544"/>
  <c r="W544" s="1"/>
  <c r="X544" s="1"/>
  <c r="Y544" s="1"/>
  <c r="Z544" s="1"/>
  <c r="AA544" s="1"/>
  <c r="AB544" s="1"/>
  <c r="S545"/>
  <c r="T545"/>
  <c r="U545" s="1"/>
  <c r="V545"/>
  <c r="W545" s="1"/>
  <c r="X545" s="1"/>
  <c r="Y545" s="1"/>
  <c r="Z545" s="1"/>
  <c r="AA545" s="1"/>
  <c r="AB545" s="1"/>
  <c r="S546"/>
  <c r="T546"/>
  <c r="U546" s="1"/>
  <c r="V546"/>
  <c r="W546" s="1"/>
  <c r="X546" s="1"/>
  <c r="Y546" s="1"/>
  <c r="Z546" s="1"/>
  <c r="AA546" s="1"/>
  <c r="AB546" s="1"/>
  <c r="S547"/>
  <c r="T547"/>
  <c r="U547" s="1"/>
  <c r="V547"/>
  <c r="W547" s="1"/>
  <c r="X547" s="1"/>
  <c r="Y547" s="1"/>
  <c r="Z547" s="1"/>
  <c r="AA547" s="1"/>
  <c r="AB547" s="1"/>
  <c r="S548"/>
  <c r="T548"/>
  <c r="U548" s="1"/>
  <c r="V548"/>
  <c r="W548" s="1"/>
  <c r="X548" s="1"/>
  <c r="Y548" s="1"/>
  <c r="Z548" s="1"/>
  <c r="AA548" s="1"/>
  <c r="AB548" s="1"/>
  <c r="S549"/>
  <c r="T549"/>
  <c r="U549" s="1"/>
  <c r="V549"/>
  <c r="W549" s="1"/>
  <c r="X549" s="1"/>
  <c r="Y549" s="1"/>
  <c r="Z549" s="1"/>
  <c r="AA549" s="1"/>
  <c r="AB549" s="1"/>
  <c r="S550"/>
  <c r="T550"/>
  <c r="U550" s="1"/>
  <c r="V550"/>
  <c r="W550" s="1"/>
  <c r="X550" s="1"/>
  <c r="Y550" s="1"/>
  <c r="Z550" s="1"/>
  <c r="AA550" s="1"/>
  <c r="AB550" s="1"/>
  <c r="S551"/>
  <c r="T551"/>
  <c r="U551" s="1"/>
  <c r="V551"/>
  <c r="W551" s="1"/>
  <c r="X551" s="1"/>
  <c r="Y551" s="1"/>
  <c r="Z551" s="1"/>
  <c r="AA551" s="1"/>
  <c r="AB551" s="1"/>
  <c r="S552"/>
  <c r="T552"/>
  <c r="U552" s="1"/>
  <c r="V552"/>
  <c r="W552" s="1"/>
  <c r="X552" s="1"/>
  <c r="Y552" s="1"/>
  <c r="Z552" s="1"/>
  <c r="AA552" s="1"/>
  <c r="AB552" s="1"/>
  <c r="S553"/>
  <c r="T553"/>
  <c r="U553" s="1"/>
  <c r="V553"/>
  <c r="W553" s="1"/>
  <c r="X553" s="1"/>
  <c r="Y553" s="1"/>
  <c r="Z553" s="1"/>
  <c r="AA553" s="1"/>
  <c r="AB553" s="1"/>
  <c r="S554"/>
  <c r="T554"/>
  <c r="U554" s="1"/>
  <c r="V554"/>
  <c r="W554" s="1"/>
  <c r="X554" s="1"/>
  <c r="Y554" s="1"/>
  <c r="Z554" s="1"/>
  <c r="AA554" s="1"/>
  <c r="AB554" s="1"/>
  <c r="S555"/>
  <c r="T555"/>
  <c r="U555" s="1"/>
  <c r="V555"/>
  <c r="W555" s="1"/>
  <c r="X555" s="1"/>
  <c r="Y555" s="1"/>
  <c r="Z555" s="1"/>
  <c r="AA555" s="1"/>
  <c r="AB555" s="1"/>
  <c r="S556"/>
  <c r="T556"/>
  <c r="U556" s="1"/>
  <c r="V556"/>
  <c r="W556" s="1"/>
  <c r="X556" s="1"/>
  <c r="Y556" s="1"/>
  <c r="Z556" s="1"/>
  <c r="AA556" s="1"/>
  <c r="AB556" s="1"/>
  <c r="S557"/>
  <c r="T557"/>
  <c r="U557" s="1"/>
  <c r="V557"/>
  <c r="W557" s="1"/>
  <c r="X557" s="1"/>
  <c r="Y557" s="1"/>
  <c r="Z557" s="1"/>
  <c r="AA557" s="1"/>
  <c r="AB557" s="1"/>
  <c r="S558"/>
  <c r="T558"/>
  <c r="U558" s="1"/>
  <c r="V558"/>
  <c r="W558" s="1"/>
  <c r="X558" s="1"/>
  <c r="Y558" s="1"/>
  <c r="Z558" s="1"/>
  <c r="AA558" s="1"/>
  <c r="AB558" s="1"/>
  <c r="S559"/>
  <c r="T559"/>
  <c r="U559" s="1"/>
  <c r="V559"/>
  <c r="W559" s="1"/>
  <c r="X559" s="1"/>
  <c r="Y559" s="1"/>
  <c r="Z559" s="1"/>
  <c r="AA559" s="1"/>
  <c r="AB559" s="1"/>
  <c r="S560"/>
  <c r="T560"/>
  <c r="U560" s="1"/>
  <c r="V560"/>
  <c r="W560" s="1"/>
  <c r="X560" s="1"/>
  <c r="Y560" s="1"/>
  <c r="Z560" s="1"/>
  <c r="AA560" s="1"/>
  <c r="AB560" s="1"/>
  <c r="S561"/>
  <c r="T561"/>
  <c r="U561" s="1"/>
  <c r="V561"/>
  <c r="W561" s="1"/>
  <c r="X561" s="1"/>
  <c r="Y561" s="1"/>
  <c r="Z561" s="1"/>
  <c r="AA561" s="1"/>
  <c r="AB561" s="1"/>
  <c r="S562"/>
  <c r="T562"/>
  <c r="U562" s="1"/>
  <c r="V562"/>
  <c r="W562" s="1"/>
  <c r="X562" s="1"/>
  <c r="Y562" s="1"/>
  <c r="Z562" s="1"/>
  <c r="AA562" s="1"/>
  <c r="AB562" s="1"/>
  <c r="S563"/>
  <c r="T563"/>
  <c r="U563" s="1"/>
  <c r="V563"/>
  <c r="W563" s="1"/>
  <c r="X563" s="1"/>
  <c r="Y563" s="1"/>
  <c r="Z563" s="1"/>
  <c r="AA563" s="1"/>
  <c r="AB563" s="1"/>
  <c r="S564"/>
  <c r="T564"/>
  <c r="U564" s="1"/>
  <c r="V564"/>
  <c r="W564" s="1"/>
  <c r="X564" s="1"/>
  <c r="Y564" s="1"/>
  <c r="Z564" s="1"/>
  <c r="AA564" s="1"/>
  <c r="AB564" s="1"/>
  <c r="S565"/>
  <c r="T565"/>
  <c r="U565" s="1"/>
  <c r="V565"/>
  <c r="W565" s="1"/>
  <c r="X565" s="1"/>
  <c r="Y565" s="1"/>
  <c r="Z565" s="1"/>
  <c r="AA565" s="1"/>
  <c r="AB565" s="1"/>
  <c r="S566"/>
  <c r="T566"/>
  <c r="U566" s="1"/>
  <c r="V566"/>
  <c r="W566" s="1"/>
  <c r="X566" s="1"/>
  <c r="Y566" s="1"/>
  <c r="Z566" s="1"/>
  <c r="AA566" s="1"/>
  <c r="AB566" s="1"/>
  <c r="S567"/>
  <c r="T567"/>
  <c r="U567" s="1"/>
  <c r="V567"/>
  <c r="W567" s="1"/>
  <c r="X567" s="1"/>
  <c r="Y567" s="1"/>
  <c r="Z567" s="1"/>
  <c r="AA567" s="1"/>
  <c r="AB567" s="1"/>
  <c r="S568"/>
  <c r="T568"/>
  <c r="U568" s="1"/>
  <c r="V568"/>
  <c r="W568" s="1"/>
  <c r="X568" s="1"/>
  <c r="Y568" s="1"/>
  <c r="Z568" s="1"/>
  <c r="AA568" s="1"/>
  <c r="AB568" s="1"/>
  <c r="S569"/>
  <c r="T569"/>
  <c r="U569" s="1"/>
  <c r="V569"/>
  <c r="W569" s="1"/>
  <c r="X569" s="1"/>
  <c r="Y569" s="1"/>
  <c r="Z569" s="1"/>
  <c r="AA569" s="1"/>
  <c r="AB569" s="1"/>
  <c r="S570"/>
  <c r="T570"/>
  <c r="U570" s="1"/>
  <c r="V570"/>
  <c r="W570" s="1"/>
  <c r="X570" s="1"/>
  <c r="Y570" s="1"/>
  <c r="Z570" s="1"/>
  <c r="AA570" s="1"/>
  <c r="AB570" s="1"/>
  <c r="S571"/>
  <c r="T571"/>
  <c r="U571" s="1"/>
  <c r="V571"/>
  <c r="W571" s="1"/>
  <c r="X571" s="1"/>
  <c r="Y571" s="1"/>
  <c r="Z571" s="1"/>
  <c r="AA571" s="1"/>
  <c r="AB571" s="1"/>
  <c r="S572"/>
  <c r="T572"/>
  <c r="U572" s="1"/>
  <c r="V572"/>
  <c r="W572" s="1"/>
  <c r="X572" s="1"/>
  <c r="Y572" s="1"/>
  <c r="Z572" s="1"/>
  <c r="AA572" s="1"/>
  <c r="AB572" s="1"/>
  <c r="S573"/>
  <c r="T573"/>
  <c r="U573" s="1"/>
  <c r="V573"/>
  <c r="W573" s="1"/>
  <c r="X573" s="1"/>
  <c r="Y573" s="1"/>
  <c r="Z573" s="1"/>
  <c r="AA573" s="1"/>
  <c r="AB573" s="1"/>
  <c r="S574"/>
  <c r="T574"/>
  <c r="U574" s="1"/>
  <c r="V574"/>
  <c r="W574" s="1"/>
  <c r="X574" s="1"/>
  <c r="Y574" s="1"/>
  <c r="Z574" s="1"/>
  <c r="AA574" s="1"/>
  <c r="AB574" s="1"/>
  <c r="S575"/>
  <c r="T575"/>
  <c r="U575" s="1"/>
  <c r="V575"/>
  <c r="W575" s="1"/>
  <c r="X575" s="1"/>
  <c r="Y575" s="1"/>
  <c r="Z575" s="1"/>
  <c r="AA575" s="1"/>
  <c r="AB575" s="1"/>
  <c r="S576"/>
  <c r="T576"/>
  <c r="U576" s="1"/>
  <c r="V576"/>
  <c r="W576" s="1"/>
  <c r="X576" s="1"/>
  <c r="Y576" s="1"/>
  <c r="Z576" s="1"/>
  <c r="AA576" s="1"/>
  <c r="AB576" s="1"/>
  <c r="S577"/>
  <c r="T577"/>
  <c r="U577" s="1"/>
  <c r="V577"/>
  <c r="W577" s="1"/>
  <c r="X577" s="1"/>
  <c r="Y577" s="1"/>
  <c r="Z577" s="1"/>
  <c r="AA577" s="1"/>
  <c r="AB577" s="1"/>
  <c r="S578"/>
  <c r="T578"/>
  <c r="U578" s="1"/>
  <c r="V578"/>
  <c r="W578" s="1"/>
  <c r="X578" s="1"/>
  <c r="Y578" s="1"/>
  <c r="Z578" s="1"/>
  <c r="AA578" s="1"/>
  <c r="AB578" s="1"/>
  <c r="S579"/>
  <c r="T579"/>
  <c r="U579" s="1"/>
  <c r="V579"/>
  <c r="W579" s="1"/>
  <c r="X579" s="1"/>
  <c r="Y579" s="1"/>
  <c r="Z579" s="1"/>
  <c r="AA579" s="1"/>
  <c r="AB579" s="1"/>
  <c r="S580"/>
  <c r="T580"/>
  <c r="U580" s="1"/>
  <c r="V580"/>
  <c r="W580" s="1"/>
  <c r="X580" s="1"/>
  <c r="Y580" s="1"/>
  <c r="Z580" s="1"/>
  <c r="AA580" s="1"/>
  <c r="AB580" s="1"/>
  <c r="S581"/>
  <c r="T581"/>
  <c r="U581" s="1"/>
  <c r="V581"/>
  <c r="W581" s="1"/>
  <c r="X581" s="1"/>
  <c r="Y581" s="1"/>
  <c r="Z581" s="1"/>
  <c r="AA581" s="1"/>
  <c r="AB581" s="1"/>
  <c r="S582"/>
  <c r="T582"/>
  <c r="U582" s="1"/>
  <c r="V582"/>
  <c r="W582" s="1"/>
  <c r="X582" s="1"/>
  <c r="Y582" s="1"/>
  <c r="Z582" s="1"/>
  <c r="AA582" s="1"/>
  <c r="AB582" s="1"/>
  <c r="S583"/>
  <c r="T583"/>
  <c r="U583" s="1"/>
  <c r="V583"/>
  <c r="W583" s="1"/>
  <c r="X583" s="1"/>
  <c r="Y583" s="1"/>
  <c r="Z583" s="1"/>
  <c r="AA583" s="1"/>
  <c r="AB583" s="1"/>
  <c r="S584"/>
  <c r="T584"/>
  <c r="U584" s="1"/>
  <c r="V584"/>
  <c r="W584" s="1"/>
  <c r="X584" s="1"/>
  <c r="Y584" s="1"/>
  <c r="Z584" s="1"/>
  <c r="AA584" s="1"/>
  <c r="AB584" s="1"/>
  <c r="S585"/>
  <c r="T585"/>
  <c r="U585" s="1"/>
  <c r="V585"/>
  <c r="W585" s="1"/>
  <c r="X585" s="1"/>
  <c r="Y585" s="1"/>
  <c r="Z585" s="1"/>
  <c r="AA585" s="1"/>
  <c r="AB585" s="1"/>
  <c r="S586"/>
  <c r="T586"/>
  <c r="U586" s="1"/>
  <c r="V586"/>
  <c r="W586" s="1"/>
  <c r="X586" s="1"/>
  <c r="Y586" s="1"/>
  <c r="Z586" s="1"/>
  <c r="AA586" s="1"/>
  <c r="AB586" s="1"/>
  <c r="S587"/>
  <c r="T587"/>
  <c r="U587" s="1"/>
  <c r="V587"/>
  <c r="W587" s="1"/>
  <c r="X587" s="1"/>
  <c r="Y587" s="1"/>
  <c r="Z587" s="1"/>
  <c r="AA587" s="1"/>
  <c r="AB587" s="1"/>
  <c r="S588"/>
  <c r="T588"/>
  <c r="U588" s="1"/>
  <c r="V588"/>
  <c r="W588" s="1"/>
  <c r="X588" s="1"/>
  <c r="Y588" s="1"/>
  <c r="Z588" s="1"/>
  <c r="AA588" s="1"/>
  <c r="AB588" s="1"/>
  <c r="S589"/>
  <c r="T589"/>
  <c r="U589" s="1"/>
  <c r="V589"/>
  <c r="W589" s="1"/>
  <c r="X589" s="1"/>
  <c r="Y589" s="1"/>
  <c r="Z589" s="1"/>
  <c r="AA589" s="1"/>
  <c r="AB589" s="1"/>
  <c r="S590"/>
  <c r="T590"/>
  <c r="U590" s="1"/>
  <c r="V590"/>
  <c r="W590" s="1"/>
  <c r="X590" s="1"/>
  <c r="Y590" s="1"/>
  <c r="Z590" s="1"/>
  <c r="AA590" s="1"/>
  <c r="AB590" s="1"/>
  <c r="S591"/>
  <c r="T591"/>
  <c r="U591" s="1"/>
  <c r="V591"/>
  <c r="W591" s="1"/>
  <c r="X591" s="1"/>
  <c r="Y591" s="1"/>
  <c r="Z591" s="1"/>
  <c r="AA591" s="1"/>
  <c r="AB591" s="1"/>
  <c r="S592"/>
  <c r="T592"/>
  <c r="U592" s="1"/>
  <c r="V592"/>
  <c r="W592" s="1"/>
  <c r="X592" s="1"/>
  <c r="Y592" s="1"/>
  <c r="Z592" s="1"/>
  <c r="AA592" s="1"/>
  <c r="AB592" s="1"/>
  <c r="S593"/>
  <c r="T593"/>
  <c r="U593" s="1"/>
  <c r="V593"/>
  <c r="W593" s="1"/>
  <c r="X593" s="1"/>
  <c r="Y593" s="1"/>
  <c r="Z593" s="1"/>
  <c r="AA593" s="1"/>
  <c r="AB593" s="1"/>
  <c r="S594"/>
  <c r="T594"/>
  <c r="U594" s="1"/>
  <c r="V594"/>
  <c r="W594" s="1"/>
  <c r="X594" s="1"/>
  <c r="Y594" s="1"/>
  <c r="Z594" s="1"/>
  <c r="AA594" s="1"/>
  <c r="AB594" s="1"/>
  <c r="S595"/>
  <c r="T595"/>
  <c r="U595" s="1"/>
  <c r="V595"/>
  <c r="W595" s="1"/>
  <c r="X595" s="1"/>
  <c r="Y595" s="1"/>
  <c r="Z595" s="1"/>
  <c r="AA595" s="1"/>
  <c r="AB595" s="1"/>
  <c r="S596"/>
  <c r="T596"/>
  <c r="U596" s="1"/>
  <c r="V596"/>
  <c r="W596" s="1"/>
  <c r="X596" s="1"/>
  <c r="Y596" s="1"/>
  <c r="Z596" s="1"/>
  <c r="AA596" s="1"/>
  <c r="AB596" s="1"/>
  <c r="S597"/>
  <c r="T597"/>
  <c r="U597" s="1"/>
  <c r="V597"/>
  <c r="W597" s="1"/>
  <c r="X597" s="1"/>
  <c r="Y597" s="1"/>
  <c r="Z597" s="1"/>
  <c r="AA597" s="1"/>
  <c r="AB597" s="1"/>
  <c r="S598"/>
  <c r="T598"/>
  <c r="U598" s="1"/>
  <c r="V598"/>
  <c r="W598" s="1"/>
  <c r="X598" s="1"/>
  <c r="Y598" s="1"/>
  <c r="Z598" s="1"/>
  <c r="AA598" s="1"/>
  <c r="AB598" s="1"/>
  <c r="S599"/>
  <c r="T599"/>
  <c r="U599" s="1"/>
  <c r="V599"/>
  <c r="W599" s="1"/>
  <c r="X599" s="1"/>
  <c r="Y599" s="1"/>
  <c r="Z599" s="1"/>
  <c r="AA599" s="1"/>
  <c r="AB599" s="1"/>
  <c r="S600"/>
  <c r="T600"/>
  <c r="U600" s="1"/>
  <c r="V600"/>
  <c r="W600" s="1"/>
  <c r="X600" s="1"/>
  <c r="Y600" s="1"/>
  <c r="Z600" s="1"/>
  <c r="AA600" s="1"/>
  <c r="AB600" s="1"/>
  <c r="S601"/>
  <c r="T601"/>
  <c r="U601" s="1"/>
  <c r="V601"/>
  <c r="W601" s="1"/>
  <c r="X601" s="1"/>
  <c r="Y601" s="1"/>
  <c r="Z601" s="1"/>
  <c r="AA601" s="1"/>
  <c r="AB601" s="1"/>
  <c r="S602"/>
  <c r="T602"/>
  <c r="U602" s="1"/>
  <c r="V602" s="1"/>
  <c r="W602" s="1"/>
  <c r="X602" s="1"/>
  <c r="Y602" s="1"/>
  <c r="Z602" s="1"/>
  <c r="AA602" s="1"/>
  <c r="AB602" s="1"/>
  <c r="S603"/>
  <c r="T603"/>
  <c r="U603" s="1"/>
  <c r="V603" s="1"/>
  <c r="W603" s="1"/>
  <c r="X603" s="1"/>
  <c r="Y603" s="1"/>
  <c r="Z603" s="1"/>
  <c r="AA603" s="1"/>
  <c r="AB603" s="1"/>
  <c r="S604"/>
  <c r="T604"/>
  <c r="U604" s="1"/>
  <c r="V604" s="1"/>
  <c r="W604" s="1"/>
  <c r="X604" s="1"/>
  <c r="Y604" s="1"/>
  <c r="Z604" s="1"/>
  <c r="AA604" s="1"/>
  <c r="AB604" s="1"/>
  <c r="S605"/>
  <c r="T605"/>
  <c r="U605" s="1"/>
  <c r="V605" s="1"/>
  <c r="W605" s="1"/>
  <c r="X605" s="1"/>
  <c r="Y605" s="1"/>
  <c r="Z605" s="1"/>
  <c r="AA605" s="1"/>
  <c r="AB605" s="1"/>
  <c r="S606"/>
  <c r="T606"/>
  <c r="U606" s="1"/>
  <c r="V606" s="1"/>
  <c r="W606" s="1"/>
  <c r="X606" s="1"/>
  <c r="Y606" s="1"/>
  <c r="Z606" s="1"/>
  <c r="AA606" s="1"/>
  <c r="AB606" s="1"/>
  <c r="S607"/>
  <c r="T607"/>
  <c r="U607" s="1"/>
  <c r="V607" s="1"/>
  <c r="W607" s="1"/>
  <c r="X607" s="1"/>
  <c r="Y607" s="1"/>
  <c r="Z607" s="1"/>
  <c r="AA607" s="1"/>
  <c r="AB607" s="1"/>
  <c r="S608"/>
  <c r="T608"/>
  <c r="U608" s="1"/>
  <c r="V608" s="1"/>
  <c r="W608" s="1"/>
  <c r="X608" s="1"/>
  <c r="Y608" s="1"/>
  <c r="Z608" s="1"/>
  <c r="AA608" s="1"/>
  <c r="AB608" s="1"/>
  <c r="S609"/>
  <c r="T609"/>
  <c r="U609" s="1"/>
  <c r="V609" s="1"/>
  <c r="W609" s="1"/>
  <c r="X609" s="1"/>
  <c r="Y609" s="1"/>
  <c r="Z609" s="1"/>
  <c r="AA609" s="1"/>
  <c r="AB609" s="1"/>
  <c r="S610"/>
  <c r="T610"/>
  <c r="U610" s="1"/>
  <c r="V610" s="1"/>
  <c r="W610" s="1"/>
  <c r="X610" s="1"/>
  <c r="Y610" s="1"/>
  <c r="Z610" s="1"/>
  <c r="AA610" s="1"/>
  <c r="AB610" s="1"/>
  <c r="S611"/>
  <c r="T611"/>
  <c r="U611" s="1"/>
  <c r="V611" s="1"/>
  <c r="W611" s="1"/>
  <c r="X611" s="1"/>
  <c r="Y611" s="1"/>
  <c r="Z611" s="1"/>
  <c r="AA611" s="1"/>
  <c r="AB611" s="1"/>
  <c r="S612"/>
  <c r="T612"/>
  <c r="U612" s="1"/>
  <c r="V612" s="1"/>
  <c r="W612" s="1"/>
  <c r="X612" s="1"/>
  <c r="Y612" s="1"/>
  <c r="Z612" s="1"/>
  <c r="AA612" s="1"/>
  <c r="AB612" s="1"/>
  <c r="S613"/>
  <c r="T613"/>
  <c r="U613" s="1"/>
  <c r="V613" s="1"/>
  <c r="W613" s="1"/>
  <c r="X613" s="1"/>
  <c r="Y613" s="1"/>
  <c r="Z613" s="1"/>
  <c r="AA613" s="1"/>
  <c r="AB613" s="1"/>
  <c r="S614"/>
  <c r="T614"/>
  <c r="U614" s="1"/>
  <c r="V614" s="1"/>
  <c r="W614" s="1"/>
  <c r="X614" s="1"/>
  <c r="Y614" s="1"/>
  <c r="Z614" s="1"/>
  <c r="AA614" s="1"/>
  <c r="AB614" s="1"/>
  <c r="S615"/>
  <c r="T615"/>
  <c r="U615" s="1"/>
  <c r="V615" s="1"/>
  <c r="W615" s="1"/>
  <c r="X615" s="1"/>
  <c r="Y615" s="1"/>
  <c r="Z615" s="1"/>
  <c r="AA615" s="1"/>
  <c r="AB615" s="1"/>
  <c r="S616"/>
  <c r="T616"/>
  <c r="U616" s="1"/>
  <c r="V616" s="1"/>
  <c r="W616" s="1"/>
  <c r="X616" s="1"/>
  <c r="Y616" s="1"/>
  <c r="Z616" s="1"/>
  <c r="AA616" s="1"/>
  <c r="AB616" s="1"/>
  <c r="S617"/>
  <c r="T617"/>
  <c r="U617" s="1"/>
  <c r="V617" s="1"/>
  <c r="W617" s="1"/>
  <c r="X617" s="1"/>
  <c r="Y617" s="1"/>
  <c r="Z617" s="1"/>
  <c r="AA617" s="1"/>
  <c r="AB617" s="1"/>
  <c r="S618"/>
  <c r="T618"/>
  <c r="U618" s="1"/>
  <c r="V618" s="1"/>
  <c r="W618" s="1"/>
  <c r="X618" s="1"/>
  <c r="Y618" s="1"/>
  <c r="Z618" s="1"/>
  <c r="AA618" s="1"/>
  <c r="AB618" s="1"/>
  <c r="S619"/>
  <c r="T619"/>
  <c r="U619" s="1"/>
  <c r="V619" s="1"/>
  <c r="W619" s="1"/>
  <c r="X619" s="1"/>
  <c r="Y619" s="1"/>
  <c r="Z619" s="1"/>
  <c r="AA619" s="1"/>
  <c r="AB619" s="1"/>
  <c r="S620"/>
  <c r="T620"/>
  <c r="U620" s="1"/>
  <c r="V620" s="1"/>
  <c r="W620" s="1"/>
  <c r="X620" s="1"/>
  <c r="Y620" s="1"/>
  <c r="Z620" s="1"/>
  <c r="AA620" s="1"/>
  <c r="AB620" s="1"/>
  <c r="S621"/>
  <c r="T621"/>
  <c r="U621" s="1"/>
  <c r="V621" s="1"/>
  <c r="W621" s="1"/>
  <c r="X621" s="1"/>
  <c r="Y621" s="1"/>
  <c r="Z621" s="1"/>
  <c r="AA621" s="1"/>
  <c r="AB621" s="1"/>
  <c r="S622"/>
  <c r="T622"/>
  <c r="U622" s="1"/>
  <c r="V622" s="1"/>
  <c r="W622" s="1"/>
  <c r="X622" s="1"/>
  <c r="Y622" s="1"/>
  <c r="Z622" s="1"/>
  <c r="AA622" s="1"/>
  <c r="AB622" s="1"/>
  <c r="S623"/>
  <c r="T623"/>
  <c r="U623" s="1"/>
  <c r="V623" s="1"/>
  <c r="W623" s="1"/>
  <c r="X623" s="1"/>
  <c r="Y623" s="1"/>
  <c r="Z623" s="1"/>
  <c r="AA623" s="1"/>
  <c r="AB623" s="1"/>
  <c r="S624"/>
  <c r="T624"/>
  <c r="U624" s="1"/>
  <c r="V624" s="1"/>
  <c r="W624" s="1"/>
  <c r="X624" s="1"/>
  <c r="Y624" s="1"/>
  <c r="Z624" s="1"/>
  <c r="AA624" s="1"/>
  <c r="AB624" s="1"/>
  <c r="S625"/>
  <c r="T625"/>
  <c r="U625" s="1"/>
  <c r="V625" s="1"/>
  <c r="W625" s="1"/>
  <c r="X625" s="1"/>
  <c r="Y625" s="1"/>
  <c r="Z625" s="1"/>
  <c r="AA625" s="1"/>
  <c r="AB625" s="1"/>
  <c r="S626"/>
  <c r="T626"/>
  <c r="U626" s="1"/>
  <c r="V626" s="1"/>
  <c r="W626" s="1"/>
  <c r="X626" s="1"/>
  <c r="Y626" s="1"/>
  <c r="Z626" s="1"/>
  <c r="AA626" s="1"/>
  <c r="AB626" s="1"/>
  <c r="S627"/>
  <c r="T627"/>
  <c r="U627" s="1"/>
  <c r="V627" s="1"/>
  <c r="W627" s="1"/>
  <c r="X627" s="1"/>
  <c r="Y627" s="1"/>
  <c r="Z627" s="1"/>
  <c r="AA627" s="1"/>
  <c r="AB627" s="1"/>
  <c r="S628"/>
  <c r="T628"/>
  <c r="U628" s="1"/>
  <c r="V628" s="1"/>
  <c r="W628" s="1"/>
  <c r="X628" s="1"/>
  <c r="Y628" s="1"/>
  <c r="Z628" s="1"/>
  <c r="AA628" s="1"/>
  <c r="AB628" s="1"/>
  <c r="S629"/>
  <c r="T629"/>
  <c r="U629" s="1"/>
  <c r="V629" s="1"/>
  <c r="W629" s="1"/>
  <c r="X629" s="1"/>
  <c r="Y629" s="1"/>
  <c r="Z629" s="1"/>
  <c r="AA629" s="1"/>
  <c r="AB629" s="1"/>
  <c r="S630"/>
  <c r="T630"/>
  <c r="U630" s="1"/>
  <c r="V630" s="1"/>
  <c r="W630" s="1"/>
  <c r="X630" s="1"/>
  <c r="Y630" s="1"/>
  <c r="Z630" s="1"/>
  <c r="AA630" s="1"/>
  <c r="AB630" s="1"/>
  <c r="S631"/>
  <c r="T631"/>
  <c r="U631" s="1"/>
  <c r="V631" s="1"/>
  <c r="W631" s="1"/>
  <c r="X631" s="1"/>
  <c r="Y631" s="1"/>
  <c r="Z631" s="1"/>
  <c r="AA631" s="1"/>
  <c r="AB631" s="1"/>
  <c r="S632"/>
  <c r="T632"/>
  <c r="U632" s="1"/>
  <c r="V632" s="1"/>
  <c r="W632" s="1"/>
  <c r="X632" s="1"/>
  <c r="Y632" s="1"/>
  <c r="Z632" s="1"/>
  <c r="AA632" s="1"/>
  <c r="AB632" s="1"/>
  <c r="S633"/>
  <c r="T633"/>
  <c r="U633" s="1"/>
  <c r="V633" s="1"/>
  <c r="W633" s="1"/>
  <c r="X633" s="1"/>
  <c r="Y633" s="1"/>
  <c r="Z633" s="1"/>
  <c r="AA633" s="1"/>
  <c r="AB633" s="1"/>
  <c r="S634"/>
  <c r="T634"/>
  <c r="U634" s="1"/>
  <c r="V634" s="1"/>
  <c r="W634" s="1"/>
  <c r="X634" s="1"/>
  <c r="Y634" s="1"/>
  <c r="Z634" s="1"/>
  <c r="AA634" s="1"/>
  <c r="AB634" s="1"/>
  <c r="S635"/>
  <c r="T635"/>
  <c r="U635" s="1"/>
  <c r="V635" s="1"/>
  <c r="W635" s="1"/>
  <c r="X635" s="1"/>
  <c r="Y635" s="1"/>
  <c r="Z635" s="1"/>
  <c r="AA635" s="1"/>
  <c r="AB635" s="1"/>
  <c r="S636"/>
  <c r="T636"/>
  <c r="U636" s="1"/>
  <c r="V636" s="1"/>
  <c r="W636" s="1"/>
  <c r="X636" s="1"/>
  <c r="Y636" s="1"/>
  <c r="Z636" s="1"/>
  <c r="AA636" s="1"/>
  <c r="AB636" s="1"/>
  <c r="S637"/>
  <c r="T637"/>
  <c r="U637" s="1"/>
  <c r="V637" s="1"/>
  <c r="W637" s="1"/>
  <c r="X637" s="1"/>
  <c r="Y637" s="1"/>
  <c r="Z637" s="1"/>
  <c r="AA637" s="1"/>
  <c r="AB637" s="1"/>
  <c r="S638"/>
  <c r="T638"/>
  <c r="U638" s="1"/>
  <c r="V638" s="1"/>
  <c r="W638" s="1"/>
  <c r="X638" s="1"/>
  <c r="Y638" s="1"/>
  <c r="Z638" s="1"/>
  <c r="AA638" s="1"/>
  <c r="AB638" s="1"/>
  <c r="S639"/>
  <c r="T639"/>
  <c r="U639" s="1"/>
  <c r="V639" s="1"/>
  <c r="W639" s="1"/>
  <c r="X639" s="1"/>
  <c r="Y639" s="1"/>
  <c r="Z639" s="1"/>
  <c r="AA639" s="1"/>
  <c r="AB639" s="1"/>
  <c r="S640"/>
  <c r="T640"/>
  <c r="U640" s="1"/>
  <c r="V640" s="1"/>
  <c r="W640" s="1"/>
  <c r="X640" s="1"/>
  <c r="Y640" s="1"/>
  <c r="Z640" s="1"/>
  <c r="AA640" s="1"/>
  <c r="AB640" s="1"/>
  <c r="S641"/>
  <c r="T641"/>
  <c r="U641" s="1"/>
  <c r="V641" s="1"/>
  <c r="W641" s="1"/>
  <c r="X641" s="1"/>
  <c r="Y641" s="1"/>
  <c r="Z641" s="1"/>
  <c r="AA641" s="1"/>
  <c r="AB641" s="1"/>
  <c r="S642"/>
  <c r="T642"/>
  <c r="U642" s="1"/>
  <c r="V642" s="1"/>
  <c r="W642" s="1"/>
  <c r="X642" s="1"/>
  <c r="Y642" s="1"/>
  <c r="Z642" s="1"/>
  <c r="AA642" s="1"/>
  <c r="AB642" s="1"/>
  <c r="S643"/>
  <c r="T643"/>
  <c r="U643" s="1"/>
  <c r="V643" s="1"/>
  <c r="W643" s="1"/>
  <c r="X643" s="1"/>
  <c r="Y643" s="1"/>
  <c r="Z643" s="1"/>
  <c r="AA643" s="1"/>
  <c r="AB643" s="1"/>
  <c r="S644"/>
  <c r="T644"/>
  <c r="U644" s="1"/>
  <c r="V644" s="1"/>
  <c r="W644" s="1"/>
  <c r="X644" s="1"/>
  <c r="Y644" s="1"/>
  <c r="Z644" s="1"/>
  <c r="AA644" s="1"/>
  <c r="AB644" s="1"/>
  <c r="S645"/>
  <c r="T645"/>
  <c r="U645" s="1"/>
  <c r="V645" s="1"/>
  <c r="W645" s="1"/>
  <c r="X645" s="1"/>
  <c r="Y645" s="1"/>
  <c r="Z645" s="1"/>
  <c r="AA645" s="1"/>
  <c r="AB645" s="1"/>
  <c r="S646"/>
  <c r="T646"/>
  <c r="U646" s="1"/>
  <c r="V646" s="1"/>
  <c r="W646" s="1"/>
  <c r="X646" s="1"/>
  <c r="Y646" s="1"/>
  <c r="Z646" s="1"/>
  <c r="AA646" s="1"/>
  <c r="AB646" s="1"/>
  <c r="S647"/>
  <c r="T647"/>
  <c r="U647" s="1"/>
  <c r="V647" s="1"/>
  <c r="W647" s="1"/>
  <c r="X647" s="1"/>
  <c r="Y647" s="1"/>
  <c r="Z647" s="1"/>
  <c r="AA647" s="1"/>
  <c r="AB647" s="1"/>
  <c r="S648"/>
  <c r="T648"/>
  <c r="U648" s="1"/>
  <c r="V648" s="1"/>
  <c r="W648" s="1"/>
  <c r="X648" s="1"/>
  <c r="Y648" s="1"/>
  <c r="Z648" s="1"/>
  <c r="AA648" s="1"/>
  <c r="AB648" s="1"/>
  <c r="S649"/>
  <c r="T649"/>
  <c r="U649" s="1"/>
  <c r="V649" s="1"/>
  <c r="W649" s="1"/>
  <c r="X649" s="1"/>
  <c r="Y649" s="1"/>
  <c r="Z649" s="1"/>
  <c r="AA649" s="1"/>
  <c r="AB649" s="1"/>
  <c r="S650"/>
  <c r="T650"/>
  <c r="U650" s="1"/>
  <c r="V650" s="1"/>
  <c r="W650" s="1"/>
  <c r="X650" s="1"/>
  <c r="Y650" s="1"/>
  <c r="Z650" s="1"/>
  <c r="AA650" s="1"/>
  <c r="AB650" s="1"/>
  <c r="S651"/>
  <c r="T651"/>
  <c r="U651" s="1"/>
  <c r="V651" s="1"/>
  <c r="W651" s="1"/>
  <c r="X651" s="1"/>
  <c r="Y651" s="1"/>
  <c r="Z651" s="1"/>
  <c r="AA651" s="1"/>
  <c r="AB651" s="1"/>
  <c r="S652"/>
  <c r="T652"/>
  <c r="U652" s="1"/>
  <c r="V652" s="1"/>
  <c r="W652" s="1"/>
  <c r="X652" s="1"/>
  <c r="Y652" s="1"/>
  <c r="Z652" s="1"/>
  <c r="AA652" s="1"/>
  <c r="AB652" s="1"/>
  <c r="S653"/>
  <c r="T653"/>
  <c r="U653" s="1"/>
  <c r="V653" s="1"/>
  <c r="W653" s="1"/>
  <c r="X653" s="1"/>
  <c r="Y653" s="1"/>
  <c r="Z653" s="1"/>
  <c r="AA653" s="1"/>
  <c r="AB653" s="1"/>
  <c r="S654"/>
  <c r="T654"/>
  <c r="U654" s="1"/>
  <c r="V654" s="1"/>
  <c r="W654" s="1"/>
  <c r="X654" s="1"/>
  <c r="Y654" s="1"/>
  <c r="Z654" s="1"/>
  <c r="AA654" s="1"/>
  <c r="AB654" s="1"/>
  <c r="S655"/>
  <c r="T655"/>
  <c r="U655" s="1"/>
  <c r="V655" s="1"/>
  <c r="W655" s="1"/>
  <c r="X655" s="1"/>
  <c r="Y655" s="1"/>
  <c r="Z655" s="1"/>
  <c r="AA655" s="1"/>
  <c r="AB655" s="1"/>
  <c r="S656"/>
  <c r="T656"/>
  <c r="U656" s="1"/>
  <c r="V656" s="1"/>
  <c r="W656" s="1"/>
  <c r="X656" s="1"/>
  <c r="Y656" s="1"/>
  <c r="Z656" s="1"/>
  <c r="AA656" s="1"/>
  <c r="AB656" s="1"/>
  <c r="S657"/>
  <c r="T657"/>
  <c r="U657" s="1"/>
  <c r="V657" s="1"/>
  <c r="W657" s="1"/>
  <c r="X657" s="1"/>
  <c r="Y657" s="1"/>
  <c r="Z657" s="1"/>
  <c r="AA657" s="1"/>
  <c r="AB657" s="1"/>
  <c r="S658"/>
  <c r="T658"/>
  <c r="U658" s="1"/>
  <c r="V658" s="1"/>
  <c r="W658" s="1"/>
  <c r="X658" s="1"/>
  <c r="Y658" s="1"/>
  <c r="Z658" s="1"/>
  <c r="AA658" s="1"/>
  <c r="AB658" s="1"/>
  <c r="S659"/>
  <c r="T659"/>
  <c r="U659" s="1"/>
  <c r="V659" s="1"/>
  <c r="W659" s="1"/>
  <c r="X659" s="1"/>
  <c r="Y659" s="1"/>
  <c r="Z659" s="1"/>
  <c r="AA659" s="1"/>
  <c r="AB659" s="1"/>
  <c r="S660"/>
  <c r="T660"/>
  <c r="U660" s="1"/>
  <c r="V660" s="1"/>
  <c r="W660" s="1"/>
  <c r="X660" s="1"/>
  <c r="Y660" s="1"/>
  <c r="Z660" s="1"/>
  <c r="AA660" s="1"/>
  <c r="AB660" s="1"/>
  <c r="S661"/>
  <c r="T661"/>
  <c r="U661" s="1"/>
  <c r="V661" s="1"/>
  <c r="W661" s="1"/>
  <c r="X661" s="1"/>
  <c r="Y661" s="1"/>
  <c r="Z661" s="1"/>
  <c r="AA661" s="1"/>
  <c r="AB661" s="1"/>
  <c r="S662"/>
  <c r="T662"/>
  <c r="U662" s="1"/>
  <c r="V662" s="1"/>
  <c r="W662" s="1"/>
  <c r="X662" s="1"/>
  <c r="Y662" s="1"/>
  <c r="Z662" s="1"/>
  <c r="AA662" s="1"/>
  <c r="AB662" s="1"/>
  <c r="S663"/>
  <c r="T663"/>
  <c r="U663" s="1"/>
  <c r="V663" s="1"/>
  <c r="W663" s="1"/>
  <c r="X663" s="1"/>
  <c r="Y663" s="1"/>
  <c r="Z663" s="1"/>
  <c r="AA663" s="1"/>
  <c r="AB663" s="1"/>
  <c r="S664"/>
  <c r="T664"/>
  <c r="U664" s="1"/>
  <c r="V664" s="1"/>
  <c r="W664" s="1"/>
  <c r="X664" s="1"/>
  <c r="Y664" s="1"/>
  <c r="Z664" s="1"/>
  <c r="AA664" s="1"/>
  <c r="AB664" s="1"/>
  <c r="S665"/>
  <c r="T665"/>
  <c r="U665" s="1"/>
  <c r="V665" s="1"/>
  <c r="W665" s="1"/>
  <c r="X665" s="1"/>
  <c r="Y665" s="1"/>
  <c r="Z665" s="1"/>
  <c r="AA665" s="1"/>
  <c r="AB665" s="1"/>
  <c r="S666"/>
  <c r="T666"/>
  <c r="U666" s="1"/>
  <c r="V666" s="1"/>
  <c r="W666" s="1"/>
  <c r="X666" s="1"/>
  <c r="Y666" s="1"/>
  <c r="Z666" s="1"/>
  <c r="AA666" s="1"/>
  <c r="AB666" s="1"/>
  <c r="S667"/>
  <c r="T667"/>
  <c r="U667" s="1"/>
  <c r="V667" s="1"/>
  <c r="W667" s="1"/>
  <c r="X667" s="1"/>
  <c r="Y667" s="1"/>
  <c r="Z667" s="1"/>
  <c r="AA667" s="1"/>
  <c r="AB667" s="1"/>
  <c r="S668"/>
  <c r="T668"/>
  <c r="U668" s="1"/>
  <c r="V668" s="1"/>
  <c r="W668" s="1"/>
  <c r="X668" s="1"/>
  <c r="Y668" s="1"/>
  <c r="Z668" s="1"/>
  <c r="AA668" s="1"/>
  <c r="AB668" s="1"/>
  <c r="S669"/>
  <c r="T669"/>
  <c r="U669" s="1"/>
  <c r="V669" s="1"/>
  <c r="W669" s="1"/>
  <c r="X669" s="1"/>
  <c r="Y669" s="1"/>
  <c r="Z669" s="1"/>
  <c r="AA669" s="1"/>
  <c r="AB669" s="1"/>
  <c r="S670"/>
  <c r="T670"/>
  <c r="U670" s="1"/>
  <c r="V670" s="1"/>
  <c r="W670" s="1"/>
  <c r="X670" s="1"/>
  <c r="Y670" s="1"/>
  <c r="Z670" s="1"/>
  <c r="AA670" s="1"/>
  <c r="AB670" s="1"/>
  <c r="S671"/>
  <c r="T671"/>
  <c r="U671" s="1"/>
  <c r="V671" s="1"/>
  <c r="W671" s="1"/>
  <c r="X671" s="1"/>
  <c r="Y671" s="1"/>
  <c r="Z671" s="1"/>
  <c r="AA671" s="1"/>
  <c r="AB671" s="1"/>
  <c r="S672"/>
  <c r="T672"/>
  <c r="U672" s="1"/>
  <c r="V672" s="1"/>
  <c r="W672" s="1"/>
  <c r="X672" s="1"/>
  <c r="Y672" s="1"/>
  <c r="Z672" s="1"/>
  <c r="AA672" s="1"/>
  <c r="AB672" s="1"/>
  <c r="S673"/>
  <c r="T673"/>
  <c r="U673" s="1"/>
  <c r="V673" s="1"/>
  <c r="W673" s="1"/>
  <c r="X673" s="1"/>
  <c r="Y673" s="1"/>
  <c r="Z673" s="1"/>
  <c r="AA673" s="1"/>
  <c r="AB673" s="1"/>
  <c r="S674"/>
  <c r="T674"/>
  <c r="U674" s="1"/>
  <c r="V674" s="1"/>
  <c r="W674" s="1"/>
  <c r="X674" s="1"/>
  <c r="Y674" s="1"/>
  <c r="Z674" s="1"/>
  <c r="AA674" s="1"/>
  <c r="AB674" s="1"/>
  <c r="S675"/>
  <c r="T675"/>
  <c r="U675" s="1"/>
  <c r="V675" s="1"/>
  <c r="W675" s="1"/>
  <c r="X675" s="1"/>
  <c r="Y675" s="1"/>
  <c r="Z675" s="1"/>
  <c r="AA675" s="1"/>
  <c r="AB675" s="1"/>
  <c r="S676"/>
  <c r="T676"/>
  <c r="U676" s="1"/>
  <c r="V676" s="1"/>
  <c r="W676" s="1"/>
  <c r="X676" s="1"/>
  <c r="Y676" s="1"/>
  <c r="Z676" s="1"/>
  <c r="AA676" s="1"/>
  <c r="AB676" s="1"/>
  <c r="S677"/>
  <c r="T677"/>
  <c r="U677" s="1"/>
  <c r="V677" s="1"/>
  <c r="W677" s="1"/>
  <c r="X677" s="1"/>
  <c r="Y677" s="1"/>
  <c r="Z677" s="1"/>
  <c r="AA677" s="1"/>
  <c r="AB677" s="1"/>
  <c r="S678"/>
  <c r="T678"/>
  <c r="U678" s="1"/>
  <c r="V678" s="1"/>
  <c r="W678" s="1"/>
  <c r="X678" s="1"/>
  <c r="Y678" s="1"/>
  <c r="Z678" s="1"/>
  <c r="AA678" s="1"/>
  <c r="AB678" s="1"/>
  <c r="S679"/>
  <c r="T679"/>
  <c r="U679" s="1"/>
  <c r="V679" s="1"/>
  <c r="W679" s="1"/>
  <c r="X679" s="1"/>
  <c r="Y679" s="1"/>
  <c r="Z679" s="1"/>
  <c r="AA679" s="1"/>
  <c r="AB679" s="1"/>
  <c r="S680"/>
  <c r="T680"/>
  <c r="U680" s="1"/>
  <c r="V680" s="1"/>
  <c r="W680" s="1"/>
  <c r="X680" s="1"/>
  <c r="Y680" s="1"/>
  <c r="Z680" s="1"/>
  <c r="AA680" s="1"/>
  <c r="AB680" s="1"/>
  <c r="S681"/>
  <c r="T681"/>
  <c r="U681" s="1"/>
  <c r="V681" s="1"/>
  <c r="W681" s="1"/>
  <c r="X681" s="1"/>
  <c r="Y681" s="1"/>
  <c r="Z681" s="1"/>
  <c r="AA681" s="1"/>
  <c r="AB681" s="1"/>
  <c r="S682"/>
  <c r="T682"/>
  <c r="U682" s="1"/>
  <c r="V682" s="1"/>
  <c r="W682" s="1"/>
  <c r="X682" s="1"/>
  <c r="Y682" s="1"/>
  <c r="Z682" s="1"/>
  <c r="AA682" s="1"/>
  <c r="AB682" s="1"/>
  <c r="S683"/>
  <c r="T683"/>
  <c r="U683" s="1"/>
  <c r="V683" s="1"/>
  <c r="W683" s="1"/>
  <c r="X683" s="1"/>
  <c r="Y683" s="1"/>
  <c r="Z683" s="1"/>
  <c r="AA683" s="1"/>
  <c r="AB683" s="1"/>
  <c r="S684"/>
  <c r="T684"/>
  <c r="U684" s="1"/>
  <c r="V684" s="1"/>
  <c r="W684" s="1"/>
  <c r="X684" s="1"/>
  <c r="Y684" s="1"/>
  <c r="Z684" s="1"/>
  <c r="AA684" s="1"/>
  <c r="AB684" s="1"/>
  <c r="S685"/>
  <c r="T685"/>
  <c r="U685" s="1"/>
  <c r="V685" s="1"/>
  <c r="W685" s="1"/>
  <c r="X685" s="1"/>
  <c r="Y685" s="1"/>
  <c r="Z685" s="1"/>
  <c r="AA685" s="1"/>
  <c r="AB685" s="1"/>
  <c r="S686"/>
  <c r="T686"/>
  <c r="U686" s="1"/>
  <c r="V686" s="1"/>
  <c r="W686" s="1"/>
  <c r="X686" s="1"/>
  <c r="Y686" s="1"/>
  <c r="Z686" s="1"/>
  <c r="AA686" s="1"/>
  <c r="AB686" s="1"/>
  <c r="S687"/>
  <c r="T687"/>
  <c r="U687" s="1"/>
  <c r="V687" s="1"/>
  <c r="W687" s="1"/>
  <c r="X687" s="1"/>
  <c r="Y687" s="1"/>
  <c r="Z687" s="1"/>
  <c r="AA687" s="1"/>
  <c r="AB687" s="1"/>
  <c r="S688"/>
  <c r="T688"/>
  <c r="U688" s="1"/>
  <c r="V688" s="1"/>
  <c r="W688" s="1"/>
  <c r="X688" s="1"/>
  <c r="Y688" s="1"/>
  <c r="Z688" s="1"/>
  <c r="AA688" s="1"/>
  <c r="AB688" s="1"/>
  <c r="S689"/>
  <c r="T689"/>
  <c r="U689" s="1"/>
  <c r="V689" s="1"/>
  <c r="W689" s="1"/>
  <c r="X689" s="1"/>
  <c r="Y689" s="1"/>
  <c r="Z689" s="1"/>
  <c r="AA689" s="1"/>
  <c r="AB689" s="1"/>
  <c r="S690"/>
  <c r="T690"/>
  <c r="U690" s="1"/>
  <c r="V690" s="1"/>
  <c r="W690" s="1"/>
  <c r="X690" s="1"/>
  <c r="Y690" s="1"/>
  <c r="Z690" s="1"/>
  <c r="AA690" s="1"/>
  <c r="AB690" s="1"/>
  <c r="S691"/>
  <c r="T691"/>
  <c r="U691" s="1"/>
  <c r="V691" s="1"/>
  <c r="W691" s="1"/>
  <c r="X691" s="1"/>
  <c r="Y691" s="1"/>
  <c r="Z691" s="1"/>
  <c r="AA691" s="1"/>
  <c r="AB691" s="1"/>
  <c r="S692"/>
  <c r="T692"/>
  <c r="U692" s="1"/>
  <c r="V692" s="1"/>
  <c r="W692" s="1"/>
  <c r="X692" s="1"/>
  <c r="Y692" s="1"/>
  <c r="Z692" s="1"/>
  <c r="AA692" s="1"/>
  <c r="AB692" s="1"/>
  <c r="S693"/>
  <c r="T693"/>
  <c r="U693" s="1"/>
  <c r="V693" s="1"/>
  <c r="W693" s="1"/>
  <c r="X693" s="1"/>
  <c r="Y693" s="1"/>
  <c r="Z693" s="1"/>
  <c r="AA693" s="1"/>
  <c r="AB693" s="1"/>
  <c r="S694"/>
  <c r="T694"/>
  <c r="U694" s="1"/>
  <c r="V694" s="1"/>
  <c r="W694" s="1"/>
  <c r="X694" s="1"/>
  <c r="Y694" s="1"/>
  <c r="Z694" s="1"/>
  <c r="AA694" s="1"/>
  <c r="AB694" s="1"/>
  <c r="S695"/>
  <c r="T695"/>
  <c r="U695" s="1"/>
  <c r="V695" s="1"/>
  <c r="W695" s="1"/>
  <c r="X695" s="1"/>
  <c r="Y695" s="1"/>
  <c r="Z695" s="1"/>
  <c r="AA695" s="1"/>
  <c r="AB695" s="1"/>
  <c r="S696"/>
  <c r="T696"/>
  <c r="U696" s="1"/>
  <c r="V696" s="1"/>
  <c r="W696" s="1"/>
  <c r="X696" s="1"/>
  <c r="Y696" s="1"/>
  <c r="Z696" s="1"/>
  <c r="AA696" s="1"/>
  <c r="AB696" s="1"/>
  <c r="S697"/>
  <c r="T697"/>
  <c r="U697" s="1"/>
  <c r="V697" s="1"/>
  <c r="W697" s="1"/>
  <c r="X697" s="1"/>
  <c r="Y697" s="1"/>
  <c r="Z697" s="1"/>
  <c r="AA697" s="1"/>
  <c r="AB697" s="1"/>
  <c r="S698"/>
  <c r="T698"/>
  <c r="U698" s="1"/>
  <c r="V698" s="1"/>
  <c r="W698" s="1"/>
  <c r="X698" s="1"/>
  <c r="Y698" s="1"/>
  <c r="Z698" s="1"/>
  <c r="AA698" s="1"/>
  <c r="AB698" s="1"/>
  <c r="S699"/>
  <c r="T699"/>
  <c r="U699" s="1"/>
  <c r="V699" s="1"/>
  <c r="W699" s="1"/>
  <c r="X699" s="1"/>
  <c r="Y699" s="1"/>
  <c r="Z699" s="1"/>
  <c r="AA699" s="1"/>
  <c r="AB699" s="1"/>
  <c r="S700"/>
  <c r="T700"/>
  <c r="U700" s="1"/>
  <c r="V700" s="1"/>
  <c r="W700" s="1"/>
  <c r="X700" s="1"/>
  <c r="Y700" s="1"/>
  <c r="Z700" s="1"/>
  <c r="AA700" s="1"/>
  <c r="AB700" s="1"/>
  <c r="S701"/>
  <c r="T701"/>
  <c r="U701" s="1"/>
  <c r="V701" s="1"/>
  <c r="W701" s="1"/>
  <c r="X701" s="1"/>
  <c r="Y701" s="1"/>
  <c r="Z701" s="1"/>
  <c r="AA701" s="1"/>
  <c r="AB701" s="1"/>
  <c r="S702"/>
  <c r="T702"/>
  <c r="U702" s="1"/>
  <c r="V702" s="1"/>
  <c r="W702" s="1"/>
  <c r="X702" s="1"/>
  <c r="Y702" s="1"/>
  <c r="Z702" s="1"/>
  <c r="AA702" s="1"/>
  <c r="AB702" s="1"/>
  <c r="S703"/>
  <c r="T703"/>
  <c r="U703" s="1"/>
  <c r="V703" s="1"/>
  <c r="W703" s="1"/>
  <c r="X703" s="1"/>
  <c r="Y703" s="1"/>
  <c r="Z703" s="1"/>
  <c r="AA703" s="1"/>
  <c r="AB703" s="1"/>
  <c r="S704"/>
  <c r="T704"/>
  <c r="U704" s="1"/>
  <c r="V704" s="1"/>
  <c r="W704" s="1"/>
  <c r="X704" s="1"/>
  <c r="Y704" s="1"/>
  <c r="Z704" s="1"/>
  <c r="AA704" s="1"/>
  <c r="AB704" s="1"/>
  <c r="S705"/>
  <c r="T705"/>
  <c r="U705" s="1"/>
  <c r="V705" s="1"/>
  <c r="W705" s="1"/>
  <c r="X705" s="1"/>
  <c r="Y705" s="1"/>
  <c r="Z705" s="1"/>
  <c r="AA705" s="1"/>
  <c r="AB705" s="1"/>
  <c r="S706"/>
  <c r="T706"/>
  <c r="U706" s="1"/>
  <c r="V706" s="1"/>
  <c r="W706" s="1"/>
  <c r="X706" s="1"/>
  <c r="Y706" s="1"/>
  <c r="Z706" s="1"/>
  <c r="AA706" s="1"/>
  <c r="AB706" s="1"/>
  <c r="S707"/>
  <c r="T707"/>
  <c r="U707" s="1"/>
  <c r="V707" s="1"/>
  <c r="W707" s="1"/>
  <c r="X707" s="1"/>
  <c r="Y707" s="1"/>
  <c r="Z707" s="1"/>
  <c r="AA707" s="1"/>
  <c r="AB707" s="1"/>
  <c r="S708"/>
  <c r="T708"/>
  <c r="U708" s="1"/>
  <c r="V708" s="1"/>
  <c r="W708" s="1"/>
  <c r="X708" s="1"/>
  <c r="Y708" s="1"/>
  <c r="Z708" s="1"/>
  <c r="AA708" s="1"/>
  <c r="AB708" s="1"/>
  <c r="S709"/>
  <c r="T709"/>
  <c r="U709" s="1"/>
  <c r="V709" s="1"/>
  <c r="W709" s="1"/>
  <c r="X709" s="1"/>
  <c r="Y709" s="1"/>
  <c r="Z709" s="1"/>
  <c r="AA709" s="1"/>
  <c r="AB709" s="1"/>
  <c r="S710"/>
  <c r="T710"/>
  <c r="U710" s="1"/>
  <c r="V710" s="1"/>
  <c r="W710" s="1"/>
  <c r="X710" s="1"/>
  <c r="Y710" s="1"/>
  <c r="Z710" s="1"/>
  <c r="AA710" s="1"/>
  <c r="AB710" s="1"/>
  <c r="S711"/>
  <c r="T711"/>
  <c r="U711" s="1"/>
  <c r="V711" s="1"/>
  <c r="W711" s="1"/>
  <c r="X711" s="1"/>
  <c r="Y711" s="1"/>
  <c r="Z711" s="1"/>
  <c r="AA711" s="1"/>
  <c r="AB711" s="1"/>
  <c r="S712"/>
  <c r="T712"/>
  <c r="U712" s="1"/>
  <c r="V712" s="1"/>
  <c r="W712" s="1"/>
  <c r="X712" s="1"/>
  <c r="Y712" s="1"/>
  <c r="Z712" s="1"/>
  <c r="AA712" s="1"/>
  <c r="AB712" s="1"/>
  <c r="S713"/>
  <c r="T713"/>
  <c r="U713" s="1"/>
  <c r="V713" s="1"/>
  <c r="W713" s="1"/>
  <c r="X713" s="1"/>
  <c r="Y713" s="1"/>
  <c r="Z713" s="1"/>
  <c r="AA713" s="1"/>
  <c r="AB713" s="1"/>
  <c r="S714"/>
  <c r="T714"/>
  <c r="U714" s="1"/>
  <c r="V714" s="1"/>
  <c r="W714" s="1"/>
  <c r="X714" s="1"/>
  <c r="Y714" s="1"/>
  <c r="Z714" s="1"/>
  <c r="AA714" s="1"/>
  <c r="AB714" s="1"/>
  <c r="S715"/>
  <c r="T715"/>
  <c r="U715" s="1"/>
  <c r="V715" s="1"/>
  <c r="W715" s="1"/>
  <c r="X715" s="1"/>
  <c r="Y715" s="1"/>
  <c r="Z715" s="1"/>
  <c r="AA715" s="1"/>
  <c r="AB715" s="1"/>
  <c r="S716"/>
  <c r="T716"/>
  <c r="U716" s="1"/>
  <c r="V716"/>
  <c r="W716" s="1"/>
  <c r="X716" s="1"/>
  <c r="Y716" s="1"/>
  <c r="Z716" s="1"/>
  <c r="AA716" s="1"/>
  <c r="AB716" s="1"/>
  <c r="S717"/>
  <c r="T717"/>
  <c r="U717" s="1"/>
  <c r="V717"/>
  <c r="W717" s="1"/>
  <c r="X717" s="1"/>
  <c r="Y717" s="1"/>
  <c r="Z717" s="1"/>
  <c r="AA717" s="1"/>
  <c r="AB717" s="1"/>
  <c r="S718"/>
  <c r="T718"/>
  <c r="U718" s="1"/>
  <c r="V718"/>
  <c r="W718" s="1"/>
  <c r="X718" s="1"/>
  <c r="Y718" s="1"/>
  <c r="Z718" s="1"/>
  <c r="AA718" s="1"/>
  <c r="AB718" s="1"/>
  <c r="S719"/>
  <c r="T719"/>
  <c r="U719" s="1"/>
  <c r="V719"/>
  <c r="W719" s="1"/>
  <c r="X719" s="1"/>
  <c r="Y719" s="1"/>
  <c r="Z719" s="1"/>
  <c r="AA719" s="1"/>
  <c r="AB719" s="1"/>
  <c r="S720"/>
  <c r="T720"/>
  <c r="U720" s="1"/>
  <c r="V720"/>
  <c r="W720" s="1"/>
  <c r="X720" s="1"/>
  <c r="Y720" s="1"/>
  <c r="Z720" s="1"/>
  <c r="AA720" s="1"/>
  <c r="AB720" s="1"/>
  <c r="S721"/>
  <c r="T721"/>
  <c r="U721" s="1"/>
  <c r="V721"/>
  <c r="W721" s="1"/>
  <c r="X721" s="1"/>
  <c r="Y721" s="1"/>
  <c r="Z721" s="1"/>
  <c r="AA721" s="1"/>
  <c r="AB721" s="1"/>
  <c r="S722"/>
  <c r="T722"/>
  <c r="U722" s="1"/>
  <c r="V722"/>
  <c r="W722" s="1"/>
  <c r="X722" s="1"/>
  <c r="Y722" s="1"/>
  <c r="Z722" s="1"/>
  <c r="AA722" s="1"/>
  <c r="AB722" s="1"/>
  <c r="S723"/>
  <c r="T723"/>
  <c r="U723" s="1"/>
  <c r="V723"/>
  <c r="W723" s="1"/>
  <c r="X723" s="1"/>
  <c r="Y723" s="1"/>
  <c r="Z723" s="1"/>
  <c r="AA723" s="1"/>
  <c r="AB723" s="1"/>
  <c r="S724"/>
  <c r="T724"/>
  <c r="U724" s="1"/>
  <c r="V724"/>
  <c r="W724" s="1"/>
  <c r="X724" s="1"/>
  <c r="Y724" s="1"/>
  <c r="Z724" s="1"/>
  <c r="AA724" s="1"/>
  <c r="AB724" s="1"/>
  <c r="S725"/>
  <c r="T725"/>
  <c r="U725" s="1"/>
  <c r="V725"/>
  <c r="W725" s="1"/>
  <c r="X725" s="1"/>
  <c r="Y725" s="1"/>
  <c r="Z725" s="1"/>
  <c r="AA725" s="1"/>
  <c r="AB725" s="1"/>
  <c r="S726"/>
  <c r="T726"/>
  <c r="U726" s="1"/>
  <c r="V726"/>
  <c r="W726" s="1"/>
  <c r="X726" s="1"/>
  <c r="Y726" s="1"/>
  <c r="Z726" s="1"/>
  <c r="AA726" s="1"/>
  <c r="AB726" s="1"/>
  <c r="S727"/>
  <c r="T727"/>
  <c r="U727" s="1"/>
  <c r="V727"/>
  <c r="W727" s="1"/>
  <c r="X727" s="1"/>
  <c r="Y727" s="1"/>
  <c r="Z727" s="1"/>
  <c r="AA727" s="1"/>
  <c r="AB727" s="1"/>
  <c r="S728"/>
  <c r="T728"/>
  <c r="U728" s="1"/>
  <c r="V728"/>
  <c r="W728" s="1"/>
  <c r="X728" s="1"/>
  <c r="Y728" s="1"/>
  <c r="Z728" s="1"/>
  <c r="AA728" s="1"/>
  <c r="AB728" s="1"/>
  <c r="S729"/>
  <c r="T729"/>
  <c r="U729" s="1"/>
  <c r="V729"/>
  <c r="W729" s="1"/>
  <c r="X729" s="1"/>
  <c r="Y729" s="1"/>
  <c r="Z729" s="1"/>
  <c r="AA729" s="1"/>
  <c r="AB729" s="1"/>
  <c r="S730"/>
  <c r="T730"/>
  <c r="U730" s="1"/>
  <c r="V730"/>
  <c r="W730" s="1"/>
  <c r="X730" s="1"/>
  <c r="Y730" s="1"/>
  <c r="Z730" s="1"/>
  <c r="AA730" s="1"/>
  <c r="AB730" s="1"/>
  <c r="S731"/>
  <c r="T731"/>
  <c r="U731" s="1"/>
  <c r="V731"/>
  <c r="W731" s="1"/>
  <c r="X731" s="1"/>
  <c r="Y731" s="1"/>
  <c r="Z731" s="1"/>
  <c r="AA731" s="1"/>
  <c r="AB731" s="1"/>
  <c r="S732"/>
  <c r="T732"/>
  <c r="U732" s="1"/>
  <c r="V732"/>
  <c r="W732" s="1"/>
  <c r="X732" s="1"/>
  <c r="Y732" s="1"/>
  <c r="Z732" s="1"/>
  <c r="AA732" s="1"/>
  <c r="AB732" s="1"/>
  <c r="S733"/>
  <c r="T733"/>
  <c r="U733" s="1"/>
  <c r="V733"/>
  <c r="W733" s="1"/>
  <c r="X733" s="1"/>
  <c r="Y733" s="1"/>
  <c r="Z733" s="1"/>
  <c r="AA733" s="1"/>
  <c r="AB733" s="1"/>
  <c r="S734"/>
  <c r="T734"/>
  <c r="U734" s="1"/>
  <c r="V734"/>
  <c r="W734" s="1"/>
  <c r="X734" s="1"/>
  <c r="Y734" s="1"/>
  <c r="Z734" s="1"/>
  <c r="AA734" s="1"/>
  <c r="AB734" s="1"/>
  <c r="S735"/>
  <c r="T735"/>
  <c r="U735" s="1"/>
  <c r="V735"/>
  <c r="W735" s="1"/>
  <c r="X735" s="1"/>
  <c r="Y735" s="1"/>
  <c r="Z735" s="1"/>
  <c r="AA735" s="1"/>
  <c r="AB735" s="1"/>
  <c r="S736"/>
  <c r="T736"/>
  <c r="U736" s="1"/>
  <c r="V736"/>
  <c r="W736" s="1"/>
  <c r="X736" s="1"/>
  <c r="Y736" s="1"/>
  <c r="Z736" s="1"/>
  <c r="AA736" s="1"/>
  <c r="AB736" s="1"/>
  <c r="S737"/>
  <c r="T737"/>
  <c r="U737" s="1"/>
  <c r="V737"/>
  <c r="W737" s="1"/>
  <c r="X737" s="1"/>
  <c r="Y737" s="1"/>
  <c r="Z737" s="1"/>
  <c r="AA737" s="1"/>
  <c r="AB737" s="1"/>
  <c r="S738"/>
  <c r="T738"/>
  <c r="U738" s="1"/>
  <c r="V738"/>
  <c r="W738" s="1"/>
  <c r="X738" s="1"/>
  <c r="Y738" s="1"/>
  <c r="Z738" s="1"/>
  <c r="AA738" s="1"/>
  <c r="AB738" s="1"/>
  <c r="S739"/>
  <c r="T739"/>
  <c r="U739" s="1"/>
  <c r="V739"/>
  <c r="W739" s="1"/>
  <c r="X739" s="1"/>
  <c r="Y739" s="1"/>
  <c r="Z739" s="1"/>
  <c r="AA739" s="1"/>
  <c r="AB739" s="1"/>
  <c r="S740"/>
  <c r="T740"/>
  <c r="U740" s="1"/>
  <c r="V740"/>
  <c r="W740" s="1"/>
  <c r="X740" s="1"/>
  <c r="Y740" s="1"/>
  <c r="Z740" s="1"/>
  <c r="AA740" s="1"/>
  <c r="AB740" s="1"/>
  <c r="S741"/>
  <c r="T741"/>
  <c r="U741" s="1"/>
  <c r="V741"/>
  <c r="W741" s="1"/>
  <c r="X741" s="1"/>
  <c r="Y741" s="1"/>
  <c r="Z741" s="1"/>
  <c r="AA741" s="1"/>
  <c r="AB741" s="1"/>
  <c r="S742"/>
  <c r="T742"/>
  <c r="U742" s="1"/>
  <c r="V742"/>
  <c r="W742" s="1"/>
  <c r="X742" s="1"/>
  <c r="Y742" s="1"/>
  <c r="Z742" s="1"/>
  <c r="AA742" s="1"/>
  <c r="AB742" s="1"/>
  <c r="S743"/>
  <c r="T743"/>
  <c r="U743" s="1"/>
  <c r="V743"/>
  <c r="W743" s="1"/>
  <c r="X743" s="1"/>
  <c r="Y743" s="1"/>
  <c r="Z743" s="1"/>
  <c r="AA743" s="1"/>
  <c r="AB743" s="1"/>
  <c r="S744"/>
  <c r="T744"/>
  <c r="U744" s="1"/>
  <c r="V744"/>
  <c r="W744" s="1"/>
  <c r="X744" s="1"/>
  <c r="Y744" s="1"/>
  <c r="Z744" s="1"/>
  <c r="AA744" s="1"/>
  <c r="AB744" s="1"/>
  <c r="S745"/>
  <c r="T745"/>
  <c r="U745" s="1"/>
  <c r="V745"/>
  <c r="W745" s="1"/>
  <c r="X745" s="1"/>
  <c r="Y745" s="1"/>
  <c r="Z745" s="1"/>
  <c r="AA745" s="1"/>
  <c r="AB745" s="1"/>
  <c r="S746"/>
  <c r="T746"/>
  <c r="U746" s="1"/>
  <c r="V746"/>
  <c r="W746" s="1"/>
  <c r="X746" s="1"/>
  <c r="Y746" s="1"/>
  <c r="Z746" s="1"/>
  <c r="AA746" s="1"/>
  <c r="AB746" s="1"/>
  <c r="S747"/>
  <c r="T747"/>
  <c r="U747" s="1"/>
  <c r="V747"/>
  <c r="W747" s="1"/>
  <c r="X747" s="1"/>
  <c r="Y747" s="1"/>
  <c r="Z747" s="1"/>
  <c r="AA747" s="1"/>
  <c r="AB747" s="1"/>
  <c r="S748"/>
  <c r="T748"/>
  <c r="U748" s="1"/>
  <c r="V748"/>
  <c r="W748" s="1"/>
  <c r="X748" s="1"/>
  <c r="Y748" s="1"/>
  <c r="Z748" s="1"/>
  <c r="AA748" s="1"/>
  <c r="AB748" s="1"/>
  <c r="S749"/>
  <c r="T749"/>
  <c r="U749" s="1"/>
  <c r="V749"/>
  <c r="W749" s="1"/>
  <c r="X749" s="1"/>
  <c r="Y749" s="1"/>
  <c r="Z749" s="1"/>
  <c r="AA749" s="1"/>
  <c r="AB749" s="1"/>
  <c r="S750"/>
  <c r="T750"/>
  <c r="U750" s="1"/>
  <c r="V750"/>
  <c r="W750" s="1"/>
  <c r="X750" s="1"/>
  <c r="Y750" s="1"/>
  <c r="Z750" s="1"/>
  <c r="AA750" s="1"/>
  <c r="AB750" s="1"/>
  <c r="S751"/>
  <c r="T751"/>
  <c r="U751" s="1"/>
  <c r="V751"/>
  <c r="W751" s="1"/>
  <c r="X751" s="1"/>
  <c r="Y751" s="1"/>
  <c r="Z751" s="1"/>
  <c r="AA751" s="1"/>
  <c r="AB751" s="1"/>
  <c r="S752"/>
  <c r="T752"/>
  <c r="U752" s="1"/>
  <c r="V752"/>
  <c r="W752" s="1"/>
  <c r="X752" s="1"/>
  <c r="Y752" s="1"/>
  <c r="Z752" s="1"/>
  <c r="AA752" s="1"/>
  <c r="AB752" s="1"/>
  <c r="S753"/>
  <c r="T753"/>
  <c r="U753" s="1"/>
  <c r="V753"/>
  <c r="W753" s="1"/>
  <c r="X753" s="1"/>
  <c r="Y753" s="1"/>
  <c r="Z753" s="1"/>
  <c r="AA753" s="1"/>
  <c r="AB753" s="1"/>
  <c r="S754"/>
  <c r="T754"/>
  <c r="U754" s="1"/>
  <c r="V754"/>
  <c r="W754" s="1"/>
  <c r="X754" s="1"/>
  <c r="Y754" s="1"/>
  <c r="Z754" s="1"/>
  <c r="AA754" s="1"/>
  <c r="AB754" s="1"/>
  <c r="S755"/>
  <c r="T755"/>
  <c r="U755" s="1"/>
  <c r="V755"/>
  <c r="W755" s="1"/>
  <c r="X755" s="1"/>
  <c r="Y755" s="1"/>
  <c r="Z755" s="1"/>
  <c r="AA755" s="1"/>
  <c r="AB755" s="1"/>
  <c r="S756"/>
  <c r="T756"/>
  <c r="U756" s="1"/>
  <c r="V756"/>
  <c r="W756" s="1"/>
  <c r="X756" s="1"/>
  <c r="Y756" s="1"/>
  <c r="Z756" s="1"/>
  <c r="AA756" s="1"/>
  <c r="AB756" s="1"/>
  <c r="S757"/>
  <c r="T757"/>
  <c r="U757" s="1"/>
  <c r="V757"/>
  <c r="W757" s="1"/>
  <c r="X757" s="1"/>
  <c r="Y757" s="1"/>
  <c r="Z757" s="1"/>
  <c r="AA757" s="1"/>
  <c r="AB757" s="1"/>
  <c r="S758"/>
  <c r="T758"/>
  <c r="U758" s="1"/>
  <c r="V758"/>
  <c r="W758" s="1"/>
  <c r="X758" s="1"/>
  <c r="Y758" s="1"/>
  <c r="Z758" s="1"/>
  <c r="AA758" s="1"/>
  <c r="AB758" s="1"/>
  <c r="S759"/>
  <c r="T759"/>
  <c r="U759" s="1"/>
  <c r="V759"/>
  <c r="W759" s="1"/>
  <c r="X759" s="1"/>
  <c r="Y759" s="1"/>
  <c r="Z759" s="1"/>
  <c r="AA759" s="1"/>
  <c r="AB759" s="1"/>
  <c r="S760"/>
  <c r="T760"/>
  <c r="U760" s="1"/>
  <c r="V760"/>
  <c r="W760" s="1"/>
  <c r="X760" s="1"/>
  <c r="Y760" s="1"/>
  <c r="Z760" s="1"/>
  <c r="AA760" s="1"/>
  <c r="AB760" s="1"/>
  <c r="S761"/>
  <c r="T761"/>
  <c r="U761" s="1"/>
  <c r="V761"/>
  <c r="W761" s="1"/>
  <c r="X761" s="1"/>
  <c r="Y761" s="1"/>
  <c r="Z761" s="1"/>
  <c r="AA761" s="1"/>
  <c r="AB761" s="1"/>
  <c r="S762"/>
  <c r="T762"/>
  <c r="U762" s="1"/>
  <c r="V762"/>
  <c r="W762" s="1"/>
  <c r="X762" s="1"/>
  <c r="Y762" s="1"/>
  <c r="Z762" s="1"/>
  <c r="AA762" s="1"/>
  <c r="AB762" s="1"/>
  <c r="S763"/>
  <c r="T763"/>
  <c r="U763" s="1"/>
  <c r="V763"/>
  <c r="W763" s="1"/>
  <c r="X763" s="1"/>
  <c r="Y763" s="1"/>
  <c r="Z763" s="1"/>
  <c r="AA763" s="1"/>
  <c r="AB763" s="1"/>
  <c r="S764"/>
  <c r="T764"/>
  <c r="U764" s="1"/>
  <c r="V764"/>
  <c r="W764" s="1"/>
  <c r="X764" s="1"/>
  <c r="Y764" s="1"/>
  <c r="Z764" s="1"/>
  <c r="AA764" s="1"/>
  <c r="AB764" s="1"/>
  <c r="S765"/>
  <c r="T765"/>
  <c r="U765" s="1"/>
  <c r="V765"/>
  <c r="W765" s="1"/>
  <c r="X765" s="1"/>
  <c r="Y765" s="1"/>
  <c r="Z765" s="1"/>
  <c r="AA765" s="1"/>
  <c r="AB765" s="1"/>
  <c r="S766"/>
  <c r="T766"/>
  <c r="U766" s="1"/>
  <c r="V766"/>
  <c r="W766" s="1"/>
  <c r="X766" s="1"/>
  <c r="Y766" s="1"/>
  <c r="Z766" s="1"/>
  <c r="AA766" s="1"/>
  <c r="AB766" s="1"/>
  <c r="S767"/>
  <c r="T767"/>
  <c r="U767" s="1"/>
  <c r="V767"/>
  <c r="W767" s="1"/>
  <c r="X767" s="1"/>
  <c r="Y767" s="1"/>
  <c r="Z767" s="1"/>
  <c r="AA767" s="1"/>
  <c r="AB767" s="1"/>
  <c r="S768"/>
  <c r="T768"/>
  <c r="U768" s="1"/>
  <c r="V768"/>
  <c r="W768" s="1"/>
  <c r="X768" s="1"/>
  <c r="Y768" s="1"/>
  <c r="Z768" s="1"/>
  <c r="AA768" s="1"/>
  <c r="AB768" s="1"/>
  <c r="S769"/>
  <c r="T769"/>
  <c r="U769" s="1"/>
  <c r="V769"/>
  <c r="W769" s="1"/>
  <c r="X769" s="1"/>
  <c r="Y769" s="1"/>
  <c r="Z769" s="1"/>
  <c r="AA769" s="1"/>
  <c r="AB769" s="1"/>
  <c r="S770"/>
  <c r="T770"/>
  <c r="U770" s="1"/>
  <c r="V770"/>
  <c r="W770" s="1"/>
  <c r="X770" s="1"/>
  <c r="Y770" s="1"/>
  <c r="Z770" s="1"/>
  <c r="AA770" s="1"/>
  <c r="AB770" s="1"/>
  <c r="S771"/>
  <c r="T771"/>
  <c r="U771" s="1"/>
  <c r="V771"/>
  <c r="W771" s="1"/>
  <c r="X771" s="1"/>
  <c r="Y771" s="1"/>
  <c r="Z771" s="1"/>
  <c r="AA771" s="1"/>
  <c r="AB771" s="1"/>
  <c r="S772"/>
  <c r="T772"/>
  <c r="U772" s="1"/>
  <c r="V772"/>
  <c r="W772" s="1"/>
  <c r="X772" s="1"/>
  <c r="Y772" s="1"/>
  <c r="Z772" s="1"/>
  <c r="AA772" s="1"/>
  <c r="AB772" s="1"/>
  <c r="S773"/>
  <c r="T773"/>
  <c r="U773" s="1"/>
  <c r="V773"/>
  <c r="W773" s="1"/>
  <c r="X773" s="1"/>
  <c r="Y773" s="1"/>
  <c r="Z773" s="1"/>
  <c r="AA773" s="1"/>
  <c r="AB773" s="1"/>
  <c r="S774"/>
  <c r="T774"/>
  <c r="U774" s="1"/>
  <c r="V774"/>
  <c r="W774" s="1"/>
  <c r="X774" s="1"/>
  <c r="Y774" s="1"/>
  <c r="Z774" s="1"/>
  <c r="AA774" s="1"/>
  <c r="AB774" s="1"/>
  <c r="S775"/>
  <c r="T775"/>
  <c r="U775" s="1"/>
  <c r="V775"/>
  <c r="W775" s="1"/>
  <c r="X775" s="1"/>
  <c r="Y775" s="1"/>
  <c r="Z775" s="1"/>
  <c r="AA775" s="1"/>
  <c r="AB775" s="1"/>
  <c r="S776"/>
  <c r="T776"/>
  <c r="U776" s="1"/>
  <c r="V776"/>
  <c r="W776" s="1"/>
  <c r="X776" s="1"/>
  <c r="Y776" s="1"/>
  <c r="Z776" s="1"/>
  <c r="AA776" s="1"/>
  <c r="AB776" s="1"/>
  <c r="S777"/>
  <c r="T777"/>
  <c r="U777" s="1"/>
  <c r="V777"/>
  <c r="W777" s="1"/>
  <c r="X777" s="1"/>
  <c r="Y777" s="1"/>
  <c r="Z777" s="1"/>
  <c r="AA777" s="1"/>
  <c r="AB777" s="1"/>
  <c r="S778"/>
  <c r="T778"/>
  <c r="U778" s="1"/>
  <c r="V778"/>
  <c r="W778" s="1"/>
  <c r="X778" s="1"/>
  <c r="Y778" s="1"/>
  <c r="Z778" s="1"/>
  <c r="AA778" s="1"/>
  <c r="AB778" s="1"/>
  <c r="S779"/>
  <c r="T779"/>
  <c r="U779" s="1"/>
  <c r="V779"/>
  <c r="W779" s="1"/>
  <c r="X779" s="1"/>
  <c r="Y779" s="1"/>
  <c r="Z779" s="1"/>
  <c r="AA779" s="1"/>
  <c r="AB779" s="1"/>
  <c r="S780"/>
  <c r="T780"/>
  <c r="U780" s="1"/>
  <c r="V780"/>
  <c r="W780" s="1"/>
  <c r="X780" s="1"/>
  <c r="Y780" s="1"/>
  <c r="Z780" s="1"/>
  <c r="AA780" s="1"/>
  <c r="AB780" s="1"/>
  <c r="S781"/>
  <c r="T781"/>
  <c r="U781" s="1"/>
  <c r="V781"/>
  <c r="W781" s="1"/>
  <c r="X781" s="1"/>
  <c r="Y781" s="1"/>
  <c r="Z781" s="1"/>
  <c r="AA781" s="1"/>
  <c r="AB781" s="1"/>
  <c r="S782"/>
  <c r="T782"/>
  <c r="U782" s="1"/>
  <c r="V782"/>
  <c r="W782" s="1"/>
  <c r="X782" s="1"/>
  <c r="Y782" s="1"/>
  <c r="Z782" s="1"/>
  <c r="AA782" s="1"/>
  <c r="AB782" s="1"/>
  <c r="S783"/>
  <c r="T783"/>
  <c r="U783" s="1"/>
  <c r="V783"/>
  <c r="W783" s="1"/>
  <c r="X783" s="1"/>
  <c r="Y783" s="1"/>
  <c r="Z783" s="1"/>
  <c r="AA783" s="1"/>
  <c r="AB783" s="1"/>
  <c r="S784"/>
  <c r="T784"/>
  <c r="U784" s="1"/>
  <c r="V784"/>
  <c r="W784" s="1"/>
  <c r="X784" s="1"/>
  <c r="Y784" s="1"/>
  <c r="Z784" s="1"/>
  <c r="AA784" s="1"/>
  <c r="AB784" s="1"/>
  <c r="S785"/>
  <c r="T785"/>
  <c r="U785" s="1"/>
  <c r="V785"/>
  <c r="W785" s="1"/>
  <c r="X785" s="1"/>
  <c r="Y785" s="1"/>
  <c r="Z785" s="1"/>
  <c r="AA785" s="1"/>
  <c r="AB785" s="1"/>
  <c r="S786"/>
  <c r="T786"/>
  <c r="U786" s="1"/>
  <c r="V786"/>
  <c r="W786" s="1"/>
  <c r="X786" s="1"/>
  <c r="Y786" s="1"/>
  <c r="Z786" s="1"/>
  <c r="AA786" s="1"/>
  <c r="AB786" s="1"/>
  <c r="S787"/>
  <c r="T787"/>
  <c r="U787" s="1"/>
  <c r="V787"/>
  <c r="W787" s="1"/>
  <c r="X787" s="1"/>
  <c r="Y787" s="1"/>
  <c r="Z787" s="1"/>
  <c r="AA787" s="1"/>
  <c r="AB787" s="1"/>
  <c r="S788"/>
  <c r="T788"/>
  <c r="U788" s="1"/>
  <c r="V788"/>
  <c r="W788" s="1"/>
  <c r="X788" s="1"/>
  <c r="Y788" s="1"/>
  <c r="Z788" s="1"/>
  <c r="AA788" s="1"/>
  <c r="AB788" s="1"/>
  <c r="S789"/>
  <c r="T789"/>
  <c r="U789" s="1"/>
  <c r="V789"/>
  <c r="W789" s="1"/>
  <c r="X789" s="1"/>
  <c r="Y789" s="1"/>
  <c r="Z789" s="1"/>
  <c r="AA789" s="1"/>
  <c r="AB789" s="1"/>
  <c r="S790"/>
  <c r="T790"/>
  <c r="U790" s="1"/>
  <c r="V790"/>
  <c r="W790" s="1"/>
  <c r="X790" s="1"/>
  <c r="Y790" s="1"/>
  <c r="Z790" s="1"/>
  <c r="AA790" s="1"/>
  <c r="AB790" s="1"/>
  <c r="S791"/>
  <c r="T791"/>
  <c r="U791" s="1"/>
  <c r="V791"/>
  <c r="W791" s="1"/>
  <c r="X791" s="1"/>
  <c r="Y791" s="1"/>
  <c r="Z791" s="1"/>
  <c r="AA791" s="1"/>
  <c r="AB791" s="1"/>
  <c r="S792"/>
  <c r="T792"/>
  <c r="U792" s="1"/>
  <c r="V792"/>
  <c r="W792" s="1"/>
  <c r="X792" s="1"/>
  <c r="Y792" s="1"/>
  <c r="Z792" s="1"/>
  <c r="AA792" s="1"/>
  <c r="AB792" s="1"/>
  <c r="S793"/>
  <c r="T793"/>
  <c r="U793" s="1"/>
  <c r="V793"/>
  <c r="W793" s="1"/>
  <c r="X793" s="1"/>
  <c r="Y793" s="1"/>
  <c r="Z793" s="1"/>
  <c r="AA793" s="1"/>
  <c r="AB793" s="1"/>
  <c r="S794"/>
  <c r="T794"/>
  <c r="U794" s="1"/>
  <c r="V794"/>
  <c r="W794" s="1"/>
  <c r="X794" s="1"/>
  <c r="Y794" s="1"/>
  <c r="Z794" s="1"/>
  <c r="AA794" s="1"/>
  <c r="AB794" s="1"/>
  <c r="S795"/>
  <c r="T795"/>
  <c r="U795" s="1"/>
  <c r="V795"/>
  <c r="W795" s="1"/>
  <c r="X795" s="1"/>
  <c r="Y795" s="1"/>
  <c r="Z795" s="1"/>
  <c r="AA795" s="1"/>
  <c r="AB795" s="1"/>
  <c r="S796"/>
  <c r="T796"/>
  <c r="U796" s="1"/>
  <c r="V796"/>
  <c r="W796" s="1"/>
  <c r="X796" s="1"/>
  <c r="Y796" s="1"/>
  <c r="Z796" s="1"/>
  <c r="AA796" s="1"/>
  <c r="AB796" s="1"/>
  <c r="S797"/>
  <c r="T797"/>
  <c r="U797" s="1"/>
  <c r="V797"/>
  <c r="W797" s="1"/>
  <c r="X797" s="1"/>
  <c r="Y797" s="1"/>
  <c r="Z797" s="1"/>
  <c r="AA797" s="1"/>
  <c r="AB797" s="1"/>
  <c r="S798"/>
  <c r="T798"/>
  <c r="U798" s="1"/>
  <c r="V798"/>
  <c r="W798" s="1"/>
  <c r="X798" s="1"/>
  <c r="Y798" s="1"/>
  <c r="Z798" s="1"/>
  <c r="AA798" s="1"/>
  <c r="AB798" s="1"/>
  <c r="S799"/>
  <c r="T799"/>
  <c r="U799" s="1"/>
  <c r="V799"/>
  <c r="W799" s="1"/>
  <c r="X799" s="1"/>
  <c r="Y799" s="1"/>
  <c r="Z799" s="1"/>
  <c r="AA799" s="1"/>
  <c r="AB799" s="1"/>
  <c r="S800"/>
  <c r="T800"/>
  <c r="U800" s="1"/>
  <c r="V800"/>
  <c r="W800" s="1"/>
  <c r="X800" s="1"/>
  <c r="Y800" s="1"/>
  <c r="Z800" s="1"/>
  <c r="AA800" s="1"/>
  <c r="AB800" s="1"/>
  <c r="S801"/>
  <c r="T801"/>
  <c r="U801" s="1"/>
  <c r="V801"/>
  <c r="W801" s="1"/>
  <c r="X801" s="1"/>
  <c r="Y801" s="1"/>
  <c r="Z801" s="1"/>
  <c r="AA801" s="1"/>
  <c r="AB801" s="1"/>
  <c r="S802"/>
  <c r="T802"/>
  <c r="U802" s="1"/>
  <c r="V802"/>
  <c r="W802" s="1"/>
  <c r="X802" s="1"/>
  <c r="Y802" s="1"/>
  <c r="Z802" s="1"/>
  <c r="AA802" s="1"/>
  <c r="AB802" s="1"/>
  <c r="S803"/>
  <c r="T803"/>
  <c r="U803" s="1"/>
  <c r="V803"/>
  <c r="W803" s="1"/>
  <c r="X803" s="1"/>
  <c r="Y803" s="1"/>
  <c r="Z803" s="1"/>
  <c r="AA803" s="1"/>
  <c r="AB803" s="1"/>
  <c r="S804"/>
  <c r="T804"/>
  <c r="U804" s="1"/>
  <c r="V804"/>
  <c r="W804" s="1"/>
  <c r="X804" s="1"/>
  <c r="Y804" s="1"/>
  <c r="Z804" s="1"/>
  <c r="AA804" s="1"/>
  <c r="AB804" s="1"/>
  <c r="S805"/>
  <c r="T805"/>
  <c r="U805" s="1"/>
  <c r="V805"/>
  <c r="W805" s="1"/>
  <c r="X805" s="1"/>
  <c r="Y805" s="1"/>
  <c r="Z805" s="1"/>
  <c r="AA805" s="1"/>
  <c r="AB805" s="1"/>
  <c r="S806"/>
  <c r="T806"/>
  <c r="U806" s="1"/>
  <c r="V806"/>
  <c r="W806" s="1"/>
  <c r="X806" s="1"/>
  <c r="Y806" s="1"/>
  <c r="Z806" s="1"/>
  <c r="AA806" s="1"/>
  <c r="AB806" s="1"/>
  <c r="S807"/>
  <c r="T807"/>
  <c r="U807" s="1"/>
  <c r="V807"/>
  <c r="W807" s="1"/>
  <c r="X807" s="1"/>
  <c r="Y807" s="1"/>
  <c r="Z807" s="1"/>
  <c r="AA807" s="1"/>
  <c r="AB807" s="1"/>
  <c r="S808"/>
  <c r="T808"/>
  <c r="U808" s="1"/>
  <c r="V808"/>
  <c r="W808" s="1"/>
  <c r="X808" s="1"/>
  <c r="Y808" s="1"/>
  <c r="Z808" s="1"/>
  <c r="AA808" s="1"/>
  <c r="AB808" s="1"/>
  <c r="S809"/>
  <c r="T809"/>
  <c r="U809" s="1"/>
  <c r="V809"/>
  <c r="W809" s="1"/>
  <c r="X809" s="1"/>
  <c r="Y809" s="1"/>
  <c r="Z809" s="1"/>
  <c r="AA809" s="1"/>
  <c r="AB809" s="1"/>
  <c r="S810"/>
  <c r="T810" s="1"/>
  <c r="U810" s="1"/>
  <c r="V810" s="1"/>
  <c r="W810" s="1"/>
  <c r="X810" s="1"/>
  <c r="Y810" s="1"/>
  <c r="Z810" s="1"/>
  <c r="AA810" s="1"/>
  <c r="AB810" s="1"/>
  <c r="S811"/>
  <c r="T811" s="1"/>
  <c r="U811" s="1"/>
  <c r="V811" s="1"/>
  <c r="W811" s="1"/>
  <c r="X811" s="1"/>
  <c r="Y811" s="1"/>
  <c r="Z811" s="1"/>
  <c r="AA811" s="1"/>
  <c r="AB811" s="1"/>
  <c r="S812"/>
  <c r="T812" s="1"/>
  <c r="U812" s="1"/>
  <c r="V812" s="1"/>
  <c r="W812" s="1"/>
  <c r="X812" s="1"/>
  <c r="Y812" s="1"/>
  <c r="Z812" s="1"/>
  <c r="AA812" s="1"/>
  <c r="AB812" s="1"/>
  <c r="S813"/>
  <c r="T813" s="1"/>
  <c r="U813" s="1"/>
  <c r="V813" s="1"/>
  <c r="W813" s="1"/>
  <c r="X813" s="1"/>
  <c r="Y813" s="1"/>
  <c r="Z813" s="1"/>
  <c r="AA813" s="1"/>
  <c r="AB813" s="1"/>
  <c r="S814"/>
  <c r="T814" s="1"/>
  <c r="U814" s="1"/>
  <c r="V814" s="1"/>
  <c r="W814" s="1"/>
  <c r="X814" s="1"/>
  <c r="Y814" s="1"/>
  <c r="Z814" s="1"/>
  <c r="AA814" s="1"/>
  <c r="AB814" s="1"/>
  <c r="S815"/>
  <c r="T815" s="1"/>
  <c r="U815" s="1"/>
  <c r="V815" s="1"/>
  <c r="W815" s="1"/>
  <c r="X815" s="1"/>
  <c r="Y815" s="1"/>
  <c r="Z815" s="1"/>
  <c r="AA815" s="1"/>
  <c r="AB815" s="1"/>
  <c r="S816"/>
  <c r="T816" s="1"/>
  <c r="U816" s="1"/>
  <c r="V816" s="1"/>
  <c r="W816" s="1"/>
  <c r="X816" s="1"/>
  <c r="Y816" s="1"/>
  <c r="Z816" s="1"/>
  <c r="AA816" s="1"/>
  <c r="AB816" s="1"/>
  <c r="S817"/>
  <c r="T817" s="1"/>
  <c r="U817" s="1"/>
  <c r="V817" s="1"/>
  <c r="W817" s="1"/>
  <c r="X817" s="1"/>
  <c r="Y817" s="1"/>
  <c r="Z817" s="1"/>
  <c r="AA817" s="1"/>
  <c r="AB817" s="1"/>
  <c r="S818"/>
  <c r="T818" s="1"/>
  <c r="U818" s="1"/>
  <c r="V818" s="1"/>
  <c r="W818" s="1"/>
  <c r="X818" s="1"/>
  <c r="Y818" s="1"/>
  <c r="Z818" s="1"/>
  <c r="AA818" s="1"/>
  <c r="AB818" s="1"/>
  <c r="S819"/>
  <c r="T819" s="1"/>
  <c r="U819" s="1"/>
  <c r="V819" s="1"/>
  <c r="W819" s="1"/>
  <c r="X819" s="1"/>
  <c r="Y819" s="1"/>
  <c r="Z819" s="1"/>
  <c r="AA819" s="1"/>
  <c r="AB819" s="1"/>
  <c r="S820"/>
  <c r="T820" s="1"/>
  <c r="U820" s="1"/>
  <c r="V820" s="1"/>
  <c r="W820" s="1"/>
  <c r="X820" s="1"/>
  <c r="Y820" s="1"/>
  <c r="Z820" s="1"/>
  <c r="AA820" s="1"/>
  <c r="AB820" s="1"/>
  <c r="S821"/>
  <c r="T821" s="1"/>
  <c r="U821" s="1"/>
  <c r="V821" s="1"/>
  <c r="W821" s="1"/>
  <c r="X821" s="1"/>
  <c r="Y821" s="1"/>
  <c r="Z821" s="1"/>
  <c r="AA821" s="1"/>
  <c r="AB821" s="1"/>
  <c r="S822"/>
  <c r="T822" s="1"/>
  <c r="U822" s="1"/>
  <c r="V822" s="1"/>
  <c r="W822" s="1"/>
  <c r="X822" s="1"/>
  <c r="Y822" s="1"/>
  <c r="Z822" s="1"/>
  <c r="AA822" s="1"/>
  <c r="AB822" s="1"/>
  <c r="S823"/>
  <c r="T823" s="1"/>
  <c r="U823" s="1"/>
  <c r="V823" s="1"/>
  <c r="W823" s="1"/>
  <c r="X823" s="1"/>
  <c r="Y823" s="1"/>
  <c r="Z823" s="1"/>
  <c r="AA823" s="1"/>
  <c r="AB823" s="1"/>
  <c r="S824"/>
  <c r="T824" s="1"/>
  <c r="U824" s="1"/>
  <c r="V824" s="1"/>
  <c r="W824" s="1"/>
  <c r="X824" s="1"/>
  <c r="Y824" s="1"/>
  <c r="Z824" s="1"/>
  <c r="AA824" s="1"/>
  <c r="AB824" s="1"/>
  <c r="S825"/>
  <c r="T825" s="1"/>
  <c r="U825" s="1"/>
  <c r="V825" s="1"/>
  <c r="W825" s="1"/>
  <c r="X825" s="1"/>
  <c r="Y825" s="1"/>
  <c r="Z825" s="1"/>
  <c r="AA825" s="1"/>
  <c r="AB825" s="1"/>
  <c r="S826"/>
  <c r="T826" s="1"/>
  <c r="U826" s="1"/>
  <c r="V826" s="1"/>
  <c r="W826" s="1"/>
  <c r="X826" s="1"/>
  <c r="Y826" s="1"/>
  <c r="Z826" s="1"/>
  <c r="AA826" s="1"/>
  <c r="AB826" s="1"/>
  <c r="S827"/>
  <c r="T827" s="1"/>
  <c r="U827" s="1"/>
  <c r="V827" s="1"/>
  <c r="W827" s="1"/>
  <c r="X827" s="1"/>
  <c r="Y827" s="1"/>
  <c r="Z827" s="1"/>
  <c r="AA827" s="1"/>
  <c r="AB827" s="1"/>
  <c r="S828"/>
  <c r="T828" s="1"/>
  <c r="U828" s="1"/>
  <c r="V828" s="1"/>
  <c r="W828" s="1"/>
  <c r="X828" s="1"/>
  <c r="Y828" s="1"/>
  <c r="Z828" s="1"/>
  <c r="AA828" s="1"/>
  <c r="AB828" s="1"/>
  <c r="S829"/>
  <c r="T829" s="1"/>
  <c r="U829" s="1"/>
  <c r="V829" s="1"/>
  <c r="W829" s="1"/>
  <c r="X829" s="1"/>
  <c r="Y829" s="1"/>
  <c r="Z829" s="1"/>
  <c r="AA829" s="1"/>
  <c r="AB829" s="1"/>
  <c r="S830"/>
  <c r="T830" s="1"/>
  <c r="U830" s="1"/>
  <c r="V830" s="1"/>
  <c r="W830" s="1"/>
  <c r="X830" s="1"/>
  <c r="Y830" s="1"/>
  <c r="Z830" s="1"/>
  <c r="AA830" s="1"/>
  <c r="AB830" s="1"/>
  <c r="S831"/>
  <c r="T831" s="1"/>
  <c r="U831" s="1"/>
  <c r="V831" s="1"/>
  <c r="W831" s="1"/>
  <c r="X831" s="1"/>
  <c r="Y831" s="1"/>
  <c r="Z831" s="1"/>
  <c r="AA831" s="1"/>
  <c r="AB831" s="1"/>
  <c r="S832"/>
  <c r="T832" s="1"/>
  <c r="U832" s="1"/>
  <c r="V832" s="1"/>
  <c r="W832" s="1"/>
  <c r="X832" s="1"/>
  <c r="Y832" s="1"/>
  <c r="Z832" s="1"/>
  <c r="AA832" s="1"/>
  <c r="AB832" s="1"/>
  <c r="S833"/>
  <c r="T833" s="1"/>
  <c r="U833" s="1"/>
  <c r="V833" s="1"/>
  <c r="W833" s="1"/>
  <c r="X833" s="1"/>
  <c r="Y833" s="1"/>
  <c r="Z833" s="1"/>
  <c r="AA833" s="1"/>
  <c r="AB833" s="1"/>
  <c r="S834"/>
  <c r="T834" s="1"/>
  <c r="U834" s="1"/>
  <c r="V834" s="1"/>
  <c r="W834" s="1"/>
  <c r="X834" s="1"/>
  <c r="Y834" s="1"/>
  <c r="Z834" s="1"/>
  <c r="AA834" s="1"/>
  <c r="AB834" s="1"/>
  <c r="S835"/>
  <c r="T835" s="1"/>
  <c r="U835" s="1"/>
  <c r="V835" s="1"/>
  <c r="W835" s="1"/>
  <c r="X835" s="1"/>
  <c r="Y835" s="1"/>
  <c r="Z835" s="1"/>
  <c r="AA835" s="1"/>
  <c r="AB835" s="1"/>
  <c r="S836"/>
  <c r="T836" s="1"/>
  <c r="U836" s="1"/>
  <c r="V836" s="1"/>
  <c r="W836" s="1"/>
  <c r="X836" s="1"/>
  <c r="Y836" s="1"/>
  <c r="Z836" s="1"/>
  <c r="AA836" s="1"/>
  <c r="AB836" s="1"/>
  <c r="S837"/>
  <c r="T837" s="1"/>
  <c r="U837" s="1"/>
  <c r="V837" s="1"/>
  <c r="W837" s="1"/>
  <c r="X837" s="1"/>
  <c r="Y837" s="1"/>
  <c r="Z837" s="1"/>
  <c r="AA837" s="1"/>
  <c r="AB837" s="1"/>
  <c r="S838"/>
  <c r="T838" s="1"/>
  <c r="U838" s="1"/>
  <c r="V838" s="1"/>
  <c r="W838" s="1"/>
  <c r="X838" s="1"/>
  <c r="Y838" s="1"/>
  <c r="Z838" s="1"/>
  <c r="AA838" s="1"/>
  <c r="AB838" s="1"/>
  <c r="S839"/>
  <c r="T839" s="1"/>
  <c r="U839" s="1"/>
  <c r="V839" s="1"/>
  <c r="W839" s="1"/>
  <c r="X839" s="1"/>
  <c r="Y839" s="1"/>
  <c r="Z839" s="1"/>
  <c r="AA839" s="1"/>
  <c r="AB839" s="1"/>
  <c r="S840"/>
  <c r="T840" s="1"/>
  <c r="U840" s="1"/>
  <c r="V840" s="1"/>
  <c r="W840" s="1"/>
  <c r="X840" s="1"/>
  <c r="Y840" s="1"/>
  <c r="Z840" s="1"/>
  <c r="AA840" s="1"/>
  <c r="AB840" s="1"/>
  <c r="S841"/>
  <c r="T841" s="1"/>
  <c r="U841" s="1"/>
  <c r="V841" s="1"/>
  <c r="W841" s="1"/>
  <c r="X841" s="1"/>
  <c r="Y841" s="1"/>
  <c r="Z841" s="1"/>
  <c r="AA841" s="1"/>
  <c r="AB841" s="1"/>
  <c r="S842"/>
  <c r="T842" s="1"/>
  <c r="U842" s="1"/>
  <c r="V842" s="1"/>
  <c r="W842" s="1"/>
  <c r="X842" s="1"/>
  <c r="Y842" s="1"/>
  <c r="Z842" s="1"/>
  <c r="AA842" s="1"/>
  <c r="AB842" s="1"/>
  <c r="S843"/>
  <c r="T843" s="1"/>
  <c r="U843" s="1"/>
  <c r="V843" s="1"/>
  <c r="W843" s="1"/>
  <c r="X843" s="1"/>
  <c r="Y843" s="1"/>
  <c r="Z843" s="1"/>
  <c r="AA843" s="1"/>
  <c r="AB843" s="1"/>
  <c r="S844"/>
  <c r="T844" s="1"/>
  <c r="U844" s="1"/>
  <c r="V844" s="1"/>
  <c r="W844" s="1"/>
  <c r="X844" s="1"/>
  <c r="Y844" s="1"/>
  <c r="Z844" s="1"/>
  <c r="AA844" s="1"/>
  <c r="AB844" s="1"/>
  <c r="S845"/>
  <c r="T845" s="1"/>
  <c r="U845" s="1"/>
  <c r="V845" s="1"/>
  <c r="W845" s="1"/>
  <c r="X845" s="1"/>
  <c r="Y845" s="1"/>
  <c r="Z845" s="1"/>
  <c r="AA845" s="1"/>
  <c r="AB845" s="1"/>
  <c r="S846"/>
  <c r="T846" s="1"/>
  <c r="U846" s="1"/>
  <c r="V846" s="1"/>
  <c r="W846" s="1"/>
  <c r="X846" s="1"/>
  <c r="Y846" s="1"/>
  <c r="Z846" s="1"/>
  <c r="AA846" s="1"/>
  <c r="AB846" s="1"/>
  <c r="S847"/>
  <c r="T847" s="1"/>
  <c r="U847" s="1"/>
  <c r="V847" s="1"/>
  <c r="W847" s="1"/>
  <c r="X847" s="1"/>
  <c r="Y847" s="1"/>
  <c r="Z847" s="1"/>
  <c r="AA847" s="1"/>
  <c r="AB847" s="1"/>
  <c r="S848"/>
  <c r="T848" s="1"/>
  <c r="U848" s="1"/>
  <c r="V848" s="1"/>
  <c r="W848" s="1"/>
  <c r="X848" s="1"/>
  <c r="Y848" s="1"/>
  <c r="Z848" s="1"/>
  <c r="AA848" s="1"/>
  <c r="AB848" s="1"/>
  <c r="S849"/>
  <c r="T849" s="1"/>
  <c r="U849" s="1"/>
  <c r="V849" s="1"/>
  <c r="W849" s="1"/>
  <c r="X849" s="1"/>
  <c r="Y849" s="1"/>
  <c r="Z849" s="1"/>
  <c r="AA849" s="1"/>
  <c r="AB849" s="1"/>
  <c r="S850"/>
  <c r="T850" s="1"/>
  <c r="U850" s="1"/>
  <c r="V850" s="1"/>
  <c r="W850" s="1"/>
  <c r="X850" s="1"/>
  <c r="Y850" s="1"/>
  <c r="Z850" s="1"/>
  <c r="AA850" s="1"/>
  <c r="AB850" s="1"/>
  <c r="S851"/>
  <c r="T851" s="1"/>
  <c r="U851" s="1"/>
  <c r="V851" s="1"/>
  <c r="W851" s="1"/>
  <c r="X851" s="1"/>
  <c r="Y851" s="1"/>
  <c r="Z851" s="1"/>
  <c r="AA851" s="1"/>
  <c r="AB851" s="1"/>
  <c r="S852"/>
  <c r="T852" s="1"/>
  <c r="U852" s="1"/>
  <c r="V852" s="1"/>
  <c r="W852" s="1"/>
  <c r="X852" s="1"/>
  <c r="Y852" s="1"/>
  <c r="Z852" s="1"/>
  <c r="AA852" s="1"/>
  <c r="AB852" s="1"/>
  <c r="S853"/>
  <c r="T853" s="1"/>
  <c r="U853" s="1"/>
  <c r="V853" s="1"/>
  <c r="W853" s="1"/>
  <c r="X853" s="1"/>
  <c r="Y853" s="1"/>
  <c r="Z853" s="1"/>
  <c r="AA853" s="1"/>
  <c r="AB853" s="1"/>
  <c r="S854"/>
  <c r="T854" s="1"/>
  <c r="U854" s="1"/>
  <c r="V854" s="1"/>
  <c r="W854" s="1"/>
  <c r="X854" s="1"/>
  <c r="Y854" s="1"/>
  <c r="Z854" s="1"/>
  <c r="AA854" s="1"/>
  <c r="AB854" s="1"/>
  <c r="S855"/>
  <c r="T855" s="1"/>
  <c r="U855" s="1"/>
  <c r="V855" s="1"/>
  <c r="W855" s="1"/>
  <c r="X855" s="1"/>
  <c r="Y855" s="1"/>
  <c r="Z855" s="1"/>
  <c r="AA855" s="1"/>
  <c r="AB855" s="1"/>
  <c r="S856"/>
  <c r="T856" s="1"/>
  <c r="U856" s="1"/>
  <c r="V856" s="1"/>
  <c r="W856" s="1"/>
  <c r="X856" s="1"/>
  <c r="Y856" s="1"/>
  <c r="Z856" s="1"/>
  <c r="AA856" s="1"/>
  <c r="AB856" s="1"/>
  <c r="S857"/>
  <c r="T857" s="1"/>
  <c r="U857" s="1"/>
  <c r="V857" s="1"/>
  <c r="W857" s="1"/>
  <c r="X857" s="1"/>
  <c r="Y857" s="1"/>
  <c r="Z857" s="1"/>
  <c r="AA857" s="1"/>
  <c r="AB857" s="1"/>
  <c r="S858"/>
  <c r="T858" s="1"/>
  <c r="U858" s="1"/>
  <c r="V858" s="1"/>
  <c r="W858" s="1"/>
  <c r="X858" s="1"/>
  <c r="Y858" s="1"/>
  <c r="Z858" s="1"/>
  <c r="AA858" s="1"/>
  <c r="AB858" s="1"/>
  <c r="S859"/>
  <c r="T859" s="1"/>
  <c r="U859" s="1"/>
  <c r="V859" s="1"/>
  <c r="W859" s="1"/>
  <c r="X859" s="1"/>
  <c r="Y859" s="1"/>
  <c r="Z859" s="1"/>
  <c r="AA859" s="1"/>
  <c r="AB859" s="1"/>
  <c r="S860"/>
  <c r="T860" s="1"/>
  <c r="U860" s="1"/>
  <c r="V860" s="1"/>
  <c r="W860" s="1"/>
  <c r="X860" s="1"/>
  <c r="Y860" s="1"/>
  <c r="Z860" s="1"/>
  <c r="AA860" s="1"/>
  <c r="AB860" s="1"/>
  <c r="S861"/>
  <c r="T861" s="1"/>
  <c r="U861" s="1"/>
  <c r="V861" s="1"/>
  <c r="W861" s="1"/>
  <c r="X861" s="1"/>
  <c r="Y861" s="1"/>
  <c r="Z861" s="1"/>
  <c r="AA861" s="1"/>
  <c r="AB861" s="1"/>
  <c r="S862"/>
  <c r="T862" s="1"/>
  <c r="U862" s="1"/>
  <c r="V862" s="1"/>
  <c r="W862" s="1"/>
  <c r="X862" s="1"/>
  <c r="Y862" s="1"/>
  <c r="Z862" s="1"/>
  <c r="AA862" s="1"/>
  <c r="AB862" s="1"/>
  <c r="S863"/>
  <c r="T863" s="1"/>
  <c r="U863" s="1"/>
  <c r="V863" s="1"/>
  <c r="W863" s="1"/>
  <c r="X863" s="1"/>
  <c r="Y863" s="1"/>
  <c r="Z863" s="1"/>
  <c r="AA863" s="1"/>
  <c r="AB863" s="1"/>
  <c r="S864"/>
  <c r="T864" s="1"/>
  <c r="U864" s="1"/>
  <c r="V864" s="1"/>
  <c r="W864" s="1"/>
  <c r="X864" s="1"/>
  <c r="Y864" s="1"/>
  <c r="Z864" s="1"/>
  <c r="AA864" s="1"/>
  <c r="AB864" s="1"/>
  <c r="S865"/>
  <c r="T865" s="1"/>
  <c r="U865" s="1"/>
  <c r="V865" s="1"/>
  <c r="W865" s="1"/>
  <c r="X865" s="1"/>
  <c r="Y865" s="1"/>
  <c r="Z865" s="1"/>
  <c r="AA865" s="1"/>
  <c r="AB865" s="1"/>
  <c r="S866"/>
  <c r="T866" s="1"/>
  <c r="U866" s="1"/>
  <c r="V866" s="1"/>
  <c r="W866" s="1"/>
  <c r="X866" s="1"/>
  <c r="Y866" s="1"/>
  <c r="Z866" s="1"/>
  <c r="AA866" s="1"/>
  <c r="AB866" s="1"/>
  <c r="S867"/>
  <c r="T867" s="1"/>
  <c r="U867" s="1"/>
  <c r="V867" s="1"/>
  <c r="W867" s="1"/>
  <c r="X867" s="1"/>
  <c r="Y867" s="1"/>
  <c r="Z867" s="1"/>
  <c r="AA867" s="1"/>
  <c r="AB867" s="1"/>
  <c r="S868"/>
  <c r="T868" s="1"/>
  <c r="U868" s="1"/>
  <c r="V868" s="1"/>
  <c r="W868" s="1"/>
  <c r="X868" s="1"/>
  <c r="Y868" s="1"/>
  <c r="Z868" s="1"/>
  <c r="AA868" s="1"/>
  <c r="AB868" s="1"/>
  <c r="S869"/>
  <c r="T869" s="1"/>
  <c r="U869" s="1"/>
  <c r="V869" s="1"/>
  <c r="W869" s="1"/>
  <c r="X869" s="1"/>
  <c r="Y869" s="1"/>
  <c r="Z869" s="1"/>
  <c r="AA869" s="1"/>
  <c r="AB869" s="1"/>
  <c r="S870"/>
  <c r="T870" s="1"/>
  <c r="U870" s="1"/>
  <c r="V870" s="1"/>
  <c r="W870" s="1"/>
  <c r="X870" s="1"/>
  <c r="Y870" s="1"/>
  <c r="Z870" s="1"/>
  <c r="AA870" s="1"/>
  <c r="AB870" s="1"/>
  <c r="S871"/>
  <c r="T871" s="1"/>
  <c r="U871" s="1"/>
  <c r="V871" s="1"/>
  <c r="W871" s="1"/>
  <c r="X871" s="1"/>
  <c r="Y871" s="1"/>
  <c r="Z871" s="1"/>
  <c r="AA871" s="1"/>
  <c r="AB871" s="1"/>
  <c r="S872"/>
  <c r="T872" s="1"/>
  <c r="U872" s="1"/>
  <c r="V872" s="1"/>
  <c r="W872" s="1"/>
  <c r="X872" s="1"/>
  <c r="Y872" s="1"/>
  <c r="Z872" s="1"/>
  <c r="AA872" s="1"/>
  <c r="AB872" s="1"/>
  <c r="S873"/>
  <c r="T873" s="1"/>
  <c r="U873" s="1"/>
  <c r="V873" s="1"/>
  <c r="W873" s="1"/>
  <c r="X873" s="1"/>
  <c r="Y873" s="1"/>
  <c r="Z873" s="1"/>
  <c r="AA873" s="1"/>
  <c r="AB873" s="1"/>
  <c r="S874"/>
  <c r="T874" s="1"/>
  <c r="U874" s="1"/>
  <c r="V874" s="1"/>
  <c r="W874" s="1"/>
  <c r="X874" s="1"/>
  <c r="Y874" s="1"/>
  <c r="Z874" s="1"/>
  <c r="AA874" s="1"/>
  <c r="AB874" s="1"/>
  <c r="S875"/>
  <c r="T875" s="1"/>
  <c r="U875" s="1"/>
  <c r="V875" s="1"/>
  <c r="W875" s="1"/>
  <c r="X875" s="1"/>
  <c r="Y875" s="1"/>
  <c r="Z875" s="1"/>
  <c r="AA875" s="1"/>
  <c r="AB875" s="1"/>
  <c r="S876"/>
  <c r="T876" s="1"/>
  <c r="U876" s="1"/>
  <c r="V876" s="1"/>
  <c r="W876" s="1"/>
  <c r="X876" s="1"/>
  <c r="Y876" s="1"/>
  <c r="Z876" s="1"/>
  <c r="AA876" s="1"/>
  <c r="AB876" s="1"/>
  <c r="S877"/>
  <c r="T877" s="1"/>
  <c r="U877" s="1"/>
  <c r="V877" s="1"/>
  <c r="W877" s="1"/>
  <c r="X877" s="1"/>
  <c r="Y877" s="1"/>
  <c r="Z877" s="1"/>
  <c r="AA877" s="1"/>
  <c r="AB877" s="1"/>
  <c r="S878"/>
  <c r="T878" s="1"/>
  <c r="U878" s="1"/>
  <c r="V878" s="1"/>
  <c r="W878" s="1"/>
  <c r="X878" s="1"/>
  <c r="Y878" s="1"/>
  <c r="Z878" s="1"/>
  <c r="AA878" s="1"/>
  <c r="AB878" s="1"/>
  <c r="S879"/>
  <c r="T879" s="1"/>
  <c r="U879" s="1"/>
  <c r="V879" s="1"/>
  <c r="W879" s="1"/>
  <c r="X879" s="1"/>
  <c r="Y879" s="1"/>
  <c r="Z879" s="1"/>
  <c r="AA879" s="1"/>
  <c r="AB879" s="1"/>
  <c r="S880"/>
  <c r="T880" s="1"/>
  <c r="U880" s="1"/>
  <c r="V880" s="1"/>
  <c r="W880" s="1"/>
  <c r="X880" s="1"/>
  <c r="Y880" s="1"/>
  <c r="Z880" s="1"/>
  <c r="AA880" s="1"/>
  <c r="AB880" s="1"/>
  <c r="S881"/>
  <c r="T881" s="1"/>
  <c r="U881" s="1"/>
  <c r="V881" s="1"/>
  <c r="W881" s="1"/>
  <c r="X881" s="1"/>
  <c r="Y881" s="1"/>
  <c r="Z881" s="1"/>
  <c r="AA881" s="1"/>
  <c r="AB881" s="1"/>
  <c r="S882"/>
  <c r="T882" s="1"/>
  <c r="U882" s="1"/>
  <c r="V882" s="1"/>
  <c r="W882" s="1"/>
  <c r="X882" s="1"/>
  <c r="Y882" s="1"/>
  <c r="Z882" s="1"/>
  <c r="AA882" s="1"/>
  <c r="AB882" s="1"/>
  <c r="S883"/>
  <c r="T883" s="1"/>
  <c r="U883" s="1"/>
  <c r="V883" s="1"/>
  <c r="W883" s="1"/>
  <c r="X883" s="1"/>
  <c r="Y883" s="1"/>
  <c r="Z883" s="1"/>
  <c r="AA883" s="1"/>
  <c r="AB883" s="1"/>
  <c r="S884"/>
  <c r="T884" s="1"/>
  <c r="U884" s="1"/>
  <c r="V884" s="1"/>
  <c r="W884" s="1"/>
  <c r="X884" s="1"/>
  <c r="Y884" s="1"/>
  <c r="Z884" s="1"/>
  <c r="AA884" s="1"/>
  <c r="AB884" s="1"/>
  <c r="S885"/>
  <c r="T885" s="1"/>
  <c r="U885" s="1"/>
  <c r="V885" s="1"/>
  <c r="W885" s="1"/>
  <c r="X885" s="1"/>
  <c r="Y885" s="1"/>
  <c r="Z885" s="1"/>
  <c r="AA885" s="1"/>
  <c r="AB885" s="1"/>
  <c r="S886"/>
  <c r="T886" s="1"/>
  <c r="U886" s="1"/>
  <c r="V886" s="1"/>
  <c r="W886" s="1"/>
  <c r="X886" s="1"/>
  <c r="Y886" s="1"/>
  <c r="Z886" s="1"/>
  <c r="AA886" s="1"/>
  <c r="AB886" s="1"/>
  <c r="S887"/>
  <c r="T887" s="1"/>
  <c r="U887" s="1"/>
  <c r="V887" s="1"/>
  <c r="W887" s="1"/>
  <c r="X887" s="1"/>
  <c r="Y887" s="1"/>
  <c r="Z887" s="1"/>
  <c r="AA887" s="1"/>
  <c r="AB887" s="1"/>
  <c r="S888"/>
  <c r="T888" s="1"/>
  <c r="U888" s="1"/>
  <c r="V888" s="1"/>
  <c r="W888" s="1"/>
  <c r="X888" s="1"/>
  <c r="Y888" s="1"/>
  <c r="Z888" s="1"/>
  <c r="AA888" s="1"/>
  <c r="AB888" s="1"/>
  <c r="S889"/>
  <c r="T889" s="1"/>
  <c r="U889" s="1"/>
  <c r="V889" s="1"/>
  <c r="W889" s="1"/>
  <c r="X889" s="1"/>
  <c r="Y889" s="1"/>
  <c r="Z889" s="1"/>
  <c r="AA889" s="1"/>
  <c r="AB889" s="1"/>
  <c r="S890"/>
  <c r="T890" s="1"/>
  <c r="U890" s="1"/>
  <c r="V890" s="1"/>
  <c r="W890" s="1"/>
  <c r="X890" s="1"/>
  <c r="Y890" s="1"/>
  <c r="Z890" s="1"/>
  <c r="AA890" s="1"/>
  <c r="AB890" s="1"/>
  <c r="S891"/>
  <c r="T891" s="1"/>
  <c r="U891" s="1"/>
  <c r="V891" s="1"/>
  <c r="W891" s="1"/>
  <c r="X891" s="1"/>
  <c r="Y891" s="1"/>
  <c r="Z891" s="1"/>
  <c r="AA891" s="1"/>
  <c r="AB891" s="1"/>
  <c r="S892"/>
  <c r="T892" s="1"/>
  <c r="U892" s="1"/>
  <c r="V892" s="1"/>
  <c r="W892" s="1"/>
  <c r="X892" s="1"/>
  <c r="Y892" s="1"/>
  <c r="Z892" s="1"/>
  <c r="AA892" s="1"/>
  <c r="AB892" s="1"/>
  <c r="S893"/>
  <c r="T893" s="1"/>
  <c r="U893" s="1"/>
  <c r="V893" s="1"/>
  <c r="W893" s="1"/>
  <c r="X893" s="1"/>
  <c r="Y893" s="1"/>
  <c r="Z893" s="1"/>
  <c r="AA893" s="1"/>
  <c r="AB893" s="1"/>
  <c r="S894"/>
  <c r="T894" s="1"/>
  <c r="U894" s="1"/>
  <c r="V894" s="1"/>
  <c r="W894" s="1"/>
  <c r="X894" s="1"/>
  <c r="Y894" s="1"/>
  <c r="Z894" s="1"/>
  <c r="AA894" s="1"/>
  <c r="AB894" s="1"/>
  <c r="S895"/>
  <c r="T895" s="1"/>
  <c r="U895" s="1"/>
  <c r="V895" s="1"/>
  <c r="W895" s="1"/>
  <c r="X895" s="1"/>
  <c r="Y895" s="1"/>
  <c r="Z895" s="1"/>
  <c r="AA895" s="1"/>
  <c r="AB895" s="1"/>
  <c r="S896"/>
  <c r="T896" s="1"/>
  <c r="U896" s="1"/>
  <c r="V896" s="1"/>
  <c r="W896" s="1"/>
  <c r="X896" s="1"/>
  <c r="Y896" s="1"/>
  <c r="Z896" s="1"/>
  <c r="AA896" s="1"/>
  <c r="AB896" s="1"/>
  <c r="S897"/>
  <c r="T897" s="1"/>
  <c r="U897" s="1"/>
  <c r="V897" s="1"/>
  <c r="W897" s="1"/>
  <c r="X897" s="1"/>
  <c r="Y897" s="1"/>
  <c r="Z897" s="1"/>
  <c r="AA897" s="1"/>
  <c r="AB897" s="1"/>
  <c r="S898"/>
  <c r="T898" s="1"/>
  <c r="U898" s="1"/>
  <c r="V898" s="1"/>
  <c r="W898" s="1"/>
  <c r="X898" s="1"/>
  <c r="Y898" s="1"/>
  <c r="Z898" s="1"/>
  <c r="AA898" s="1"/>
  <c r="AB898" s="1"/>
  <c r="S899"/>
  <c r="T899" s="1"/>
  <c r="U899" s="1"/>
  <c r="V899" s="1"/>
  <c r="W899" s="1"/>
  <c r="X899" s="1"/>
  <c r="Y899" s="1"/>
  <c r="Z899" s="1"/>
  <c r="AA899" s="1"/>
  <c r="AB899" s="1"/>
  <c r="S900"/>
  <c r="T900" s="1"/>
  <c r="U900" s="1"/>
  <c r="V900" s="1"/>
  <c r="W900" s="1"/>
  <c r="X900" s="1"/>
  <c r="Y900" s="1"/>
  <c r="Z900" s="1"/>
  <c r="AA900" s="1"/>
  <c r="AB900" s="1"/>
  <c r="S901"/>
  <c r="T901" s="1"/>
  <c r="U901" s="1"/>
  <c r="V901" s="1"/>
  <c r="W901" s="1"/>
  <c r="X901" s="1"/>
  <c r="Y901" s="1"/>
  <c r="Z901" s="1"/>
  <c r="AA901" s="1"/>
  <c r="AB901" s="1"/>
  <c r="S902"/>
  <c r="T902" s="1"/>
  <c r="U902" s="1"/>
  <c r="V902" s="1"/>
  <c r="W902" s="1"/>
  <c r="X902" s="1"/>
  <c r="Y902" s="1"/>
  <c r="Z902" s="1"/>
  <c r="AA902" s="1"/>
  <c r="AB902" s="1"/>
  <c r="S903"/>
  <c r="T903" s="1"/>
  <c r="U903" s="1"/>
  <c r="V903" s="1"/>
  <c r="W903" s="1"/>
  <c r="X903" s="1"/>
  <c r="Y903" s="1"/>
  <c r="Z903" s="1"/>
  <c r="AA903" s="1"/>
  <c r="AB903" s="1"/>
  <c r="S904"/>
  <c r="T904" s="1"/>
  <c r="U904" s="1"/>
  <c r="V904" s="1"/>
  <c r="W904" s="1"/>
  <c r="X904" s="1"/>
  <c r="Y904" s="1"/>
  <c r="Z904" s="1"/>
  <c r="AA904" s="1"/>
  <c r="AB904" s="1"/>
  <c r="S905"/>
  <c r="T905" s="1"/>
  <c r="U905" s="1"/>
  <c r="V905" s="1"/>
  <c r="W905" s="1"/>
  <c r="X905" s="1"/>
  <c r="Y905" s="1"/>
  <c r="Z905" s="1"/>
  <c r="AA905" s="1"/>
  <c r="AB905" s="1"/>
  <c r="S906"/>
  <c r="T906" s="1"/>
  <c r="U906" s="1"/>
  <c r="V906" s="1"/>
  <c r="W906" s="1"/>
  <c r="X906" s="1"/>
  <c r="Y906" s="1"/>
  <c r="Z906" s="1"/>
  <c r="AA906" s="1"/>
  <c r="AB906" s="1"/>
  <c r="S907"/>
  <c r="T907" s="1"/>
  <c r="U907" s="1"/>
  <c r="V907" s="1"/>
  <c r="W907" s="1"/>
  <c r="X907" s="1"/>
  <c r="Y907" s="1"/>
  <c r="Z907" s="1"/>
  <c r="AA907" s="1"/>
  <c r="AB907" s="1"/>
  <c r="S908"/>
  <c r="T908" s="1"/>
  <c r="U908" s="1"/>
  <c r="V908" s="1"/>
  <c r="W908" s="1"/>
  <c r="X908" s="1"/>
  <c r="Y908" s="1"/>
  <c r="Z908" s="1"/>
  <c r="AA908" s="1"/>
  <c r="AB908" s="1"/>
  <c r="S909"/>
  <c r="T909" s="1"/>
  <c r="U909" s="1"/>
  <c r="V909" s="1"/>
  <c r="W909" s="1"/>
  <c r="X909" s="1"/>
  <c r="Y909" s="1"/>
  <c r="Z909" s="1"/>
  <c r="AA909" s="1"/>
  <c r="AB909" s="1"/>
  <c r="S910"/>
  <c r="T910" s="1"/>
  <c r="U910" s="1"/>
  <c r="V910" s="1"/>
  <c r="W910" s="1"/>
  <c r="X910" s="1"/>
  <c r="Y910" s="1"/>
  <c r="Z910" s="1"/>
  <c r="AA910" s="1"/>
  <c r="AB910" s="1"/>
  <c r="S911"/>
  <c r="T911" s="1"/>
  <c r="U911" s="1"/>
  <c r="V911" s="1"/>
  <c r="W911" s="1"/>
  <c r="X911" s="1"/>
  <c r="Y911" s="1"/>
  <c r="Z911" s="1"/>
  <c r="AA911" s="1"/>
  <c r="AB911" s="1"/>
  <c r="S912"/>
  <c r="T912" s="1"/>
  <c r="U912" s="1"/>
  <c r="V912" s="1"/>
  <c r="W912" s="1"/>
  <c r="X912" s="1"/>
  <c r="Y912" s="1"/>
  <c r="Z912" s="1"/>
  <c r="AA912" s="1"/>
  <c r="AB912" s="1"/>
  <c r="S913"/>
  <c r="T913" s="1"/>
  <c r="U913" s="1"/>
  <c r="V913" s="1"/>
  <c r="W913" s="1"/>
  <c r="X913" s="1"/>
  <c r="Y913" s="1"/>
  <c r="Z913" s="1"/>
  <c r="AA913" s="1"/>
  <c r="AB913" s="1"/>
  <c r="S914"/>
  <c r="T914" s="1"/>
  <c r="U914" s="1"/>
  <c r="V914" s="1"/>
  <c r="W914" s="1"/>
  <c r="X914" s="1"/>
  <c r="Y914" s="1"/>
  <c r="Z914" s="1"/>
  <c r="AA914" s="1"/>
  <c r="AB914" s="1"/>
  <c r="S915"/>
  <c r="T915" s="1"/>
  <c r="U915" s="1"/>
  <c r="V915" s="1"/>
  <c r="W915" s="1"/>
  <c r="X915" s="1"/>
  <c r="Y915" s="1"/>
  <c r="Z915" s="1"/>
  <c r="AA915" s="1"/>
  <c r="AB915" s="1"/>
  <c r="S916"/>
  <c r="T916" s="1"/>
  <c r="U916" s="1"/>
  <c r="V916" s="1"/>
  <c r="W916" s="1"/>
  <c r="X916" s="1"/>
  <c r="Y916" s="1"/>
  <c r="Z916" s="1"/>
  <c r="AA916" s="1"/>
  <c r="AB916" s="1"/>
  <c r="S917"/>
  <c r="T917" s="1"/>
  <c r="U917" s="1"/>
  <c r="V917" s="1"/>
  <c r="W917" s="1"/>
  <c r="X917" s="1"/>
  <c r="Y917" s="1"/>
  <c r="Z917" s="1"/>
  <c r="AA917" s="1"/>
  <c r="AB917" s="1"/>
  <c r="S918"/>
  <c r="T918" s="1"/>
  <c r="U918" s="1"/>
  <c r="V918" s="1"/>
  <c r="W918" s="1"/>
  <c r="X918" s="1"/>
  <c r="Y918" s="1"/>
  <c r="Z918" s="1"/>
  <c r="AA918" s="1"/>
  <c r="AB918" s="1"/>
  <c r="S919"/>
  <c r="T919" s="1"/>
  <c r="U919" s="1"/>
  <c r="V919" s="1"/>
  <c r="W919" s="1"/>
  <c r="X919" s="1"/>
  <c r="Y919" s="1"/>
  <c r="Z919" s="1"/>
  <c r="AA919" s="1"/>
  <c r="AB919" s="1"/>
  <c r="S920"/>
  <c r="T920" s="1"/>
  <c r="U920" s="1"/>
  <c r="V920" s="1"/>
  <c r="W920" s="1"/>
  <c r="X920" s="1"/>
  <c r="Y920" s="1"/>
  <c r="Z920" s="1"/>
  <c r="AA920" s="1"/>
  <c r="AB920" s="1"/>
  <c r="S921"/>
  <c r="T921" s="1"/>
  <c r="U921" s="1"/>
  <c r="V921" s="1"/>
  <c r="W921" s="1"/>
  <c r="X921" s="1"/>
  <c r="Y921" s="1"/>
  <c r="Z921" s="1"/>
  <c r="AA921" s="1"/>
  <c r="AB921" s="1"/>
  <c r="S922"/>
  <c r="T922" s="1"/>
  <c r="U922" s="1"/>
  <c r="V922" s="1"/>
  <c r="W922" s="1"/>
  <c r="X922" s="1"/>
  <c r="Y922" s="1"/>
  <c r="Z922" s="1"/>
  <c r="AA922" s="1"/>
  <c r="AB922" s="1"/>
  <c r="S923"/>
  <c r="T923" s="1"/>
  <c r="U923" s="1"/>
  <c r="V923" s="1"/>
  <c r="W923" s="1"/>
  <c r="X923" s="1"/>
  <c r="Y923" s="1"/>
  <c r="Z923" s="1"/>
  <c r="AA923" s="1"/>
  <c r="AB923" s="1"/>
  <c r="S924"/>
  <c r="T924" s="1"/>
  <c r="U924" s="1"/>
  <c r="V924" s="1"/>
  <c r="W924" s="1"/>
  <c r="X924" s="1"/>
  <c r="Y924" s="1"/>
  <c r="Z924" s="1"/>
  <c r="AA924" s="1"/>
  <c r="AB924" s="1"/>
  <c r="S925"/>
  <c r="T925" s="1"/>
  <c r="U925" s="1"/>
  <c r="V925" s="1"/>
  <c r="W925" s="1"/>
  <c r="X925" s="1"/>
  <c r="Y925" s="1"/>
  <c r="Z925" s="1"/>
  <c r="AA925" s="1"/>
  <c r="AB925" s="1"/>
  <c r="S926"/>
  <c r="T926" s="1"/>
  <c r="U926" s="1"/>
  <c r="V926" s="1"/>
  <c r="W926" s="1"/>
  <c r="X926" s="1"/>
  <c r="Y926" s="1"/>
  <c r="Z926" s="1"/>
  <c r="AA926" s="1"/>
  <c r="AB926" s="1"/>
  <c r="S927"/>
  <c r="T927" s="1"/>
  <c r="U927" s="1"/>
  <c r="V927" s="1"/>
  <c r="W927" s="1"/>
  <c r="X927" s="1"/>
  <c r="Y927" s="1"/>
  <c r="Z927" s="1"/>
  <c r="AA927" s="1"/>
  <c r="AB927" s="1"/>
  <c r="S928"/>
  <c r="T928" s="1"/>
  <c r="U928" s="1"/>
  <c r="V928" s="1"/>
  <c r="W928" s="1"/>
  <c r="X928" s="1"/>
  <c r="Y928" s="1"/>
  <c r="Z928" s="1"/>
  <c r="AA928" s="1"/>
  <c r="AB928" s="1"/>
  <c r="S929"/>
  <c r="T929" s="1"/>
  <c r="U929" s="1"/>
  <c r="V929" s="1"/>
  <c r="W929" s="1"/>
  <c r="X929" s="1"/>
  <c r="Y929" s="1"/>
  <c r="Z929" s="1"/>
  <c r="AA929" s="1"/>
  <c r="AB929" s="1"/>
  <c r="S930"/>
  <c r="T930" s="1"/>
  <c r="U930" s="1"/>
  <c r="V930" s="1"/>
  <c r="W930" s="1"/>
  <c r="X930" s="1"/>
  <c r="Y930" s="1"/>
  <c r="Z930" s="1"/>
  <c r="AA930" s="1"/>
  <c r="AB930" s="1"/>
  <c r="S931"/>
  <c r="T931" s="1"/>
  <c r="U931" s="1"/>
  <c r="V931" s="1"/>
  <c r="W931" s="1"/>
  <c r="X931" s="1"/>
  <c r="Y931" s="1"/>
  <c r="Z931" s="1"/>
  <c r="AA931" s="1"/>
  <c r="AB931" s="1"/>
  <c r="S932"/>
  <c r="T932" s="1"/>
  <c r="U932" s="1"/>
  <c r="V932" s="1"/>
  <c r="W932" s="1"/>
  <c r="X932" s="1"/>
  <c r="Y932" s="1"/>
  <c r="Z932" s="1"/>
  <c r="AA932" s="1"/>
  <c r="AB932" s="1"/>
  <c r="S933"/>
  <c r="T933" s="1"/>
  <c r="U933" s="1"/>
  <c r="V933" s="1"/>
  <c r="W933" s="1"/>
  <c r="X933" s="1"/>
  <c r="Y933" s="1"/>
  <c r="Z933" s="1"/>
  <c r="AA933" s="1"/>
  <c r="AB933" s="1"/>
  <c r="S934"/>
  <c r="T934" s="1"/>
  <c r="U934" s="1"/>
  <c r="V934" s="1"/>
  <c r="W934" s="1"/>
  <c r="X934" s="1"/>
  <c r="Y934" s="1"/>
  <c r="Z934" s="1"/>
  <c r="AA934" s="1"/>
  <c r="AB934" s="1"/>
  <c r="S935"/>
  <c r="T935" s="1"/>
  <c r="U935" s="1"/>
  <c r="V935" s="1"/>
  <c r="W935" s="1"/>
  <c r="X935" s="1"/>
  <c r="Y935" s="1"/>
  <c r="Z935" s="1"/>
  <c r="AA935" s="1"/>
  <c r="AB935" s="1"/>
  <c r="S936"/>
  <c r="T936" s="1"/>
  <c r="U936" s="1"/>
  <c r="V936" s="1"/>
  <c r="W936" s="1"/>
  <c r="X936" s="1"/>
  <c r="Y936" s="1"/>
  <c r="Z936" s="1"/>
  <c r="AA936" s="1"/>
  <c r="AB936" s="1"/>
  <c r="S937"/>
  <c r="T937" s="1"/>
  <c r="U937" s="1"/>
  <c r="V937" s="1"/>
  <c r="W937" s="1"/>
  <c r="X937" s="1"/>
  <c r="Y937" s="1"/>
  <c r="Z937" s="1"/>
  <c r="AA937" s="1"/>
  <c r="AB937" s="1"/>
  <c r="S938"/>
  <c r="T938" s="1"/>
  <c r="U938" s="1"/>
  <c r="V938" s="1"/>
  <c r="W938" s="1"/>
  <c r="X938" s="1"/>
  <c r="Y938" s="1"/>
  <c r="Z938" s="1"/>
  <c r="AA938" s="1"/>
  <c r="AB938" s="1"/>
  <c r="S939"/>
  <c r="T939" s="1"/>
  <c r="U939" s="1"/>
  <c r="V939" s="1"/>
  <c r="W939" s="1"/>
  <c r="X939" s="1"/>
  <c r="Y939" s="1"/>
  <c r="Z939" s="1"/>
  <c r="AA939" s="1"/>
  <c r="AB939" s="1"/>
  <c r="S940"/>
  <c r="T940" s="1"/>
  <c r="U940" s="1"/>
  <c r="V940" s="1"/>
  <c r="W940" s="1"/>
  <c r="X940" s="1"/>
  <c r="Y940" s="1"/>
  <c r="Z940" s="1"/>
  <c r="AA940" s="1"/>
  <c r="AB940" s="1"/>
  <c r="S941"/>
  <c r="T941" s="1"/>
  <c r="U941" s="1"/>
  <c r="V941" s="1"/>
  <c r="W941" s="1"/>
  <c r="X941" s="1"/>
  <c r="Y941" s="1"/>
  <c r="Z941" s="1"/>
  <c r="AA941" s="1"/>
  <c r="AB941" s="1"/>
  <c r="S942"/>
  <c r="T942" s="1"/>
  <c r="U942" s="1"/>
  <c r="V942" s="1"/>
  <c r="W942" s="1"/>
  <c r="X942" s="1"/>
  <c r="Y942" s="1"/>
  <c r="Z942" s="1"/>
  <c r="AA942" s="1"/>
  <c r="AB942" s="1"/>
  <c r="S943"/>
  <c r="T943" s="1"/>
  <c r="U943" s="1"/>
  <c r="V943" s="1"/>
  <c r="W943" s="1"/>
  <c r="X943" s="1"/>
  <c r="Y943" s="1"/>
  <c r="Z943" s="1"/>
  <c r="AA943" s="1"/>
  <c r="AB943" s="1"/>
  <c r="S944"/>
  <c r="T944" s="1"/>
  <c r="U944" s="1"/>
  <c r="V944" s="1"/>
  <c r="W944" s="1"/>
  <c r="X944" s="1"/>
  <c r="Y944" s="1"/>
  <c r="Z944" s="1"/>
  <c r="AA944" s="1"/>
  <c r="AB944" s="1"/>
  <c r="S945"/>
  <c r="T945" s="1"/>
  <c r="U945" s="1"/>
  <c r="V945" s="1"/>
  <c r="W945" s="1"/>
  <c r="X945" s="1"/>
  <c r="Y945" s="1"/>
  <c r="Z945" s="1"/>
  <c r="AA945" s="1"/>
  <c r="AB945" s="1"/>
  <c r="S946"/>
  <c r="T946" s="1"/>
  <c r="U946" s="1"/>
  <c r="V946" s="1"/>
  <c r="W946" s="1"/>
  <c r="X946" s="1"/>
  <c r="Y946" s="1"/>
  <c r="Z946" s="1"/>
  <c r="AA946" s="1"/>
  <c r="AB946" s="1"/>
  <c r="S947"/>
  <c r="T947" s="1"/>
  <c r="U947" s="1"/>
  <c r="V947" s="1"/>
  <c r="W947" s="1"/>
  <c r="X947" s="1"/>
  <c r="Y947" s="1"/>
  <c r="Z947" s="1"/>
  <c r="AA947" s="1"/>
  <c r="AB947" s="1"/>
  <c r="S948"/>
  <c r="T948" s="1"/>
  <c r="U948" s="1"/>
  <c r="V948" s="1"/>
  <c r="W948" s="1"/>
  <c r="X948" s="1"/>
  <c r="Y948" s="1"/>
  <c r="Z948" s="1"/>
  <c r="AA948" s="1"/>
  <c r="AB948" s="1"/>
  <c r="S949"/>
  <c r="T949" s="1"/>
  <c r="U949" s="1"/>
  <c r="V949" s="1"/>
  <c r="W949" s="1"/>
  <c r="X949" s="1"/>
  <c r="Y949" s="1"/>
  <c r="Z949" s="1"/>
  <c r="AA949" s="1"/>
  <c r="AB949" s="1"/>
  <c r="S950"/>
  <c r="T950" s="1"/>
  <c r="U950" s="1"/>
  <c r="V950" s="1"/>
  <c r="W950" s="1"/>
  <c r="X950" s="1"/>
  <c r="Y950" s="1"/>
  <c r="Z950" s="1"/>
  <c r="AA950" s="1"/>
  <c r="AB950" s="1"/>
  <c r="S951"/>
  <c r="T951" s="1"/>
  <c r="U951" s="1"/>
  <c r="V951" s="1"/>
  <c r="W951" s="1"/>
  <c r="X951" s="1"/>
  <c r="Y951" s="1"/>
  <c r="Z951" s="1"/>
  <c r="AA951" s="1"/>
  <c r="AB951" s="1"/>
  <c r="S952"/>
  <c r="T952" s="1"/>
  <c r="U952" s="1"/>
  <c r="V952" s="1"/>
  <c r="W952" s="1"/>
  <c r="X952" s="1"/>
  <c r="Y952" s="1"/>
  <c r="Z952" s="1"/>
  <c r="AA952" s="1"/>
  <c r="AB952" s="1"/>
  <c r="S953"/>
  <c r="T953" s="1"/>
  <c r="U953" s="1"/>
  <c r="V953" s="1"/>
  <c r="W953" s="1"/>
  <c r="X953" s="1"/>
  <c r="Y953" s="1"/>
  <c r="Z953" s="1"/>
  <c r="AA953" s="1"/>
  <c r="AB953" s="1"/>
  <c r="S954"/>
  <c r="T954" s="1"/>
  <c r="U954" s="1"/>
  <c r="V954" s="1"/>
  <c r="W954" s="1"/>
  <c r="X954" s="1"/>
  <c r="Y954" s="1"/>
  <c r="Z954" s="1"/>
  <c r="AA954" s="1"/>
  <c r="AB954" s="1"/>
  <c r="S955"/>
  <c r="T955" s="1"/>
  <c r="U955" s="1"/>
  <c r="V955" s="1"/>
  <c r="W955" s="1"/>
  <c r="X955" s="1"/>
  <c r="Y955" s="1"/>
  <c r="Z955" s="1"/>
  <c r="AA955" s="1"/>
  <c r="AB955" s="1"/>
  <c r="S956"/>
  <c r="T956" s="1"/>
  <c r="U956" s="1"/>
  <c r="V956" s="1"/>
  <c r="W956" s="1"/>
  <c r="X956" s="1"/>
  <c r="Y956" s="1"/>
  <c r="Z956" s="1"/>
  <c r="AA956" s="1"/>
  <c r="AB956" s="1"/>
  <c r="S957"/>
  <c r="T957" s="1"/>
  <c r="U957" s="1"/>
  <c r="V957" s="1"/>
  <c r="W957" s="1"/>
  <c r="X957" s="1"/>
  <c r="Y957" s="1"/>
  <c r="Z957" s="1"/>
  <c r="AA957" s="1"/>
  <c r="AB957" s="1"/>
  <c r="S958"/>
  <c r="T958" s="1"/>
  <c r="U958" s="1"/>
  <c r="V958" s="1"/>
  <c r="W958" s="1"/>
  <c r="X958" s="1"/>
  <c r="Y958" s="1"/>
  <c r="Z958" s="1"/>
  <c r="AA958" s="1"/>
  <c r="AB958" s="1"/>
  <c r="S959"/>
  <c r="T959" s="1"/>
  <c r="U959" s="1"/>
  <c r="V959" s="1"/>
  <c r="W959" s="1"/>
  <c r="X959" s="1"/>
  <c r="Y959" s="1"/>
  <c r="Z959" s="1"/>
  <c r="AA959" s="1"/>
  <c r="AB959" s="1"/>
  <c r="S960"/>
  <c r="T960" s="1"/>
  <c r="U960" s="1"/>
  <c r="V960" s="1"/>
  <c r="W960" s="1"/>
  <c r="X960" s="1"/>
  <c r="Y960" s="1"/>
  <c r="Z960" s="1"/>
  <c r="AA960" s="1"/>
  <c r="AB960" s="1"/>
  <c r="S961"/>
  <c r="T961" s="1"/>
  <c r="U961" s="1"/>
  <c r="V961" s="1"/>
  <c r="W961" s="1"/>
  <c r="X961" s="1"/>
  <c r="Y961" s="1"/>
  <c r="Z961" s="1"/>
  <c r="AA961" s="1"/>
  <c r="AB961" s="1"/>
  <c r="S962"/>
  <c r="T962" s="1"/>
  <c r="U962" s="1"/>
  <c r="V962" s="1"/>
  <c r="W962" s="1"/>
  <c r="X962" s="1"/>
  <c r="Y962" s="1"/>
  <c r="Z962" s="1"/>
  <c r="AA962" s="1"/>
  <c r="AB962" s="1"/>
  <c r="S963"/>
  <c r="T963" s="1"/>
  <c r="U963" s="1"/>
  <c r="V963" s="1"/>
  <c r="W963" s="1"/>
  <c r="X963" s="1"/>
  <c r="Y963" s="1"/>
  <c r="Z963" s="1"/>
  <c r="AA963" s="1"/>
  <c r="AB963" s="1"/>
  <c r="S964"/>
  <c r="T964" s="1"/>
  <c r="U964" s="1"/>
  <c r="V964" s="1"/>
  <c r="W964" s="1"/>
  <c r="X964" s="1"/>
  <c r="Y964" s="1"/>
  <c r="Z964" s="1"/>
  <c r="AA964" s="1"/>
  <c r="AB964" s="1"/>
  <c r="S965"/>
  <c r="T965" s="1"/>
  <c r="U965" s="1"/>
  <c r="V965" s="1"/>
  <c r="W965" s="1"/>
  <c r="X965" s="1"/>
  <c r="Y965" s="1"/>
  <c r="Z965" s="1"/>
  <c r="AA965" s="1"/>
  <c r="AB965" s="1"/>
  <c r="S966"/>
  <c r="T966" s="1"/>
  <c r="U966" s="1"/>
  <c r="V966" s="1"/>
  <c r="W966" s="1"/>
  <c r="X966" s="1"/>
  <c r="Y966" s="1"/>
  <c r="Z966" s="1"/>
  <c r="AA966" s="1"/>
  <c r="AB966" s="1"/>
  <c r="S967"/>
  <c r="T967" s="1"/>
  <c r="U967" s="1"/>
  <c r="V967" s="1"/>
  <c r="W967" s="1"/>
  <c r="X967" s="1"/>
  <c r="Y967" s="1"/>
  <c r="Z967" s="1"/>
  <c r="AA967" s="1"/>
  <c r="AB967" s="1"/>
  <c r="S968"/>
  <c r="T968" s="1"/>
  <c r="U968" s="1"/>
  <c r="V968" s="1"/>
  <c r="W968" s="1"/>
  <c r="X968" s="1"/>
  <c r="Y968" s="1"/>
  <c r="Z968" s="1"/>
  <c r="AA968" s="1"/>
  <c r="AB968" s="1"/>
  <c r="S969"/>
  <c r="T969" s="1"/>
  <c r="U969" s="1"/>
  <c r="V969" s="1"/>
  <c r="W969" s="1"/>
  <c r="X969" s="1"/>
  <c r="Y969" s="1"/>
  <c r="Z969" s="1"/>
  <c r="AA969" s="1"/>
  <c r="AB969" s="1"/>
  <c r="S970"/>
  <c r="T970" s="1"/>
  <c r="U970" s="1"/>
  <c r="V970" s="1"/>
  <c r="W970" s="1"/>
  <c r="X970" s="1"/>
  <c r="Y970" s="1"/>
  <c r="Z970" s="1"/>
  <c r="AA970" s="1"/>
  <c r="AB970" s="1"/>
  <c r="S971"/>
  <c r="T971" s="1"/>
  <c r="U971" s="1"/>
  <c r="V971" s="1"/>
  <c r="W971" s="1"/>
  <c r="X971" s="1"/>
  <c r="Y971" s="1"/>
  <c r="Z971" s="1"/>
  <c r="AA971" s="1"/>
  <c r="AB971" s="1"/>
  <c r="S972"/>
  <c r="T972" s="1"/>
  <c r="U972" s="1"/>
  <c r="V972" s="1"/>
  <c r="W972" s="1"/>
  <c r="X972" s="1"/>
  <c r="Y972" s="1"/>
  <c r="Z972" s="1"/>
  <c r="AA972" s="1"/>
  <c r="AB972" s="1"/>
  <c r="S973"/>
  <c r="T973" s="1"/>
  <c r="U973" s="1"/>
  <c r="V973" s="1"/>
  <c r="W973" s="1"/>
  <c r="X973" s="1"/>
  <c r="Y973" s="1"/>
  <c r="Z973" s="1"/>
  <c r="AA973" s="1"/>
  <c r="AB973" s="1"/>
  <c r="S974"/>
  <c r="T974" s="1"/>
  <c r="U974" s="1"/>
  <c r="V974" s="1"/>
  <c r="W974" s="1"/>
  <c r="X974" s="1"/>
  <c r="Y974" s="1"/>
  <c r="Z974" s="1"/>
  <c r="AA974" s="1"/>
  <c r="AB974" s="1"/>
  <c r="S975"/>
  <c r="T975" s="1"/>
  <c r="U975" s="1"/>
  <c r="V975" s="1"/>
  <c r="W975" s="1"/>
  <c r="X975" s="1"/>
  <c r="Y975" s="1"/>
  <c r="Z975" s="1"/>
  <c r="AA975" s="1"/>
  <c r="AB975" s="1"/>
  <c r="S976"/>
  <c r="T976" s="1"/>
  <c r="U976" s="1"/>
  <c r="V976" s="1"/>
  <c r="W976" s="1"/>
  <c r="X976" s="1"/>
  <c r="Y976" s="1"/>
  <c r="Z976" s="1"/>
  <c r="AA976" s="1"/>
  <c r="AB976" s="1"/>
  <c r="S977"/>
  <c r="T977" s="1"/>
  <c r="U977" s="1"/>
  <c r="V977" s="1"/>
  <c r="W977" s="1"/>
  <c r="X977" s="1"/>
  <c r="Y977" s="1"/>
  <c r="Z977" s="1"/>
  <c r="AA977" s="1"/>
  <c r="AB977" s="1"/>
  <c r="S978"/>
  <c r="T978" s="1"/>
  <c r="U978" s="1"/>
  <c r="V978" s="1"/>
  <c r="W978" s="1"/>
  <c r="X978" s="1"/>
  <c r="Y978" s="1"/>
  <c r="Z978" s="1"/>
  <c r="AA978" s="1"/>
  <c r="AB978" s="1"/>
  <c r="S979"/>
  <c r="T979" s="1"/>
  <c r="U979" s="1"/>
  <c r="V979" s="1"/>
  <c r="W979" s="1"/>
  <c r="X979" s="1"/>
  <c r="Y979" s="1"/>
  <c r="Z979" s="1"/>
  <c r="AA979" s="1"/>
  <c r="AB979" s="1"/>
  <c r="S980"/>
  <c r="T980" s="1"/>
  <c r="U980" s="1"/>
  <c r="V980" s="1"/>
  <c r="W980" s="1"/>
  <c r="X980" s="1"/>
  <c r="Y980" s="1"/>
  <c r="Z980" s="1"/>
  <c r="AA980" s="1"/>
  <c r="AB980" s="1"/>
  <c r="S981"/>
  <c r="T981" s="1"/>
  <c r="U981" s="1"/>
  <c r="V981" s="1"/>
  <c r="W981" s="1"/>
  <c r="X981" s="1"/>
  <c r="Y981" s="1"/>
  <c r="Z981" s="1"/>
  <c r="AA981" s="1"/>
  <c r="AB981" s="1"/>
  <c r="S982"/>
  <c r="T982" s="1"/>
  <c r="U982" s="1"/>
  <c r="V982" s="1"/>
  <c r="W982" s="1"/>
  <c r="X982" s="1"/>
  <c r="Y982" s="1"/>
  <c r="Z982" s="1"/>
  <c r="AA982" s="1"/>
  <c r="AB982" s="1"/>
  <c r="S983"/>
  <c r="T983" s="1"/>
  <c r="U983" s="1"/>
  <c r="V983" s="1"/>
  <c r="W983" s="1"/>
  <c r="X983" s="1"/>
  <c r="Y983" s="1"/>
  <c r="Z983" s="1"/>
  <c r="AA983" s="1"/>
  <c r="AB983" s="1"/>
  <c r="S984"/>
  <c r="T984" s="1"/>
  <c r="U984" s="1"/>
  <c r="V984" s="1"/>
  <c r="W984" s="1"/>
  <c r="X984" s="1"/>
  <c r="Y984" s="1"/>
  <c r="Z984" s="1"/>
  <c r="AA984" s="1"/>
  <c r="AB984" s="1"/>
  <c r="S985"/>
  <c r="T985" s="1"/>
  <c r="U985" s="1"/>
  <c r="V985" s="1"/>
  <c r="W985" s="1"/>
  <c r="X985" s="1"/>
  <c r="Y985" s="1"/>
  <c r="Z985" s="1"/>
  <c r="AA985" s="1"/>
  <c r="AB985" s="1"/>
  <c r="S986"/>
  <c r="T986" s="1"/>
  <c r="U986" s="1"/>
  <c r="V986" s="1"/>
  <c r="W986" s="1"/>
  <c r="X986" s="1"/>
  <c r="Y986" s="1"/>
  <c r="Z986" s="1"/>
  <c r="AA986" s="1"/>
  <c r="AB986" s="1"/>
  <c r="S987"/>
  <c r="T987" s="1"/>
  <c r="U987" s="1"/>
  <c r="V987" s="1"/>
  <c r="W987" s="1"/>
  <c r="X987" s="1"/>
  <c r="Y987" s="1"/>
  <c r="Z987" s="1"/>
  <c r="AA987" s="1"/>
  <c r="AB987" s="1"/>
  <c r="S988"/>
  <c r="T988" s="1"/>
  <c r="U988" s="1"/>
  <c r="V988" s="1"/>
  <c r="W988" s="1"/>
  <c r="X988" s="1"/>
  <c r="Y988" s="1"/>
  <c r="Z988" s="1"/>
  <c r="AA988" s="1"/>
  <c r="AB988" s="1"/>
  <c r="S989"/>
  <c r="T989" s="1"/>
  <c r="U989" s="1"/>
  <c r="V989" s="1"/>
  <c r="W989" s="1"/>
  <c r="X989" s="1"/>
  <c r="Y989" s="1"/>
  <c r="Z989" s="1"/>
  <c r="AA989" s="1"/>
  <c r="AB989" s="1"/>
  <c r="S990"/>
  <c r="T990" s="1"/>
  <c r="U990" s="1"/>
  <c r="V990" s="1"/>
  <c r="W990" s="1"/>
  <c r="X990" s="1"/>
  <c r="Y990" s="1"/>
  <c r="Z990" s="1"/>
  <c r="AA990" s="1"/>
  <c r="AB990" s="1"/>
  <c r="S991"/>
  <c r="T991" s="1"/>
  <c r="U991" s="1"/>
  <c r="V991" s="1"/>
  <c r="W991" s="1"/>
  <c r="X991" s="1"/>
  <c r="Y991" s="1"/>
  <c r="Z991" s="1"/>
  <c r="AA991" s="1"/>
  <c r="AB991" s="1"/>
  <c r="S992"/>
  <c r="T992" s="1"/>
  <c r="U992" s="1"/>
  <c r="V992" s="1"/>
  <c r="W992" s="1"/>
  <c r="X992" s="1"/>
  <c r="Y992" s="1"/>
  <c r="Z992" s="1"/>
  <c r="AA992" s="1"/>
  <c r="AB992" s="1"/>
  <c r="S993"/>
  <c r="T993" s="1"/>
  <c r="U993" s="1"/>
  <c r="V993" s="1"/>
  <c r="W993" s="1"/>
  <c r="X993" s="1"/>
  <c r="Y993" s="1"/>
  <c r="Z993" s="1"/>
  <c r="AA993" s="1"/>
  <c r="AB993" s="1"/>
  <c r="S994"/>
  <c r="T994" s="1"/>
  <c r="U994" s="1"/>
  <c r="V994" s="1"/>
  <c r="W994" s="1"/>
  <c r="X994" s="1"/>
  <c r="Y994" s="1"/>
  <c r="Z994" s="1"/>
  <c r="AA994" s="1"/>
  <c r="AB994" s="1"/>
  <c r="S995"/>
  <c r="T995" s="1"/>
  <c r="U995" s="1"/>
  <c r="V995" s="1"/>
  <c r="W995" s="1"/>
  <c r="X995" s="1"/>
  <c r="Y995" s="1"/>
  <c r="Z995" s="1"/>
  <c r="AA995" s="1"/>
  <c r="AB995" s="1"/>
  <c r="S996"/>
  <c r="T996" s="1"/>
  <c r="U996" s="1"/>
  <c r="V996" s="1"/>
  <c r="W996" s="1"/>
  <c r="X996" s="1"/>
  <c r="Y996" s="1"/>
  <c r="Z996" s="1"/>
  <c r="AA996" s="1"/>
  <c r="AB996" s="1"/>
  <c r="S997"/>
  <c r="T997" s="1"/>
  <c r="U997" s="1"/>
  <c r="V997" s="1"/>
  <c r="W997" s="1"/>
  <c r="X997" s="1"/>
  <c r="Y997" s="1"/>
  <c r="Z997" s="1"/>
  <c r="AA997" s="1"/>
  <c r="AB997" s="1"/>
  <c r="S998"/>
  <c r="T998" s="1"/>
  <c r="U998" s="1"/>
  <c r="V998" s="1"/>
  <c r="W998" s="1"/>
  <c r="X998" s="1"/>
  <c r="Y998" s="1"/>
  <c r="Z998" s="1"/>
  <c r="AA998" s="1"/>
  <c r="AB998" s="1"/>
  <c r="S999"/>
  <c r="T999" s="1"/>
  <c r="U999" s="1"/>
  <c r="V999" s="1"/>
  <c r="W999" s="1"/>
  <c r="X999" s="1"/>
  <c r="Y999" s="1"/>
  <c r="Z999" s="1"/>
  <c r="AA999" s="1"/>
  <c r="AB999" s="1"/>
  <c r="S1000"/>
  <c r="T1000" s="1"/>
  <c r="U1000" s="1"/>
  <c r="V1000" s="1"/>
  <c r="W1000" s="1"/>
  <c r="X1000" s="1"/>
  <c r="Y1000" s="1"/>
  <c r="Z1000" s="1"/>
  <c r="AA1000" s="1"/>
  <c r="AB1000" s="1"/>
  <c r="S1001"/>
  <c r="T1001" s="1"/>
  <c r="U1001" s="1"/>
  <c r="V1001" s="1"/>
  <c r="W1001" s="1"/>
  <c r="X1001" s="1"/>
  <c r="Y1001" s="1"/>
  <c r="Z1001" s="1"/>
  <c r="AA1001" s="1"/>
  <c r="AB1001" s="1"/>
  <c r="L17" i="14"/>
  <c r="L18"/>
  <c r="L19"/>
  <c r="L20"/>
  <c r="L21"/>
  <c r="L22"/>
  <c r="L23"/>
  <c r="L24"/>
  <c r="C9"/>
  <c r="C8"/>
  <c r="C7"/>
  <c r="M16" s="1"/>
  <c r="C4"/>
  <c r="C3"/>
  <c r="F3" i="26"/>
  <c r="F5"/>
  <c r="F7"/>
  <c r="F9"/>
  <c r="F11"/>
  <c r="F13"/>
  <c r="F15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F71"/>
  <c r="F73"/>
  <c r="F75"/>
  <c r="F77"/>
  <c r="F79"/>
  <c r="F81"/>
  <c r="F83"/>
  <c r="F85"/>
  <c r="F87"/>
  <c r="F89"/>
  <c r="F91"/>
  <c r="F93"/>
  <c r="F95"/>
  <c r="F97"/>
  <c r="F99"/>
  <c r="F101"/>
  <c r="F103"/>
  <c r="F105"/>
  <c r="F107"/>
  <c r="F108"/>
  <c r="E3"/>
  <c r="E4"/>
  <c r="F4" s="1"/>
  <c r="E5"/>
  <c r="E6"/>
  <c r="F6" s="1"/>
  <c r="E7"/>
  <c r="E8"/>
  <c r="F8" s="1"/>
  <c r="E9"/>
  <c r="E10"/>
  <c r="F10" s="1"/>
  <c r="E11"/>
  <c r="E12"/>
  <c r="F12" s="1"/>
  <c r="E13"/>
  <c r="E14"/>
  <c r="F14" s="1"/>
  <c r="E15"/>
  <c r="E16"/>
  <c r="F16" s="1"/>
  <c r="E17"/>
  <c r="E18"/>
  <c r="F18" s="1"/>
  <c r="E19"/>
  <c r="E20"/>
  <c r="F20" s="1"/>
  <c r="E21"/>
  <c r="E22"/>
  <c r="F22" s="1"/>
  <c r="E23"/>
  <c r="E24"/>
  <c r="F24" s="1"/>
  <c r="E25"/>
  <c r="E26"/>
  <c r="F26" s="1"/>
  <c r="E27"/>
  <c r="E28"/>
  <c r="F28" s="1"/>
  <c r="E29"/>
  <c r="E30"/>
  <c r="F30" s="1"/>
  <c r="E31"/>
  <c r="E32"/>
  <c r="F32" s="1"/>
  <c r="E33"/>
  <c r="E34"/>
  <c r="F34" s="1"/>
  <c r="E35"/>
  <c r="E36"/>
  <c r="F36" s="1"/>
  <c r="E37"/>
  <c r="E38"/>
  <c r="F38" s="1"/>
  <c r="E39"/>
  <c r="E40"/>
  <c r="F40" s="1"/>
  <c r="E41"/>
  <c r="E42"/>
  <c r="F42" s="1"/>
  <c r="E43"/>
  <c r="E44"/>
  <c r="F44" s="1"/>
  <c r="E45"/>
  <c r="E46"/>
  <c r="F46" s="1"/>
  <c r="E47"/>
  <c r="E48"/>
  <c r="F48" s="1"/>
  <c r="E49"/>
  <c r="E50"/>
  <c r="F50" s="1"/>
  <c r="E51"/>
  <c r="E52"/>
  <c r="F52" s="1"/>
  <c r="E53"/>
  <c r="E54"/>
  <c r="F54" s="1"/>
  <c r="E55"/>
  <c r="E56"/>
  <c r="F56" s="1"/>
  <c r="E57"/>
  <c r="E58"/>
  <c r="F58" s="1"/>
  <c r="E59"/>
  <c r="E60"/>
  <c r="F60" s="1"/>
  <c r="E61"/>
  <c r="E62"/>
  <c r="F62" s="1"/>
  <c r="E63"/>
  <c r="E64"/>
  <c r="F64" s="1"/>
  <c r="E65"/>
  <c r="E66"/>
  <c r="F66" s="1"/>
  <c r="E67"/>
  <c r="E68"/>
  <c r="F68" s="1"/>
  <c r="E69"/>
  <c r="E70"/>
  <c r="F70" s="1"/>
  <c r="E71"/>
  <c r="E72"/>
  <c r="F72" s="1"/>
  <c r="E73"/>
  <c r="E74"/>
  <c r="F74" s="1"/>
  <c r="E75"/>
  <c r="E76"/>
  <c r="F76" s="1"/>
  <c r="E77"/>
  <c r="E78"/>
  <c r="F78" s="1"/>
  <c r="E79"/>
  <c r="E80"/>
  <c r="F80" s="1"/>
  <c r="E81"/>
  <c r="E82"/>
  <c r="F82" s="1"/>
  <c r="E83"/>
  <c r="E84"/>
  <c r="F84" s="1"/>
  <c r="E85"/>
  <c r="E86"/>
  <c r="F86" s="1"/>
  <c r="E87"/>
  <c r="E88"/>
  <c r="F88" s="1"/>
  <c r="E89"/>
  <c r="E90"/>
  <c r="F90" s="1"/>
  <c r="E91"/>
  <c r="E92"/>
  <c r="F92" s="1"/>
  <c r="E93"/>
  <c r="E94"/>
  <c r="F94" s="1"/>
  <c r="E95"/>
  <c r="E96"/>
  <c r="F96" s="1"/>
  <c r="E97"/>
  <c r="E98"/>
  <c r="F98" s="1"/>
  <c r="E99"/>
  <c r="E100"/>
  <c r="F100" s="1"/>
  <c r="E101"/>
  <c r="E102"/>
  <c r="F102" s="1"/>
  <c r="E103"/>
  <c r="E104"/>
  <c r="F104" s="1"/>
  <c r="E105"/>
  <c r="E106"/>
  <c r="F106" s="1"/>
  <c r="E107"/>
  <c r="E2"/>
  <c r="F2" s="1"/>
  <c r="T7" i="16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6"/>
  <c r="R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6"/>
  <c r="M6"/>
  <c r="M7" s="1"/>
  <c r="B16" i="14"/>
  <c r="K16"/>
  <c r="F8"/>
  <c r="F9" s="1"/>
  <c r="O5"/>
  <c r="R5"/>
  <c r="R6" s="1"/>
  <c r="R7" s="1"/>
  <c r="R8" s="1"/>
  <c r="R9" s="1"/>
  <c r="A16"/>
  <c r="R16" s="1"/>
  <c r="X17"/>
  <c r="X18" s="1"/>
  <c r="X19" s="1"/>
  <c r="X20" s="1"/>
  <c r="V20" l="1"/>
  <c r="V21" s="1"/>
  <c r="V22" s="1"/>
  <c r="V23" s="1"/>
  <c r="V24" s="1"/>
  <c r="V25" s="1"/>
  <c r="AA10"/>
  <c r="W10" s="1"/>
  <c r="M8" i="16"/>
  <c r="P6"/>
  <c r="AU8" a="1"/>
  <c r="AU8" s="1"/>
  <c r="L16" i="14"/>
  <c r="A17"/>
  <c r="X21"/>
  <c r="M9" i="16" l="1"/>
  <c r="AV8"/>
  <c r="B17" i="14"/>
  <c r="R17"/>
  <c r="A18"/>
  <c r="R18" s="1"/>
  <c r="E16"/>
  <c r="X22"/>
  <c r="M10" i="16" l="1"/>
  <c r="B18" i="14"/>
  <c r="A19"/>
  <c r="E17"/>
  <c r="J16"/>
  <c r="J17"/>
  <c r="X23"/>
  <c r="B19"/>
  <c r="M11" i="16" l="1"/>
  <c r="A20" i="14"/>
  <c r="R19"/>
  <c r="E18"/>
  <c r="J19" s="1"/>
  <c r="J18"/>
  <c r="B20"/>
  <c r="R20"/>
  <c r="A21"/>
  <c r="X24"/>
  <c r="M12" i="16" l="1"/>
  <c r="E19" i="14"/>
  <c r="J20" s="1"/>
  <c r="B21"/>
  <c r="R21"/>
  <c r="A22"/>
  <c r="X25"/>
  <c r="M13" i="16" l="1"/>
  <c r="E20" i="14"/>
  <c r="J21" s="1"/>
  <c r="A23"/>
  <c r="B22"/>
  <c r="R22"/>
  <c r="M14" i="16" l="1"/>
  <c r="E21" i="14"/>
  <c r="J22" s="1"/>
  <c r="B23"/>
  <c r="R23"/>
  <c r="A24"/>
  <c r="M15" i="16" l="1"/>
  <c r="E22" i="14"/>
  <c r="J23" s="1"/>
  <c r="B24"/>
  <c r="R24"/>
  <c r="A25"/>
  <c r="M16" i="16" l="1"/>
  <c r="E23" i="14"/>
  <c r="J24" s="1"/>
  <c r="B25"/>
  <c r="R25"/>
  <c r="M17" i="16" l="1"/>
  <c r="E24" i="14"/>
  <c r="M18" i="16" l="1"/>
  <c r="J25" i="14"/>
  <c r="E25"/>
  <c r="F16"/>
  <c r="Y16" s="1"/>
  <c r="Y17" s="1"/>
  <c r="Y18" s="1"/>
  <c r="Y19" s="1"/>
  <c r="Y20" s="1"/>
  <c r="Y21" s="1"/>
  <c r="Y22" s="1"/>
  <c r="Y23" s="1"/>
  <c r="Y24" s="1"/>
  <c r="Y25" s="1"/>
  <c r="L25" l="1"/>
  <c r="M19" i="16"/>
  <c r="O16" i="14"/>
  <c r="M17" s="1"/>
  <c r="H23"/>
  <c r="I23"/>
  <c r="G23"/>
  <c r="H19"/>
  <c r="G19"/>
  <c r="I19"/>
  <c r="I16"/>
  <c r="G16"/>
  <c r="H16"/>
  <c r="I24"/>
  <c r="H24"/>
  <c r="G24"/>
  <c r="I20"/>
  <c r="G20"/>
  <c r="H20"/>
  <c r="H25"/>
  <c r="I25"/>
  <c r="G25"/>
  <c r="G21"/>
  <c r="H21"/>
  <c r="I21"/>
  <c r="H17"/>
  <c r="G17"/>
  <c r="I17"/>
  <c r="G22"/>
  <c r="H22"/>
  <c r="I22"/>
  <c r="I18"/>
  <c r="H18"/>
  <c r="G18"/>
  <c r="M20" i="16" l="1"/>
  <c r="Q16" i="14"/>
  <c r="K17"/>
  <c r="Q17" s="1"/>
  <c r="O17"/>
  <c r="M18" s="1"/>
  <c r="P16"/>
  <c r="S16" l="1"/>
  <c r="T16" s="1"/>
  <c r="U16" s="1"/>
  <c r="M21" i="16"/>
  <c r="K18" i="14"/>
  <c r="Q18" s="1"/>
  <c r="P17"/>
  <c r="O18"/>
  <c r="M19" s="1"/>
  <c r="M22" i="16" l="1"/>
  <c r="K19" i="14"/>
  <c r="Q19" s="1"/>
  <c r="P18"/>
  <c r="O19"/>
  <c r="M20" s="1"/>
  <c r="S17"/>
  <c r="M23" i="16" l="1"/>
  <c r="T17" i="14"/>
  <c r="U17" s="1"/>
  <c r="K20"/>
  <c r="Q20" s="1"/>
  <c r="P19"/>
  <c r="O20"/>
  <c r="M21" s="1"/>
  <c r="M24" i="16" l="1"/>
  <c r="K21" i="14"/>
  <c r="Q21" s="1"/>
  <c r="P20"/>
  <c r="O21"/>
  <c r="M22" s="1"/>
  <c r="S18"/>
  <c r="M25" i="16" l="1"/>
  <c r="T18" i="14"/>
  <c r="U18" s="1"/>
  <c r="K22"/>
  <c r="Q22" s="1"/>
  <c r="P21"/>
  <c r="O22"/>
  <c r="M23" s="1"/>
  <c r="M26" i="16" l="1"/>
  <c r="K23" i="14"/>
  <c r="Q23" s="1"/>
  <c r="P22"/>
  <c r="O23"/>
  <c r="M24" s="1"/>
  <c r="S19"/>
  <c r="M27" i="16" l="1"/>
  <c r="T19" i="14"/>
  <c r="U19" s="1"/>
  <c r="K24"/>
  <c r="Q24" s="1"/>
  <c r="P23"/>
  <c r="O24"/>
  <c r="M25" s="1"/>
  <c r="M28" i="16" l="1"/>
  <c r="O25" i="14"/>
  <c r="P25" s="1"/>
  <c r="K25"/>
  <c r="Q25" s="1"/>
  <c r="P24"/>
  <c r="S20"/>
  <c r="M29" i="16" l="1"/>
  <c r="T20" i="14"/>
  <c r="U20" s="1"/>
  <c r="M30" i="16" l="1"/>
  <c r="S21" i="14"/>
  <c r="M31" i="16" l="1"/>
  <c r="T21" i="14"/>
  <c r="U21" s="1"/>
  <c r="M32" i="16" l="1"/>
  <c r="S22" i="14"/>
  <c r="T22" s="1"/>
  <c r="U22" s="1"/>
  <c r="M33" i="16" l="1"/>
  <c r="S23" i="14"/>
  <c r="T23" s="1"/>
  <c r="U23" s="1"/>
  <c r="M34" i="16" l="1"/>
  <c r="S24" i="14"/>
  <c r="T24" s="1"/>
  <c r="U24" s="1"/>
  <c r="M35" i="16" l="1"/>
  <c r="S25" i="14"/>
  <c r="M36" i="16" l="1"/>
  <c r="T25" i="14"/>
  <c r="U25" s="1"/>
  <c r="S12"/>
  <c r="M37" i="16" l="1"/>
  <c r="W12" i="14"/>
  <c r="B11" i="25" s="1"/>
  <c r="M38" i="16" l="1"/>
  <c r="M39" l="1"/>
  <c r="M40" l="1"/>
  <c r="M41" l="1"/>
  <c r="M42" l="1"/>
  <c r="M43" l="1"/>
  <c r="M44" l="1"/>
  <c r="M45" l="1"/>
  <c r="M46" l="1"/>
  <c r="M47" l="1"/>
  <c r="M48" l="1"/>
  <c r="M49" l="1"/>
  <c r="M50" l="1"/>
  <c r="M51" l="1"/>
  <c r="M52" l="1"/>
  <c r="M53" l="1"/>
  <c r="M54" l="1"/>
  <c r="M55" l="1"/>
  <c r="M56" l="1"/>
  <c r="M57" l="1"/>
  <c r="M58" l="1"/>
  <c r="M59" l="1"/>
  <c r="M60" l="1"/>
  <c r="M61" l="1"/>
  <c r="M62" l="1"/>
  <c r="M63" l="1"/>
  <c r="M64" l="1"/>
  <c r="M65" l="1"/>
  <c r="M66" l="1"/>
  <c r="M67" l="1"/>
  <c r="M68" l="1"/>
  <c r="M69" l="1"/>
  <c r="M70" l="1"/>
  <c r="M71" l="1"/>
  <c r="M72" l="1"/>
  <c r="M73" l="1"/>
  <c r="M74" l="1"/>
  <c r="M75" l="1"/>
  <c r="M76" l="1"/>
  <c r="M77" l="1"/>
  <c r="M78" l="1"/>
  <c r="M79" l="1"/>
  <c r="M80" l="1"/>
  <c r="M81" l="1"/>
  <c r="M82" l="1"/>
  <c r="M83" l="1"/>
  <c r="M84" l="1"/>
  <c r="M85" l="1"/>
  <c r="M86" l="1"/>
  <c r="M87" l="1"/>
  <c r="M88" l="1"/>
  <c r="M89" l="1"/>
  <c r="M90" l="1"/>
  <c r="M91" l="1"/>
  <c r="M92" l="1"/>
  <c r="M93" l="1"/>
  <c r="M94" l="1"/>
  <c r="M95" l="1"/>
  <c r="M96" l="1"/>
  <c r="M97" l="1"/>
  <c r="M98" l="1"/>
  <c r="M99" l="1"/>
  <c r="M100" l="1"/>
  <c r="M101" l="1"/>
  <c r="M102" l="1"/>
  <c r="M103" l="1"/>
  <c r="M104" l="1"/>
  <c r="M105" l="1"/>
  <c r="M106" l="1"/>
  <c r="M107" l="1"/>
  <c r="M108" l="1"/>
  <c r="M109" l="1"/>
  <c r="M110" l="1"/>
  <c r="M111" l="1"/>
</calcChain>
</file>

<file path=xl/comments1.xml><?xml version="1.0" encoding="utf-8"?>
<comments xmlns="http://schemas.openxmlformats.org/spreadsheetml/2006/main">
  <authors>
    <author>hong.qu</author>
    <author>ling-ling.wang</author>
  </authors>
  <commentList>
    <comment ref="J7" authorId="0">
      <text>
        <r>
          <rPr>
            <b/>
            <sz val="8"/>
            <color indexed="81"/>
            <rFont val="宋体"/>
            <family val="3"/>
            <charset val="134"/>
          </rPr>
          <t>hong.qu:</t>
        </r>
        <r>
          <rPr>
            <sz val="8"/>
            <color indexed="81"/>
            <rFont val="宋体"/>
            <family val="3"/>
            <charset val="134"/>
          </rPr>
          <t xml:space="preserve">
</t>
        </r>
        <r>
          <rPr>
            <sz val="12"/>
            <color indexed="81"/>
            <rFont val="宋体"/>
            <family val="3"/>
            <charset val="134"/>
          </rPr>
          <t xml:space="preserve">中介费
</t>
        </r>
      </text>
    </comment>
    <comment ref="K7" authorId="0">
      <text>
        <r>
          <rPr>
            <b/>
            <sz val="8"/>
            <color indexed="81"/>
            <rFont val="宋体"/>
            <family val="3"/>
            <charset val="134"/>
          </rPr>
          <t>hong.qu:</t>
        </r>
        <r>
          <rPr>
            <sz val="8"/>
            <color indexed="81"/>
            <rFont val="宋体"/>
            <family val="3"/>
            <charset val="134"/>
          </rPr>
          <t xml:space="preserve">
</t>
        </r>
        <r>
          <rPr>
            <sz val="12"/>
            <color indexed="81"/>
            <rFont val="宋体"/>
            <family val="3"/>
            <charset val="134"/>
          </rPr>
          <t xml:space="preserve">直接佣金
</t>
        </r>
      </text>
    </comment>
    <comment ref="C10" authorId="1">
      <text>
        <r>
          <rPr>
            <b/>
            <sz val="8"/>
            <color indexed="81"/>
            <rFont val="宋体"/>
            <family val="3"/>
            <charset val="134"/>
          </rPr>
          <t>ling-ling.wang:</t>
        </r>
        <r>
          <rPr>
            <sz val="8"/>
            <color indexed="81"/>
            <rFont val="宋体"/>
            <family val="3"/>
            <charset val="134"/>
          </rPr>
          <t xml:space="preserve">
1 = no adjustment</t>
        </r>
      </text>
    </comment>
  </commentList>
</comments>
</file>

<file path=xl/sharedStrings.xml><?xml version="1.0" encoding="utf-8"?>
<sst xmlns="http://schemas.openxmlformats.org/spreadsheetml/2006/main" count="95" uniqueCount="86">
  <si>
    <t>China Life Insurance Mortality Table (1990-1993)</t>
  </si>
  <si>
    <t>Life</t>
  </si>
  <si>
    <t>CL1</t>
  </si>
  <si>
    <t>CL2</t>
  </si>
  <si>
    <t>CL3</t>
  </si>
  <si>
    <t>CL4</t>
  </si>
  <si>
    <t>CL5</t>
  </si>
  <si>
    <t>CL6</t>
  </si>
  <si>
    <t>Age</t>
  </si>
  <si>
    <t>Male</t>
  </si>
  <si>
    <t>Female</t>
  </si>
  <si>
    <t>Unisex</t>
  </si>
  <si>
    <t>Per Policy</t>
    <phoneticPr fontId="2" type="noConversion"/>
  </si>
  <si>
    <t>% FYC</t>
    <phoneticPr fontId="2" type="noConversion"/>
  </si>
  <si>
    <t>Main Exp</t>
    <phoneticPr fontId="2" type="noConversion"/>
  </si>
  <si>
    <t>Comm</t>
    <phoneticPr fontId="2" type="noConversion"/>
  </si>
  <si>
    <t xml:space="preserve"> Prem Tax</t>
    <phoneticPr fontId="2" type="noConversion"/>
  </si>
  <si>
    <t>Income Tax</t>
    <phoneticPr fontId="2" type="noConversion"/>
  </si>
  <si>
    <t>Inflation Rate</t>
    <phoneticPr fontId="2" type="noConversion"/>
  </si>
  <si>
    <t>Acq Exp</t>
    <phoneticPr fontId="2" type="noConversion"/>
  </si>
  <si>
    <t>SB</t>
    <phoneticPr fontId="2" type="noConversion"/>
  </si>
  <si>
    <t>% Rsv</t>
    <phoneticPr fontId="2" type="noConversion"/>
  </si>
  <si>
    <r>
      <t>Annuity(yearly</t>
    </r>
    <r>
      <rPr>
        <sz val="12"/>
        <rFont val="宋体"/>
        <family val="3"/>
        <charset val="134"/>
      </rPr>
      <t>）</t>
    </r>
    <phoneticPr fontId="2" type="noConversion"/>
  </si>
  <si>
    <t>age</t>
    <phoneticPr fontId="2" type="noConversion"/>
  </si>
  <si>
    <t>year</t>
    <phoneticPr fontId="2" type="noConversion"/>
  </si>
  <si>
    <r>
      <t>q</t>
    </r>
    <r>
      <rPr>
        <vertAlign val="subscript"/>
        <sz val="12"/>
        <rFont val="Times New Roman"/>
        <family val="1"/>
      </rPr>
      <t>x+m-1</t>
    </r>
    <phoneticPr fontId="2" type="noConversion"/>
  </si>
  <si>
    <t>DB</t>
    <phoneticPr fontId="2" type="noConversion"/>
  </si>
  <si>
    <t>Prem.</t>
    <phoneticPr fontId="2" type="noConversion"/>
  </si>
  <si>
    <t>FYC</t>
    <phoneticPr fontId="2" type="noConversion"/>
  </si>
  <si>
    <t>Acq. Cost</t>
    <phoneticPr fontId="2" type="noConversion"/>
  </si>
  <si>
    <t>Fixed Main.
Exp.</t>
    <phoneticPr fontId="2" type="noConversion"/>
  </si>
  <si>
    <t>Main. Exp.
As %Rsv.</t>
    <phoneticPr fontId="2" type="noConversion"/>
  </si>
  <si>
    <t>investment 
income</t>
    <phoneticPr fontId="2" type="noConversion"/>
  </si>
  <si>
    <t>interest rate</t>
    <phoneticPr fontId="2" type="noConversion"/>
  </si>
  <si>
    <t>pre-tax
Profit</t>
    <phoneticPr fontId="2" type="noConversion"/>
  </si>
  <si>
    <r>
      <t xml:space="preserve">increase in
</t>
    </r>
    <r>
      <rPr>
        <sz val="12"/>
        <rFont val="宋体"/>
        <family val="3"/>
        <charset val="134"/>
      </rPr>
      <t>期末</t>
    </r>
    <r>
      <rPr>
        <sz val="12"/>
        <rFont val="Times New Roman"/>
        <family val="1"/>
      </rPr>
      <t>reserve</t>
    </r>
    <phoneticPr fontId="2" type="noConversion"/>
  </si>
  <si>
    <t>post-tax 
profit</t>
    <phoneticPr fontId="2" type="noConversion"/>
  </si>
  <si>
    <t>year-end 
reserve</t>
    <phoneticPr fontId="2" type="noConversion"/>
  </si>
  <si>
    <t>Annuitant Gender</t>
    <phoneticPr fontId="2" type="noConversion"/>
  </si>
  <si>
    <t>Period Guaranteed or Term</t>
    <phoneticPr fontId="2" type="noConversion"/>
  </si>
  <si>
    <t>profit tax</t>
    <phoneticPr fontId="2" type="noConversion"/>
  </si>
  <si>
    <t>Investment Assumption</t>
    <phoneticPr fontId="2" type="noConversion"/>
  </si>
  <si>
    <t>Basic Insured Information</t>
    <phoneticPr fontId="2" type="noConversion"/>
  </si>
  <si>
    <t>Expense Allowance</t>
    <phoneticPr fontId="2" type="noConversion"/>
  </si>
  <si>
    <t>interest rate</t>
    <phoneticPr fontId="2" type="noConversion"/>
  </si>
  <si>
    <t>lapse rate</t>
    <phoneticPr fontId="2" type="noConversion"/>
  </si>
  <si>
    <r>
      <t>s</t>
    </r>
    <r>
      <rPr>
        <vertAlign val="subscript"/>
        <sz val="12"/>
        <rFont val="Times New Roman"/>
        <family val="1"/>
      </rPr>
      <t>x+m-1</t>
    </r>
    <phoneticPr fontId="2" type="noConversion"/>
  </si>
  <si>
    <r>
      <t>V</t>
    </r>
    <r>
      <rPr>
        <vertAlign val="superscript"/>
        <sz val="12"/>
        <rFont val="Times New Roman"/>
        <family val="1"/>
      </rPr>
      <t>(12)m+0.5</t>
    </r>
    <phoneticPr fontId="2" type="noConversion"/>
  </si>
  <si>
    <t>30+</t>
    <phoneticPr fontId="2" type="noConversion"/>
  </si>
  <si>
    <r>
      <t>l</t>
    </r>
    <r>
      <rPr>
        <vertAlign val="subscript"/>
        <sz val="12"/>
        <rFont val="Times New Roman"/>
        <family val="1"/>
      </rPr>
      <t>x+m-1</t>
    </r>
    <phoneticPr fontId="2" type="noConversion"/>
  </si>
  <si>
    <t>V</t>
    <phoneticPr fontId="2" type="noConversion"/>
  </si>
  <si>
    <t>Accumulated Inf</t>
    <phoneticPr fontId="2" type="noConversion"/>
  </si>
  <si>
    <t>(MOY)</t>
    <phoneticPr fontId="2" type="noConversion"/>
  </si>
  <si>
    <t>(EOY)</t>
    <phoneticPr fontId="2" type="noConversion"/>
  </si>
  <si>
    <r>
      <t>C</t>
    </r>
    <r>
      <rPr>
        <sz val="12"/>
        <rFont val="宋体"/>
        <family val="3"/>
        <charset val="134"/>
      </rPr>
      <t xml:space="preserve">IRC fees </t>
    </r>
    <phoneticPr fontId="2" type="noConversion"/>
  </si>
  <si>
    <r>
      <t>R</t>
    </r>
    <r>
      <rPr>
        <sz val="12"/>
        <rFont val="宋体"/>
        <family val="3"/>
        <charset val="134"/>
      </rPr>
      <t>e</t>
    </r>
    <r>
      <rPr>
        <sz val="12"/>
        <rFont val="宋体"/>
        <family val="3"/>
        <charset val="134"/>
      </rPr>
      <t>gulation Fees</t>
    </r>
    <phoneticPr fontId="2" type="noConversion"/>
  </si>
  <si>
    <t>bpp</t>
    <phoneticPr fontId="2" type="noConversion"/>
  </si>
  <si>
    <r>
      <t>I</t>
    </r>
    <r>
      <rPr>
        <sz val="9"/>
        <rFont val="宋体"/>
        <family val="3"/>
        <charset val="134"/>
      </rPr>
      <t>nitial Fees</t>
    </r>
    <phoneticPr fontId="2" type="noConversion"/>
  </si>
  <si>
    <t>AV</t>
    <phoneticPr fontId="2" type="noConversion"/>
  </si>
  <si>
    <t>EOY</t>
    <phoneticPr fontId="2" type="noConversion"/>
  </si>
  <si>
    <t>Credit Rate</t>
    <phoneticPr fontId="2" type="noConversion"/>
  </si>
  <si>
    <t>Death Benefit</t>
    <phoneticPr fontId="2" type="noConversion"/>
  </si>
  <si>
    <t>MB</t>
    <phoneticPr fontId="2" type="noConversion"/>
  </si>
  <si>
    <r>
      <t>H</t>
    </r>
    <r>
      <rPr>
        <sz val="12"/>
        <rFont val="宋体"/>
        <family val="3"/>
        <charset val="134"/>
      </rPr>
      <t>urdle Rate</t>
    </r>
    <phoneticPr fontId="2" type="noConversion"/>
  </si>
  <si>
    <r>
      <t>A</t>
    </r>
    <r>
      <rPr>
        <sz val="9"/>
        <rFont val="宋体"/>
        <family val="3"/>
        <charset val="134"/>
      </rPr>
      <t>V Management Fee</t>
    </r>
    <phoneticPr fontId="2" type="noConversion"/>
  </si>
  <si>
    <r>
      <t>P</t>
    </r>
    <r>
      <rPr>
        <sz val="12"/>
        <rFont val="宋体"/>
        <family val="3"/>
        <charset val="134"/>
      </rPr>
      <t>rofit Margin</t>
    </r>
    <phoneticPr fontId="2" type="noConversion"/>
  </si>
  <si>
    <t>t</t>
    <phoneticPr fontId="2" type="noConversion"/>
  </si>
  <si>
    <t>Age  (x)</t>
    <phoneticPr fontId="2" type="noConversion"/>
  </si>
  <si>
    <r>
      <t>A</t>
    </r>
    <r>
      <rPr>
        <sz val="12"/>
        <rFont val="宋体"/>
        <family val="3"/>
        <charset val="134"/>
      </rPr>
      <t xml:space="preserve">ge </t>
    </r>
    <phoneticPr fontId="2" type="noConversion"/>
  </si>
  <si>
    <r>
      <t>G</t>
    </r>
    <r>
      <rPr>
        <sz val="12"/>
        <rFont val="宋体"/>
        <family val="3"/>
        <charset val="134"/>
      </rPr>
      <t>ender</t>
    </r>
    <phoneticPr fontId="2" type="noConversion"/>
  </si>
  <si>
    <r>
      <t>H</t>
    </r>
    <r>
      <rPr>
        <sz val="12"/>
        <rFont val="宋体"/>
        <family val="3"/>
        <charset val="134"/>
      </rPr>
      <t xml:space="preserve">urdle Rate </t>
    </r>
    <phoneticPr fontId="2" type="noConversion"/>
  </si>
  <si>
    <r>
      <t>I</t>
    </r>
    <r>
      <rPr>
        <sz val="12"/>
        <rFont val="宋体"/>
        <family val="3"/>
        <charset val="134"/>
      </rPr>
      <t xml:space="preserve">nput </t>
    </r>
    <phoneticPr fontId="2" type="noConversion"/>
  </si>
  <si>
    <t>M</t>
    <phoneticPr fontId="2" type="noConversion"/>
  </si>
  <si>
    <t xml:space="preserve">Profit Margin </t>
    <phoneticPr fontId="2" type="noConversion"/>
  </si>
  <si>
    <r>
      <t>A</t>
    </r>
    <r>
      <rPr>
        <sz val="12"/>
        <rFont val="宋体"/>
        <family val="3"/>
        <charset val="134"/>
      </rPr>
      <t>ge</t>
    </r>
    <phoneticPr fontId="2" type="noConversion"/>
  </si>
  <si>
    <r>
      <t>S</t>
    </r>
    <r>
      <rPr>
        <sz val="12"/>
        <rFont val="宋体"/>
        <family val="3"/>
        <charset val="134"/>
      </rPr>
      <t>(t)</t>
    </r>
    <phoneticPr fontId="2" type="noConversion"/>
  </si>
  <si>
    <r>
      <t>F</t>
    </r>
    <r>
      <rPr>
        <sz val="12"/>
        <rFont val="宋体"/>
        <family val="3"/>
        <charset val="134"/>
      </rPr>
      <t>(t)</t>
    </r>
    <phoneticPr fontId="2" type="noConversion"/>
  </si>
  <si>
    <r>
      <t>O</t>
    </r>
    <r>
      <rPr>
        <sz val="12"/>
        <rFont val="宋体"/>
        <family val="3"/>
        <charset val="134"/>
      </rPr>
      <t xml:space="preserve">utPut </t>
    </r>
    <phoneticPr fontId="2" type="noConversion"/>
  </si>
  <si>
    <t>Total Cash Flow</t>
    <phoneticPr fontId="2" type="noConversion"/>
  </si>
  <si>
    <t>prem Per Person</t>
    <phoneticPr fontId="2" type="noConversion"/>
  </si>
  <si>
    <t xml:space="preserve"> </t>
    <phoneticPr fontId="2" type="noConversion"/>
  </si>
  <si>
    <t xml:space="preserve">Halton with base 3 </t>
    <phoneticPr fontId="2" type="noConversion"/>
  </si>
  <si>
    <r>
      <t>T</t>
    </r>
    <r>
      <rPr>
        <sz val="12"/>
        <rFont val="宋体"/>
        <family val="3"/>
        <charset val="134"/>
      </rPr>
      <t>ime</t>
    </r>
    <phoneticPr fontId="2" type="noConversion"/>
  </si>
  <si>
    <t>Expectation</t>
    <phoneticPr fontId="2" type="noConversion"/>
  </si>
  <si>
    <r>
      <t>R</t>
    </r>
    <r>
      <rPr>
        <sz val="12"/>
        <rFont val="宋体"/>
        <family val="3"/>
        <charset val="134"/>
      </rPr>
      <t>ate</t>
    </r>
    <phoneticPr fontId="2" type="noConversion"/>
  </si>
  <si>
    <t>Time</t>
    <phoneticPr fontId="2" type="noConversion"/>
  </si>
</sst>
</file>

<file path=xl/styles.xml><?xml version="1.0" encoding="utf-8"?>
<styleSheet xmlns="http://schemas.openxmlformats.org/spreadsheetml/2006/main">
  <numFmts count="14">
    <numFmt numFmtId="43" formatCode="_ * #,##0.00_ ;_ * \-#,##0.00_ ;_ * &quot;-&quot;??_ ;_ @_ "/>
    <numFmt numFmtId="176" formatCode="#,##0.000_);\(#,##0.000\)"/>
    <numFmt numFmtId="177" formatCode="0.000%"/>
    <numFmt numFmtId="178" formatCode="0.00_ "/>
    <numFmt numFmtId="179" formatCode="0.0%"/>
    <numFmt numFmtId="180" formatCode="0.000000"/>
    <numFmt numFmtId="181" formatCode="_ * #,##0_ ;_ * \-#,##0_ ;_ * &quot;-&quot;??_ ;_ @_ "/>
    <numFmt numFmtId="182" formatCode="0.00000_ "/>
    <numFmt numFmtId="183" formatCode="_ * #,##0.000_ ;_ * \-#,##0.000_ ;_ * &quot;-&quot;??_ ;_ @_ "/>
    <numFmt numFmtId="184" formatCode="_ * #,##0.0000_ ;_ * \-#,##0.0000_ ;_ * &quot;-&quot;??_ ;_ @_ "/>
    <numFmt numFmtId="185" formatCode="0.00000000_ "/>
    <numFmt numFmtId="186" formatCode="#,##0.00000_);\(#,##0.00000\)"/>
    <numFmt numFmtId="187" formatCode="0.00_);[Red]\(0.00\)"/>
    <numFmt numFmtId="188" formatCode="0.000_ "/>
  </numFmts>
  <fonts count="20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12"/>
      <name val="宋体"/>
      <family val="3"/>
      <charset val="134"/>
    </font>
    <font>
      <b/>
      <sz val="12"/>
      <name val="Times New Roman"/>
      <family val="1"/>
    </font>
    <font>
      <sz val="8"/>
      <color indexed="81"/>
      <name val="宋体"/>
      <family val="3"/>
      <charset val="134"/>
    </font>
    <font>
      <b/>
      <sz val="8"/>
      <color indexed="81"/>
      <name val="宋体"/>
      <family val="3"/>
      <charset val="134"/>
    </font>
    <font>
      <sz val="12"/>
      <color indexed="81"/>
      <name val="宋体"/>
      <family val="3"/>
      <charset val="134"/>
    </font>
    <font>
      <sz val="12"/>
      <color indexed="12"/>
      <name val="宋体"/>
      <family val="3"/>
      <charset val="134"/>
    </font>
    <font>
      <sz val="12"/>
      <color indexed="12"/>
      <name val="Times New Roman"/>
      <family val="1"/>
    </font>
    <font>
      <vertAlign val="subscript"/>
      <sz val="12"/>
      <name val="Times New Roman"/>
      <family val="1"/>
    </font>
    <font>
      <vertAlign val="superscript"/>
      <sz val="12"/>
      <name val="Times New Roman"/>
      <family val="1"/>
    </font>
    <font>
      <b/>
      <sz val="12"/>
      <name val="宋体"/>
      <family val="3"/>
      <charset val="134"/>
    </font>
    <font>
      <sz val="12"/>
      <name val="Arial"/>
      <family val="2"/>
    </font>
    <font>
      <b/>
      <sz val="12"/>
      <name val="Arial"/>
      <family val="2"/>
    </font>
    <font>
      <b/>
      <sz val="14"/>
      <name val="Times New Roman"/>
      <family val="1"/>
    </font>
    <font>
      <b/>
      <u/>
      <sz val="12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4" fillId="0" borderId="0"/>
    <xf numFmtId="43" fontId="1" fillId="0" borderId="0" applyFon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10" fontId="0" fillId="0" borderId="1" xfId="0" applyNumberFormat="1" applyBorder="1"/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right"/>
    </xf>
    <xf numFmtId="0" fontId="0" fillId="0" borderId="0" xfId="0" applyBorder="1"/>
    <xf numFmtId="0" fontId="3" fillId="0" borderId="2" xfId="0" applyFont="1" applyBorder="1"/>
    <xf numFmtId="10" fontId="0" fillId="0" borderId="0" xfId="1" applyNumberFormat="1" applyFont="1"/>
    <xf numFmtId="0" fontId="3" fillId="0" borderId="3" xfId="0" applyFont="1" applyBorder="1"/>
    <xf numFmtId="0" fontId="3" fillId="0" borderId="1" xfId="0" applyFont="1" applyBorder="1" applyAlignment="1">
      <alignment horizontal="left"/>
    </xf>
    <xf numFmtId="0" fontId="0" fillId="0" borderId="0" xfId="0" applyFill="1"/>
    <xf numFmtId="0" fontId="3" fillId="0" borderId="4" xfId="0" applyFont="1" applyBorder="1" applyAlignment="1">
      <alignment horizontal="centerContinuous"/>
    </xf>
    <xf numFmtId="0" fontId="3" fillId="0" borderId="5" xfId="0" applyFont="1" applyBorder="1" applyAlignment="1">
      <alignment horizontal="centerContinuous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76" fontId="3" fillId="0" borderId="0" xfId="0" applyNumberFormat="1" applyFont="1" applyFill="1" applyBorder="1"/>
    <xf numFmtId="176" fontId="3" fillId="0" borderId="10" xfId="0" applyNumberFormat="1" applyFont="1" applyFill="1" applyBorder="1"/>
    <xf numFmtId="176" fontId="3" fillId="0" borderId="7" xfId="0" applyNumberFormat="1" applyFont="1" applyFill="1" applyBorder="1"/>
    <xf numFmtId="176" fontId="3" fillId="0" borderId="8" xfId="0" applyNumberFormat="1" applyFont="1" applyFill="1" applyBorder="1"/>
    <xf numFmtId="176" fontId="3" fillId="0" borderId="11" xfId="0" applyNumberFormat="1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  <xf numFmtId="178" fontId="0" fillId="0" borderId="0" xfId="0" applyNumberFormat="1"/>
    <xf numFmtId="0" fontId="3" fillId="0" borderId="1" xfId="0" applyFont="1" applyBorder="1" applyAlignment="1">
      <alignment horizontal="center"/>
    </xf>
    <xf numFmtId="0" fontId="0" fillId="0" borderId="1" xfId="0" applyFill="1" applyBorder="1"/>
    <xf numFmtId="0" fontId="3" fillId="0" borderId="1" xfId="0" applyFont="1" applyBorder="1" applyAlignment="1">
      <alignment horizontal="center" wrapText="1"/>
    </xf>
    <xf numFmtId="0" fontId="14" fillId="0" borderId="0" xfId="2"/>
    <xf numFmtId="180" fontId="0" fillId="0" borderId="0" xfId="0" applyNumberFormat="1"/>
    <xf numFmtId="181" fontId="0" fillId="0" borderId="0" xfId="3" applyNumberFormat="1" applyFont="1"/>
    <xf numFmtId="43" fontId="0" fillId="3" borderId="0" xfId="3" applyFont="1" applyFill="1"/>
    <xf numFmtId="182" fontId="0" fillId="0" borderId="0" xfId="0" applyNumberFormat="1"/>
    <xf numFmtId="43" fontId="0" fillId="0" borderId="0" xfId="3" applyFont="1"/>
    <xf numFmtId="0" fontId="4" fillId="2" borderId="17" xfId="0" applyFont="1" applyFill="1" applyBorder="1" applyAlignment="1">
      <alignment horizontal="right"/>
    </xf>
    <xf numFmtId="0" fontId="4" fillId="2" borderId="17" xfId="0" applyFont="1" applyFill="1" applyBorder="1"/>
    <xf numFmtId="0" fontId="5" fillId="2" borderId="0" xfId="0" applyFont="1" applyFill="1"/>
    <xf numFmtId="0" fontId="13" fillId="2" borderId="0" xfId="0" applyFont="1" applyFill="1"/>
    <xf numFmtId="0" fontId="5" fillId="2" borderId="1" xfId="0" applyFont="1" applyFill="1" applyBorder="1"/>
    <xf numFmtId="0" fontId="13" fillId="2" borderId="1" xfId="0" applyFont="1" applyFill="1" applyBorder="1"/>
    <xf numFmtId="0" fontId="0" fillId="0" borderId="3" xfId="0" applyBorder="1"/>
    <xf numFmtId="9" fontId="0" fillId="0" borderId="1" xfId="0" applyNumberFormat="1" applyBorder="1"/>
    <xf numFmtId="177" fontId="0" fillId="0" borderId="1" xfId="0" applyNumberFormat="1" applyBorder="1"/>
    <xf numFmtId="10" fontId="0" fillId="0" borderId="1" xfId="1" applyNumberFormat="1" applyFont="1" applyBorder="1" applyAlignment="1">
      <alignment wrapText="1"/>
    </xf>
    <xf numFmtId="0" fontId="17" fillId="0" borderId="0" xfId="2" applyFont="1"/>
    <xf numFmtId="0" fontId="0" fillId="3" borderId="0" xfId="0" applyFill="1"/>
    <xf numFmtId="179" fontId="9" fillId="4" borderId="1" xfId="0" applyNumberFormat="1" applyFont="1" applyFill="1" applyBorder="1" applyProtection="1">
      <protection locked="0"/>
    </xf>
    <xf numFmtId="10" fontId="9" fillId="4" borderId="1" xfId="0" applyNumberFormat="1" applyFont="1" applyFill="1" applyBorder="1" applyProtection="1">
      <protection locked="0"/>
    </xf>
    <xf numFmtId="177" fontId="9" fillId="4" borderId="1" xfId="0" applyNumberFormat="1" applyFont="1" applyFill="1" applyBorder="1" applyProtection="1">
      <protection locked="0"/>
    </xf>
    <xf numFmtId="9" fontId="9" fillId="4" borderId="1" xfId="0" applyNumberFormat="1" applyFont="1" applyFill="1" applyBorder="1" applyProtection="1">
      <protection locked="0"/>
    </xf>
    <xf numFmtId="9" fontId="10" fillId="4" borderId="1" xfId="0" applyNumberFormat="1" applyFont="1" applyFill="1" applyBorder="1" applyAlignment="1" applyProtection="1">
      <alignment horizontal="right"/>
      <protection locked="0"/>
    </xf>
    <xf numFmtId="178" fontId="0" fillId="3" borderId="0" xfId="0" applyNumberFormat="1" applyFill="1"/>
    <xf numFmtId="180" fontId="0" fillId="0" borderId="0" xfId="0" applyNumberFormat="1" applyFill="1"/>
    <xf numFmtId="43" fontId="0" fillId="0" borderId="0" xfId="3" applyFont="1" applyFill="1"/>
    <xf numFmtId="10" fontId="9" fillId="4" borderId="1" xfId="1" applyNumberFormat="1" applyFont="1" applyFill="1" applyBorder="1" applyProtection="1">
      <protection locked="0"/>
    </xf>
    <xf numFmtId="10" fontId="4" fillId="0" borderId="1" xfId="1" applyNumberFormat="1" applyFont="1" applyBorder="1" applyProtection="1">
      <protection locked="0"/>
    </xf>
    <xf numFmtId="184" fontId="0" fillId="0" borderId="0" xfId="3" applyNumberFormat="1" applyFont="1"/>
    <xf numFmtId="0" fontId="3" fillId="0" borderId="0" xfId="0" applyFont="1" applyBorder="1" applyAlignment="1">
      <alignment horizontal="center" wrapText="1"/>
    </xf>
    <xf numFmtId="10" fontId="4" fillId="0" borderId="0" xfId="1" applyNumberFormat="1" applyFont="1" applyBorder="1" applyProtection="1">
      <protection locked="0"/>
    </xf>
    <xf numFmtId="0" fontId="13" fillId="0" borderId="0" xfId="0" applyFont="1" applyFill="1"/>
    <xf numFmtId="10" fontId="9" fillId="0" borderId="0" xfId="1" applyNumberFormat="1" applyFont="1" applyFill="1" applyBorder="1" applyProtection="1">
      <protection locked="0"/>
    </xf>
    <xf numFmtId="178" fontId="0" fillId="0" borderId="0" xfId="0" applyNumberFormat="1" applyFill="1"/>
    <xf numFmtId="0" fontId="4" fillId="0" borderId="0" xfId="0" applyFont="1" applyBorder="1"/>
    <xf numFmtId="43" fontId="3" fillId="0" borderId="0" xfId="3" applyFont="1" applyBorder="1"/>
    <xf numFmtId="0" fontId="3" fillId="5" borderId="0" xfId="0" applyFont="1" applyFill="1" applyAlignment="1">
      <alignment horizontal="center" wrapText="1"/>
    </xf>
    <xf numFmtId="182" fontId="0" fillId="3" borderId="0" xfId="0" applyNumberFormat="1" applyFill="1"/>
    <xf numFmtId="0" fontId="4" fillId="2" borderId="16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0" fontId="0" fillId="6" borderId="0" xfId="1" applyNumberFormat="1" applyFont="1" applyFill="1"/>
    <xf numFmtId="0" fontId="0" fillId="6" borderId="0" xfId="0" applyFill="1"/>
    <xf numFmtId="182" fontId="0" fillId="0" borderId="0" xfId="0" applyNumberFormat="1" applyFill="1"/>
    <xf numFmtId="10" fontId="0" fillId="0" borderId="0" xfId="1" applyNumberFormat="1" applyFont="1" applyFill="1"/>
    <xf numFmtId="0" fontId="3" fillId="8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3" borderId="0" xfId="0" applyFont="1" applyFill="1" applyAlignment="1">
      <alignment horizontal="center" wrapText="1"/>
    </xf>
    <xf numFmtId="43" fontId="3" fillId="0" borderId="0" xfId="3" applyFont="1" applyBorder="1" applyAlignment="1">
      <alignment horizontal="center"/>
    </xf>
    <xf numFmtId="43" fontId="3" fillId="0" borderId="0" xfId="3" quotePrefix="1" applyFont="1" applyBorder="1" applyAlignment="1">
      <alignment horizontal="center"/>
    </xf>
    <xf numFmtId="183" fontId="0" fillId="0" borderId="0" xfId="3" applyNumberFormat="1" applyFont="1" applyFill="1"/>
    <xf numFmtId="181" fontId="4" fillId="3" borderId="17" xfId="3" applyNumberFormat="1" applyFont="1" applyFill="1" applyBorder="1" applyProtection="1"/>
    <xf numFmtId="0" fontId="3" fillId="4" borderId="1" xfId="0" applyFont="1" applyFill="1" applyBorder="1" applyAlignment="1">
      <alignment horizontal="center"/>
    </xf>
    <xf numFmtId="43" fontId="9" fillId="7" borderId="1" xfId="3" applyFont="1" applyFill="1" applyBorder="1" applyProtection="1">
      <protection locked="0"/>
    </xf>
    <xf numFmtId="43" fontId="9" fillId="4" borderId="1" xfId="3" applyFont="1" applyFill="1" applyBorder="1" applyProtection="1">
      <protection locked="0"/>
    </xf>
    <xf numFmtId="184" fontId="0" fillId="3" borderId="0" xfId="3" applyNumberFormat="1" applyFont="1" applyFill="1"/>
    <xf numFmtId="0" fontId="16" fillId="2" borderId="21" xfId="0" applyFont="1" applyFill="1" applyBorder="1" applyAlignment="1">
      <alignment horizontal="center"/>
    </xf>
    <xf numFmtId="185" fontId="0" fillId="0" borderId="0" xfId="0" applyNumberFormat="1"/>
    <xf numFmtId="0" fontId="18" fillId="0" borderId="0" xfId="0" applyFont="1" applyBorder="1" applyAlignment="1">
      <alignment horizontal="center" wrapText="1"/>
    </xf>
    <xf numFmtId="0" fontId="18" fillId="2" borderId="17" xfId="0" applyFont="1" applyFill="1" applyBorder="1" applyAlignment="1">
      <alignment horizontal="right"/>
    </xf>
    <xf numFmtId="0" fontId="16" fillId="2" borderId="19" xfId="0" applyFont="1" applyFill="1" applyBorder="1" applyAlignment="1">
      <alignment horizontal="left"/>
    </xf>
    <xf numFmtId="0" fontId="16" fillId="2" borderId="20" xfId="0" applyFont="1" applyFill="1" applyBorder="1" applyAlignment="1">
      <alignment horizontal="left"/>
    </xf>
    <xf numFmtId="0" fontId="15" fillId="2" borderId="15" xfId="0" applyFont="1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15" fillId="2" borderId="13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5" fillId="2" borderId="13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0" fontId="0" fillId="0" borderId="0" xfId="0" applyNumberFormat="1" applyBorder="1"/>
    <xf numFmtId="9" fontId="0" fillId="0" borderId="0" xfId="0" applyNumberFormat="1" applyBorder="1"/>
    <xf numFmtId="177" fontId="0" fillId="0" borderId="0" xfId="0" applyNumberFormat="1" applyBorder="1"/>
    <xf numFmtId="0" fontId="19" fillId="0" borderId="1" xfId="0" applyFont="1" applyBorder="1"/>
    <xf numFmtId="0" fontId="0" fillId="0" borderId="2" xfId="0" applyBorder="1"/>
    <xf numFmtId="0" fontId="3" fillId="9" borderId="0" xfId="0" applyFont="1" applyFill="1" applyAlignment="1">
      <alignment horizontal="center" wrapText="1"/>
    </xf>
    <xf numFmtId="0" fontId="15" fillId="2" borderId="22" xfId="0" applyFont="1" applyFill="1" applyBorder="1" applyAlignment="1">
      <alignment horizontal="left"/>
    </xf>
    <xf numFmtId="0" fontId="0" fillId="2" borderId="23" xfId="0" applyFill="1" applyBorder="1" applyAlignment="1">
      <alignment horizontal="left"/>
    </xf>
    <xf numFmtId="0" fontId="4" fillId="2" borderId="18" xfId="3" applyNumberFormat="1" applyFont="1" applyFill="1" applyBorder="1" applyProtection="1"/>
    <xf numFmtId="0" fontId="18" fillId="0" borderId="24" xfId="0" applyFont="1" applyBorder="1" applyAlignment="1">
      <alignment horizontal="left"/>
    </xf>
    <xf numFmtId="0" fontId="0" fillId="0" borderId="25" xfId="0" applyBorder="1" applyAlignment="1">
      <alignment horizontal="left"/>
    </xf>
    <xf numFmtId="10" fontId="0" fillId="0" borderId="14" xfId="0" applyNumberFormat="1" applyBorder="1"/>
    <xf numFmtId="0" fontId="18" fillId="0" borderId="0" xfId="0" applyFont="1"/>
    <xf numFmtId="0" fontId="14" fillId="0" borderId="0" xfId="2" applyAlignment="1">
      <alignment horizontal="center"/>
    </xf>
    <xf numFmtId="186" fontId="3" fillId="0" borderId="0" xfId="0" applyNumberFormat="1" applyFont="1" applyFill="1" applyBorder="1" applyAlignment="1">
      <alignment horizontal="center"/>
    </xf>
    <xf numFmtId="186" fontId="3" fillId="0" borderId="7" xfId="0" applyNumberFormat="1" applyFont="1" applyFill="1" applyBorder="1" applyAlignment="1">
      <alignment horizontal="center"/>
    </xf>
    <xf numFmtId="0" fontId="1" fillId="0" borderId="0" xfId="0" applyFont="1"/>
    <xf numFmtId="0" fontId="1" fillId="10" borderId="0" xfId="0" applyFont="1" applyFill="1"/>
    <xf numFmtId="0" fontId="0" fillId="0" borderId="0" xfId="0" applyAlignment="1">
      <alignment horizontal="right"/>
    </xf>
    <xf numFmtId="10" fontId="9" fillId="11" borderId="1" xfId="1" applyNumberFormat="1" applyFont="1" applyFill="1" applyBorder="1" applyProtection="1">
      <protection locked="0"/>
    </xf>
    <xf numFmtId="10" fontId="4" fillId="11" borderId="1" xfId="1" applyNumberFormat="1" applyFont="1" applyFill="1" applyBorder="1" applyProtection="1">
      <protection locked="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0" fillId="0" borderId="0" xfId="0" applyNumberFormat="1"/>
    <xf numFmtId="0" fontId="1" fillId="11" borderId="0" xfId="0" applyFont="1" applyFill="1" applyAlignment="1">
      <alignment horizontal="right"/>
    </xf>
    <xf numFmtId="10" fontId="0" fillId="11" borderId="0" xfId="0" applyNumberFormat="1" applyFill="1" applyAlignment="1">
      <alignment horizontal="right"/>
    </xf>
    <xf numFmtId="0" fontId="0" fillId="11" borderId="0" xfId="0" applyFill="1"/>
    <xf numFmtId="187" fontId="0" fillId="0" borderId="0" xfId="1" applyNumberFormat="1" applyFont="1"/>
    <xf numFmtId="188" fontId="1" fillId="0" borderId="0" xfId="0" applyNumberFormat="1" applyFo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88" fontId="1" fillId="0" borderId="1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</cellXfs>
  <cellStyles count="4">
    <cellStyle name="百分比" xfId="1" builtinId="5"/>
    <cellStyle name="常规" xfId="0" builtinId="0"/>
    <cellStyle name="常规_mort_proj_example-1" xfId="2"/>
    <cellStyle name="千位分隔" xfId="3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2.8101970679079557E-2"/>
          <c:y val="1.9010964750901464E-2"/>
          <c:w val="0.94351112280630656"/>
          <c:h val="0.88220706533304949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'Mort Tables'!$J$6:$J$111</c:f>
            </c:numRef>
          </c:xVal>
          <c:yVal>
            <c:numRef>
              <c:f>'Mort Tables'!$P$6:$P$111</c:f>
            </c:numRef>
          </c:yVal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'Mort Tables'!$J$6:$J$111</c:f>
            </c:numRef>
          </c:xVal>
          <c:yVal>
            <c:numRef>
              <c:f>'Mort Tables'!$T$6:$T$112</c:f>
            </c:numRef>
          </c:yVal>
        </c:ser>
        <c:axId val="109663360"/>
        <c:axId val="109664896"/>
      </c:scatterChart>
      <c:valAx>
        <c:axId val="109663360"/>
        <c:scaling>
          <c:orientation val="minMax"/>
        </c:scaling>
        <c:axPos val="b"/>
        <c:numFmt formatCode="General" sourceLinked="1"/>
        <c:tickLblPos val="nextTo"/>
        <c:crossAx val="109664896"/>
        <c:crosses val="autoZero"/>
        <c:crossBetween val="midCat"/>
      </c:valAx>
      <c:valAx>
        <c:axId val="109664896"/>
        <c:scaling>
          <c:orientation val="minMax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109663360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2</xdr:row>
      <xdr:rowOff>139700</xdr:rowOff>
    </xdr:from>
    <xdr:to>
      <xdr:col>28</xdr:col>
      <xdr:colOff>76200</xdr:colOff>
      <xdr:row>22</xdr:row>
      <xdr:rowOff>152400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rt_proj_example-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ojected Mort"/>
      <sheetName val="Mort Tables"/>
      <sheetName val="Scale Tables"/>
    </sheetNames>
    <sheetDataSet>
      <sheetData sheetId="0"/>
      <sheetData sheetId="1">
        <row r="5">
          <cell r="A5" t="str">
            <v>A2000</v>
          </cell>
          <cell r="B5">
            <v>2000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tabSelected="1" workbookViewId="0">
      <selection activeCell="J7" sqref="J7"/>
    </sheetView>
  </sheetViews>
  <sheetFormatPr defaultRowHeight="14.25"/>
  <cols>
    <col min="1" max="1" width="16.5" customWidth="1"/>
    <col min="2" max="2" width="10.5" bestFit="1" customWidth="1"/>
  </cols>
  <sheetData>
    <row r="1" spans="1:2">
      <c r="A1" s="115" t="s">
        <v>71</v>
      </c>
      <c r="B1" s="116"/>
    </row>
    <row r="2" spans="1:2">
      <c r="B2" s="116"/>
    </row>
    <row r="3" spans="1:2">
      <c r="A3" s="114" t="s">
        <v>68</v>
      </c>
      <c r="B3" s="123">
        <v>60</v>
      </c>
    </row>
    <row r="4" spans="1:2">
      <c r="A4" s="114" t="s">
        <v>69</v>
      </c>
      <c r="B4" s="123" t="s">
        <v>72</v>
      </c>
    </row>
    <row r="5" spans="1:2">
      <c r="A5" s="114" t="s">
        <v>70</v>
      </c>
      <c r="B5" s="124">
        <v>2.5000000000000001E-2</v>
      </c>
    </row>
    <row r="6" spans="1:2">
      <c r="A6" s="114" t="s">
        <v>79</v>
      </c>
      <c r="B6" s="125">
        <v>10000</v>
      </c>
    </row>
    <row r="7" spans="1:2">
      <c r="A7" s="114"/>
    </row>
    <row r="8" spans="1:2">
      <c r="B8" s="116"/>
    </row>
    <row r="9" spans="1:2">
      <c r="A9" s="115" t="s">
        <v>77</v>
      </c>
      <c r="B9" s="116"/>
    </row>
    <row r="10" spans="1:2">
      <c r="B10" s="116"/>
    </row>
    <row r="11" spans="1:2">
      <c r="A11" s="114" t="s">
        <v>73</v>
      </c>
      <c r="B11" s="124">
        <f>Asset!W10</f>
        <v>2.1135356267344089E-2</v>
      </c>
    </row>
    <row r="12" spans="1:2">
      <c r="B12" s="116"/>
    </row>
    <row r="13" spans="1:2">
      <c r="B13" s="116"/>
    </row>
  </sheetData>
  <phoneticPr fontId="2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AD1395"/>
  <sheetViews>
    <sheetView topLeftCell="T1" zoomScale="75" workbookViewId="0">
      <selection activeCell="AA16" sqref="AA16:AA25"/>
    </sheetView>
  </sheetViews>
  <sheetFormatPr defaultRowHeight="14.25"/>
  <cols>
    <col min="1" max="1" width="17.375" customWidth="1"/>
    <col min="2" max="2" width="12.125" customWidth="1"/>
    <col min="3" max="3" width="13" customWidth="1"/>
    <col min="4" max="4" width="9.375" customWidth="1"/>
    <col min="5" max="5" width="12.75" customWidth="1"/>
    <col min="6" max="6" width="14.375" customWidth="1"/>
    <col min="7" max="7" width="16.375" customWidth="1"/>
    <col min="8" max="8" width="10.5" customWidth="1"/>
    <col min="9" max="9" width="9.875" customWidth="1"/>
    <col min="10" max="10" width="11.5" customWidth="1"/>
    <col min="11" max="11" width="14.5" bestFit="1" customWidth="1"/>
    <col min="12" max="12" width="14.5" customWidth="1"/>
    <col min="13" max="13" width="12.125" bestFit="1" customWidth="1"/>
    <col min="14" max="14" width="14.25" customWidth="1"/>
    <col min="15" max="15" width="12.125" style="12" customWidth="1"/>
    <col min="16" max="16" width="14.625" style="12" customWidth="1"/>
    <col min="17" max="17" width="14.75" customWidth="1"/>
    <col min="18" max="18" width="14.5" bestFit="1" customWidth="1"/>
    <col min="19" max="19" width="14.5" customWidth="1"/>
    <col min="20" max="20" width="12.125" customWidth="1"/>
    <col min="21" max="21" width="13.875" customWidth="1"/>
    <col min="22" max="22" width="15" customWidth="1"/>
    <col min="23" max="25" width="14.5" customWidth="1"/>
    <col min="26" max="26" width="11" bestFit="1" customWidth="1"/>
    <col min="27" max="28" width="12.625" customWidth="1"/>
  </cols>
  <sheetData>
    <row r="1" spans="1:29" ht="15" thickBot="1">
      <c r="O1"/>
      <c r="P1"/>
    </row>
    <row r="2" spans="1:29" ht="19.5" thickBot="1">
      <c r="A2" s="90" t="s">
        <v>42</v>
      </c>
      <c r="B2" s="91"/>
      <c r="C2" s="86"/>
      <c r="E2" s="39" t="s">
        <v>41</v>
      </c>
      <c r="F2" s="40"/>
      <c r="G2" s="62"/>
      <c r="H2" s="41" t="s">
        <v>43</v>
      </c>
      <c r="I2" s="42"/>
      <c r="J2" s="43"/>
      <c r="O2"/>
      <c r="P2"/>
    </row>
    <row r="3" spans="1:29" ht="15.75">
      <c r="A3" s="92" t="s">
        <v>67</v>
      </c>
      <c r="B3" s="93"/>
      <c r="C3" s="69">
        <f>age</f>
        <v>60</v>
      </c>
      <c r="E3" s="28" t="s">
        <v>24</v>
      </c>
      <c r="F3" s="30" t="s">
        <v>44</v>
      </c>
      <c r="G3" s="60"/>
      <c r="H3" s="2" t="s">
        <v>19</v>
      </c>
      <c r="I3" s="2" t="s">
        <v>12</v>
      </c>
      <c r="J3" s="84">
        <v>10</v>
      </c>
      <c r="K3" s="4"/>
      <c r="L3" s="4"/>
      <c r="M3" s="11" t="s">
        <v>16</v>
      </c>
      <c r="N3" s="52">
        <v>0</v>
      </c>
      <c r="O3" s="44"/>
      <c r="P3"/>
      <c r="Q3" s="28" t="s">
        <v>24</v>
      </c>
      <c r="R3" s="30" t="s">
        <v>45</v>
      </c>
      <c r="T3" s="28" t="s">
        <v>24</v>
      </c>
      <c r="U3" s="30" t="s">
        <v>60</v>
      </c>
      <c r="Y3" s="98"/>
    </row>
    <row r="4" spans="1:29" ht="15.75">
      <c r="A4" s="94" t="s">
        <v>38</v>
      </c>
      <c r="B4" s="95"/>
      <c r="C4" s="89" t="str">
        <f>Gender</f>
        <v>M</v>
      </c>
      <c r="E4" s="3">
        <v>1</v>
      </c>
      <c r="F4" s="117">
        <v>4.2999999999999997E-2</v>
      </c>
      <c r="G4" s="63"/>
      <c r="H4" s="3"/>
      <c r="I4" s="2" t="s">
        <v>13</v>
      </c>
      <c r="J4" s="49">
        <v>0</v>
      </c>
      <c r="K4" s="44"/>
      <c r="L4" s="44"/>
      <c r="M4" s="2" t="s">
        <v>17</v>
      </c>
      <c r="N4" s="52">
        <v>0.33</v>
      </c>
      <c r="O4" s="3"/>
      <c r="P4"/>
      <c r="Q4" s="3">
        <v>1</v>
      </c>
      <c r="R4" s="57">
        <v>0</v>
      </c>
      <c r="T4" s="3">
        <v>1</v>
      </c>
      <c r="U4" s="57">
        <v>0.03</v>
      </c>
      <c r="Y4" s="99"/>
    </row>
    <row r="5" spans="1:29" ht="15.75">
      <c r="A5" s="94" t="s">
        <v>39</v>
      </c>
      <c r="B5" s="95"/>
      <c r="C5" s="37">
        <v>10</v>
      </c>
      <c r="E5" s="3">
        <v>2</v>
      </c>
      <c r="F5" s="117">
        <v>4.4499999999999998E-2</v>
      </c>
      <c r="G5" s="61"/>
      <c r="H5" s="2" t="s">
        <v>14</v>
      </c>
      <c r="I5" s="2" t="s">
        <v>12</v>
      </c>
      <c r="J5" s="83">
        <v>20</v>
      </c>
      <c r="K5" s="3"/>
      <c r="L5" s="102"/>
      <c r="M5" s="8" t="s">
        <v>18</v>
      </c>
      <c r="N5" s="53">
        <v>2.5000000000000001E-2</v>
      </c>
      <c r="O5" s="46">
        <f>(1+N5)^(1/12)-1</f>
        <v>2.0598362698427408E-3</v>
      </c>
      <c r="P5"/>
      <c r="Q5" s="3">
        <v>2</v>
      </c>
      <c r="R5" s="58">
        <f>+R4</f>
        <v>0</v>
      </c>
      <c r="Y5" s="7"/>
    </row>
    <row r="6" spans="1:29" ht="15.75">
      <c r="A6" s="94" t="s">
        <v>56</v>
      </c>
      <c r="B6" s="95"/>
      <c r="C6" s="38">
        <v>10</v>
      </c>
      <c r="E6" s="3">
        <v>3</v>
      </c>
      <c r="F6" s="117">
        <v>4.5999999999999999E-2</v>
      </c>
      <c r="G6" s="61"/>
      <c r="H6" s="3"/>
      <c r="I6" s="2" t="s">
        <v>21</v>
      </c>
      <c r="J6" s="50">
        <v>5.0000000000000001E-3</v>
      </c>
      <c r="K6" s="4"/>
      <c r="L6" s="98"/>
      <c r="O6"/>
      <c r="P6"/>
      <c r="Q6" s="3">
        <v>3</v>
      </c>
      <c r="R6" s="58">
        <f>+R5</f>
        <v>0</v>
      </c>
      <c r="Y6" s="98"/>
    </row>
    <row r="7" spans="1:29" ht="16.5" thickBot="1">
      <c r="A7" s="96" t="s">
        <v>27</v>
      </c>
      <c r="B7" s="95"/>
      <c r="C7" s="81">
        <f>Prem</f>
        <v>10000</v>
      </c>
      <c r="E7" s="3">
        <v>4</v>
      </c>
      <c r="F7" s="117">
        <v>4.7500000000000001E-2</v>
      </c>
      <c r="G7" s="61"/>
      <c r="H7" s="2" t="s">
        <v>15</v>
      </c>
      <c r="I7" s="3"/>
      <c r="J7" s="51">
        <v>4.2000000000000003E-2</v>
      </c>
      <c r="K7" s="45">
        <v>0</v>
      </c>
      <c r="L7" s="100"/>
      <c r="O7"/>
      <c r="P7"/>
      <c r="Q7" s="3">
        <v>4</v>
      </c>
      <c r="R7" s="58">
        <f>+R6</f>
        <v>0</v>
      </c>
      <c r="Y7" s="100"/>
    </row>
    <row r="8" spans="1:29" ht="15.75">
      <c r="A8" s="104" t="s">
        <v>61</v>
      </c>
      <c r="B8" s="105"/>
      <c r="C8" s="106">
        <f>Dben</f>
        <v>0</v>
      </c>
      <c r="E8" s="29">
        <v>5</v>
      </c>
      <c r="F8" s="118">
        <f>+F7</f>
        <v>4.7500000000000001E-2</v>
      </c>
      <c r="G8" s="61"/>
      <c r="H8" s="3" t="s">
        <v>54</v>
      </c>
      <c r="I8" s="3"/>
      <c r="J8" s="50">
        <v>2.7000000000000001E-3</v>
      </c>
      <c r="K8" s="4"/>
      <c r="L8" s="98"/>
      <c r="O8"/>
      <c r="P8"/>
      <c r="Q8" s="29">
        <v>5</v>
      </c>
      <c r="R8" s="58">
        <f>+R7</f>
        <v>0</v>
      </c>
      <c r="Y8" s="98"/>
    </row>
    <row r="9" spans="1:29" ht="16.5" customHeight="1" thickBot="1">
      <c r="A9" s="107" t="s">
        <v>63</v>
      </c>
      <c r="B9" s="108"/>
      <c r="C9" s="109">
        <f>H_rate</f>
        <v>2.5000000000000001E-2</v>
      </c>
      <c r="E9" s="3">
        <v>6</v>
      </c>
      <c r="F9" s="118">
        <f>+F8</f>
        <v>4.7500000000000001E-2</v>
      </c>
      <c r="G9" s="61"/>
      <c r="H9" s="101" t="s">
        <v>57</v>
      </c>
      <c r="I9" s="3"/>
      <c r="J9" s="49">
        <v>0.05</v>
      </c>
      <c r="K9" s="44"/>
      <c r="L9" s="99"/>
      <c r="O9"/>
      <c r="P9"/>
      <c r="Q9" s="3">
        <v>6</v>
      </c>
      <c r="R9" s="58">
        <f>+R8</f>
        <v>0</v>
      </c>
      <c r="Y9" s="99"/>
    </row>
    <row r="10" spans="1:29" ht="19.5" customHeight="1">
      <c r="A10" s="97"/>
      <c r="B10" s="97"/>
      <c r="E10" s="82" t="s">
        <v>48</v>
      </c>
      <c r="F10" s="57">
        <v>0.03</v>
      </c>
      <c r="G10" s="61"/>
      <c r="H10" s="101" t="s">
        <v>64</v>
      </c>
      <c r="I10" s="3"/>
      <c r="J10" s="49">
        <v>0</v>
      </c>
      <c r="K10" s="44"/>
      <c r="L10" s="99"/>
      <c r="O10"/>
      <c r="P10"/>
      <c r="V10" s="110" t="s">
        <v>65</v>
      </c>
      <c r="W10" s="9">
        <f>AA10/(C7*2000)</f>
        <v>2.1135356267344089E-2</v>
      </c>
      <c r="Y10" s="99"/>
      <c r="AA10" s="66">
        <f>SUMPRODUCT(V15:V134,AA16:AA135)</f>
        <v>422707.12534688174</v>
      </c>
    </row>
    <row r="11" spans="1:29" ht="19.5" customHeight="1">
      <c r="A11" s="97"/>
      <c r="B11" s="97"/>
      <c r="O11"/>
      <c r="P11"/>
    </row>
    <row r="12" spans="1:29" ht="15.75">
      <c r="I12" s="66"/>
      <c r="K12" s="66"/>
      <c r="L12" s="66"/>
      <c r="M12" s="66"/>
      <c r="O12" s="66"/>
      <c r="P12" s="66"/>
      <c r="Q12" s="66"/>
      <c r="R12" s="66"/>
      <c r="S12" s="66">
        <f>SUM(S16:S135)</f>
        <v>1108.5472503790916</v>
      </c>
      <c r="T12" s="66"/>
      <c r="U12" s="66"/>
      <c r="W12" s="66">
        <f>SUMPRODUCT(U16:U135,W16:W135)</f>
        <v>0</v>
      </c>
      <c r="X12" s="66"/>
      <c r="Y12" s="66"/>
      <c r="AA12" s="70"/>
      <c r="AB12" s="6"/>
    </row>
    <row r="13" spans="1:29" ht="15.75">
      <c r="D13" s="65"/>
      <c r="H13" s="66"/>
      <c r="J13" s="66"/>
      <c r="K13" s="66"/>
      <c r="L13" s="66"/>
      <c r="M13" s="78" t="s">
        <v>52</v>
      </c>
      <c r="N13" s="79" t="s">
        <v>53</v>
      </c>
      <c r="O13" s="66"/>
      <c r="P13" s="66"/>
      <c r="Q13" s="66"/>
      <c r="R13" s="66"/>
      <c r="S13" s="66"/>
      <c r="T13" s="66"/>
      <c r="U13" s="66"/>
      <c r="V13" s="66"/>
      <c r="W13" s="66"/>
      <c r="Y13" s="66" t="s">
        <v>59</v>
      </c>
      <c r="AA13" s="70" t="s">
        <v>78</v>
      </c>
      <c r="AB13" s="6"/>
    </row>
    <row r="14" spans="1:29" ht="33">
      <c r="A14" s="5" t="s">
        <v>24</v>
      </c>
      <c r="B14" s="5" t="s">
        <v>23</v>
      </c>
      <c r="C14" s="5" t="s">
        <v>25</v>
      </c>
      <c r="D14" s="5" t="s">
        <v>46</v>
      </c>
      <c r="E14" s="5" t="s">
        <v>49</v>
      </c>
      <c r="F14" s="67" t="s">
        <v>27</v>
      </c>
      <c r="G14" s="88" t="s">
        <v>55</v>
      </c>
      <c r="H14" s="25" t="s">
        <v>28</v>
      </c>
      <c r="I14" s="24" t="s">
        <v>29</v>
      </c>
      <c r="J14" s="25" t="s">
        <v>30</v>
      </c>
      <c r="K14" s="25" t="s">
        <v>31</v>
      </c>
      <c r="L14" s="103" t="s">
        <v>62</v>
      </c>
      <c r="M14" s="67" t="s">
        <v>26</v>
      </c>
      <c r="N14" s="67" t="s">
        <v>20</v>
      </c>
      <c r="O14" s="67" t="s">
        <v>37</v>
      </c>
      <c r="P14" s="24" t="s">
        <v>35</v>
      </c>
      <c r="Q14" s="24" t="s">
        <v>32</v>
      </c>
      <c r="R14" s="25" t="s">
        <v>33</v>
      </c>
      <c r="S14" s="75" t="s">
        <v>34</v>
      </c>
      <c r="T14" s="76" t="s">
        <v>40</v>
      </c>
      <c r="U14" s="24" t="s">
        <v>36</v>
      </c>
      <c r="V14" s="25" t="s">
        <v>50</v>
      </c>
      <c r="W14" s="25" t="s">
        <v>47</v>
      </c>
      <c r="X14" s="77" t="s">
        <v>51</v>
      </c>
      <c r="Y14" s="25" t="s">
        <v>58</v>
      </c>
      <c r="Z14" s="25"/>
      <c r="AA14" s="70"/>
    </row>
    <row r="15" spans="1:29" ht="15.75">
      <c r="A15" s="5"/>
      <c r="B15" s="5"/>
      <c r="C15" s="5"/>
      <c r="D15" s="5"/>
      <c r="E15" s="35">
        <v>1</v>
      </c>
      <c r="F15" s="26"/>
      <c r="G15" s="26"/>
      <c r="O15" s="27">
        <v>0</v>
      </c>
      <c r="P15"/>
      <c r="V15" s="59">
        <v>1</v>
      </c>
      <c r="W15" s="59"/>
      <c r="X15" s="48"/>
    </row>
    <row r="16" spans="1:29">
      <c r="A16">
        <f>1</f>
        <v>1</v>
      </c>
      <c r="B16">
        <f>C3</f>
        <v>60</v>
      </c>
      <c r="D16" s="12">
        <v>0</v>
      </c>
      <c r="E16" s="35">
        <f t="shared" ref="E16:E25" si="0">MAX(0,E15*(1-C16)*(1-D16))</f>
        <v>1</v>
      </c>
      <c r="F16" s="34">
        <f>+C7</f>
        <v>10000</v>
      </c>
      <c r="G16" s="27">
        <f t="shared" ref="G16:G25" si="1">F16*$J$8</f>
        <v>27</v>
      </c>
      <c r="H16" s="33">
        <f t="shared" ref="H16:H25" si="2">F16*($J$7+$K$7)</f>
        <v>420</v>
      </c>
      <c r="I16" s="36">
        <f t="shared" ref="I16:I25" si="3">(F16*IF($J$7=0,$K$7*$K$4,$K$7*$K$3+$J$7*$J$4)+$J$3)*(A16=1)</f>
        <v>10</v>
      </c>
      <c r="J16" s="54">
        <f t="shared" ref="J16:J25" si="4">$J$5*X16*(A16&lt;=$C$6)*E15</f>
        <v>20</v>
      </c>
      <c r="K16" s="64">
        <f>$J$6*O15</f>
        <v>0</v>
      </c>
      <c r="L16" s="64">
        <f>IF(A16=10,Y16*E16,0)</f>
        <v>0</v>
      </c>
      <c r="M16" s="64">
        <f>C7*C16</f>
        <v>0</v>
      </c>
      <c r="N16" s="64">
        <v>0</v>
      </c>
      <c r="O16" s="56">
        <f t="shared" ref="O16:O24" si="5">Y16*E16</f>
        <v>9785</v>
      </c>
      <c r="P16" s="56">
        <f t="shared" ref="P16:P25" si="6">(O16-O15)*(A16&lt;=$C$6)</f>
        <v>9785</v>
      </c>
      <c r="Q16" s="80">
        <f t="shared" ref="Q16:Q25" si="7">((F16+O15-SUM(G16:K16))*R16-M16*((1+R16)^0.5-1))*(A16&lt;=$C$6)</f>
        <v>409.48899999999998</v>
      </c>
      <c r="R16" s="71">
        <f t="shared" ref="R16:R25" si="8">IF(A16&gt;30,F$10,VLOOKUP(A16,$E$4:$F$9,2))</f>
        <v>4.2999999999999997E-2</v>
      </c>
      <c r="S16" s="36">
        <f t="shared" ref="S16:S25" si="9">(F16-SUM(G16:N16)-P16+Q16)*(A16&lt;=$C$6)</f>
        <v>147.48899999999998</v>
      </c>
      <c r="T16" s="36">
        <f t="shared" ref="T16:T25" si="10">S16*$N$4*(A16&lt;=$C$6)</f>
        <v>48.671369999999996</v>
      </c>
      <c r="U16" s="122">
        <f>T16*(1-$N$4)</f>
        <v>32.609817899999996</v>
      </c>
      <c r="V16" s="85">
        <f>+V15/(1+AC16/100)</f>
        <v>0.97640492960336833</v>
      </c>
      <c r="W16" s="85"/>
      <c r="X16" s="34">
        <v>1</v>
      </c>
      <c r="Y16" s="64">
        <f>F16*(1-J9)*(1+$U$4)*(1-$J$10)</f>
        <v>9785</v>
      </c>
      <c r="AA16">
        <v>63233.609460424705</v>
      </c>
      <c r="AC16">
        <v>2.4165251199844247</v>
      </c>
    </row>
    <row r="17" spans="1:30">
      <c r="A17">
        <f>A16+1</f>
        <v>2</v>
      </c>
      <c r="B17">
        <f t="shared" ref="B17:B25" si="11">$C$3+A17-1</f>
        <v>61</v>
      </c>
      <c r="D17" s="12">
        <v>0</v>
      </c>
      <c r="E17" s="35">
        <f t="shared" si="0"/>
        <v>1</v>
      </c>
      <c r="F17" s="36">
        <v>0</v>
      </c>
      <c r="G17" s="27">
        <f t="shared" si="1"/>
        <v>0</v>
      </c>
      <c r="H17" s="27">
        <f t="shared" si="2"/>
        <v>0</v>
      </c>
      <c r="I17" s="36">
        <f t="shared" si="3"/>
        <v>0</v>
      </c>
      <c r="J17" s="54">
        <f t="shared" si="4"/>
        <v>20.5</v>
      </c>
      <c r="K17" s="64">
        <f t="shared" ref="K17:K25" si="12">$J$6*O16</f>
        <v>48.925000000000004</v>
      </c>
      <c r="L17" s="64">
        <f t="shared" ref="L17:L25" si="13">IF(A17=10,Y17*E17,0)</f>
        <v>0</v>
      </c>
      <c r="M17" s="64">
        <f t="shared" ref="M17:M25" si="14">O16*C17</f>
        <v>0</v>
      </c>
      <c r="N17" s="64">
        <v>0</v>
      </c>
      <c r="O17" s="56">
        <f t="shared" si="5"/>
        <v>10078.550000000001</v>
      </c>
      <c r="P17" s="56">
        <f t="shared" si="6"/>
        <v>293.55000000000109</v>
      </c>
      <c r="Q17" s="80">
        <f t="shared" si="7"/>
        <v>432.34308750000002</v>
      </c>
      <c r="R17" s="71">
        <f t="shared" si="8"/>
        <v>4.4499999999999998E-2</v>
      </c>
      <c r="S17" s="36">
        <f t="shared" si="9"/>
        <v>69.368087499998921</v>
      </c>
      <c r="T17" s="36">
        <f t="shared" si="10"/>
        <v>22.891468874999646</v>
      </c>
      <c r="U17" s="122">
        <f t="shared" ref="U17:U25" si="15">T17*(1-$N$4)</f>
        <v>15.337284146249761</v>
      </c>
      <c r="V17" s="85">
        <f t="shared" ref="V17:V25" si="16">+V16/(1+AC17/100)</f>
        <v>0.95374655563491262</v>
      </c>
      <c r="W17" s="85"/>
      <c r="X17" s="34">
        <f t="shared" ref="X17:X25" si="17">+X16*(1+N$5)</f>
        <v>1.0249999999999999</v>
      </c>
      <c r="Y17" s="64">
        <f>Y16*(1+$U$4)*(1-$J$10)</f>
        <v>10078.550000000001</v>
      </c>
      <c r="AA17">
        <v>30681.010011096438</v>
      </c>
      <c r="AC17">
        <v>2.3757227572236972</v>
      </c>
    </row>
    <row r="18" spans="1:30">
      <c r="A18">
        <f t="shared" ref="A18:A25" si="18">A17+1</f>
        <v>3</v>
      </c>
      <c r="B18">
        <f t="shared" si="11"/>
        <v>62</v>
      </c>
      <c r="D18" s="12">
        <v>0</v>
      </c>
      <c r="E18" s="35">
        <f t="shared" si="0"/>
        <v>1</v>
      </c>
      <c r="F18" s="36">
        <v>0</v>
      </c>
      <c r="G18" s="27">
        <f t="shared" si="1"/>
        <v>0</v>
      </c>
      <c r="H18" s="27">
        <f t="shared" si="2"/>
        <v>0</v>
      </c>
      <c r="I18" s="36">
        <f t="shared" si="3"/>
        <v>0</v>
      </c>
      <c r="J18" s="54">
        <f t="shared" si="4"/>
        <v>21.012499999999999</v>
      </c>
      <c r="K18" s="64">
        <f t="shared" si="12"/>
        <v>50.392750000000007</v>
      </c>
      <c r="L18" s="64">
        <f t="shared" si="13"/>
        <v>0</v>
      </c>
      <c r="M18" s="64">
        <f t="shared" si="14"/>
        <v>0</v>
      </c>
      <c r="N18" s="64">
        <v>0</v>
      </c>
      <c r="O18" s="56">
        <f t="shared" si="5"/>
        <v>10380.906500000001</v>
      </c>
      <c r="P18" s="56">
        <f t="shared" si="6"/>
        <v>302.35649999999987</v>
      </c>
      <c r="Q18" s="80">
        <f t="shared" si="7"/>
        <v>460.32865850000007</v>
      </c>
      <c r="R18" s="71">
        <f t="shared" si="8"/>
        <v>4.5999999999999999E-2</v>
      </c>
      <c r="S18" s="36">
        <f t="shared" si="9"/>
        <v>86.566908500000181</v>
      </c>
      <c r="T18" s="36">
        <f t="shared" si="10"/>
        <v>28.567079805000063</v>
      </c>
      <c r="U18" s="122">
        <f t="shared" si="15"/>
        <v>19.13994346935004</v>
      </c>
      <c r="V18" s="85">
        <f t="shared" si="16"/>
        <v>0.93180593540545342</v>
      </c>
      <c r="W18" s="85"/>
      <c r="X18" s="34">
        <f t="shared" si="17"/>
        <v>1.0506249999999999</v>
      </c>
      <c r="Y18" s="64">
        <f t="shared" ref="Y18:Y25" si="19">Y17*(1+$U$4)*(1-$J$10)</f>
        <v>10380.906500000001</v>
      </c>
      <c r="AA18">
        <v>37837.785126956012</v>
      </c>
      <c r="AC18">
        <v>2.3546340923351505</v>
      </c>
    </row>
    <row r="19" spans="1:30">
      <c r="A19">
        <f t="shared" si="18"/>
        <v>4</v>
      </c>
      <c r="B19">
        <f t="shared" si="11"/>
        <v>63</v>
      </c>
      <c r="D19" s="12">
        <v>0</v>
      </c>
      <c r="E19" s="35">
        <f t="shared" si="0"/>
        <v>1</v>
      </c>
      <c r="F19" s="36">
        <v>0</v>
      </c>
      <c r="G19" s="27">
        <f t="shared" si="1"/>
        <v>0</v>
      </c>
      <c r="H19" s="27">
        <f t="shared" si="2"/>
        <v>0</v>
      </c>
      <c r="I19" s="36">
        <f t="shared" si="3"/>
        <v>0</v>
      </c>
      <c r="J19" s="54">
        <f t="shared" si="4"/>
        <v>21.537812499999998</v>
      </c>
      <c r="K19" s="64">
        <f t="shared" si="12"/>
        <v>51.904532500000009</v>
      </c>
      <c r="L19" s="64">
        <f t="shared" si="13"/>
        <v>0</v>
      </c>
      <c r="M19" s="64">
        <f t="shared" si="14"/>
        <v>0</v>
      </c>
      <c r="N19" s="64">
        <v>0</v>
      </c>
      <c r="O19" s="56">
        <f t="shared" si="5"/>
        <v>10692.333695000001</v>
      </c>
      <c r="P19" s="56">
        <f t="shared" si="6"/>
        <v>311.42719500000021</v>
      </c>
      <c r="Q19" s="80">
        <f t="shared" si="7"/>
        <v>489.60454736250006</v>
      </c>
      <c r="R19" s="71">
        <f t="shared" si="8"/>
        <v>4.7500000000000001E-2</v>
      </c>
      <c r="S19" s="36">
        <f t="shared" si="9"/>
        <v>104.73500736249986</v>
      </c>
      <c r="T19" s="36">
        <f t="shared" si="10"/>
        <v>34.562552429624958</v>
      </c>
      <c r="U19" s="122">
        <f t="shared" si="15"/>
        <v>23.156910127848718</v>
      </c>
      <c r="V19" s="85">
        <f t="shared" si="16"/>
        <v>0.91046194519812196</v>
      </c>
      <c r="W19" s="85"/>
      <c r="X19" s="34">
        <f t="shared" si="17"/>
        <v>1.0768906249999999</v>
      </c>
      <c r="Y19" s="64">
        <f t="shared" si="19"/>
        <v>10692.333695000001</v>
      </c>
      <c r="AA19">
        <v>45179.02325549737</v>
      </c>
      <c r="AC19">
        <v>2.3443033857595021</v>
      </c>
      <c r="AD19" s="114" t="s">
        <v>80</v>
      </c>
    </row>
    <row r="20" spans="1:30">
      <c r="A20">
        <f t="shared" si="18"/>
        <v>5</v>
      </c>
      <c r="B20">
        <f t="shared" si="11"/>
        <v>64</v>
      </c>
      <c r="D20" s="12">
        <v>0</v>
      </c>
      <c r="E20" s="35">
        <f t="shared" si="0"/>
        <v>1</v>
      </c>
      <c r="F20" s="36">
        <v>0</v>
      </c>
      <c r="G20" s="27">
        <f t="shared" si="1"/>
        <v>0</v>
      </c>
      <c r="H20" s="27">
        <f t="shared" si="2"/>
        <v>0</v>
      </c>
      <c r="I20" s="36">
        <f t="shared" si="3"/>
        <v>0</v>
      </c>
      <c r="J20" s="54">
        <f t="shared" si="4"/>
        <v>22.076257812499996</v>
      </c>
      <c r="K20" s="64">
        <f t="shared" si="12"/>
        <v>53.46166847500001</v>
      </c>
      <c r="L20" s="64">
        <f t="shared" si="13"/>
        <v>0</v>
      </c>
      <c r="M20" s="64">
        <f t="shared" si="14"/>
        <v>0</v>
      </c>
      <c r="N20" s="64">
        <v>0</v>
      </c>
      <c r="O20" s="56">
        <f t="shared" si="5"/>
        <v>11013.103705850002</v>
      </c>
      <c r="P20" s="56">
        <f t="shared" si="6"/>
        <v>320.7700108500012</v>
      </c>
      <c r="Q20" s="80">
        <f t="shared" si="7"/>
        <v>504.29779901384381</v>
      </c>
      <c r="R20" s="71">
        <f t="shared" si="8"/>
        <v>4.7500000000000001E-2</v>
      </c>
      <c r="S20" s="36">
        <f t="shared" si="9"/>
        <v>107.98986187634262</v>
      </c>
      <c r="T20" s="36">
        <f t="shared" si="10"/>
        <v>35.636654419193064</v>
      </c>
      <c r="U20" s="122">
        <f t="shared" si="15"/>
        <v>23.87655846085935</v>
      </c>
      <c r="V20" s="85">
        <f t="shared" si="16"/>
        <v>0.88964843746431543</v>
      </c>
      <c r="W20" s="85"/>
      <c r="X20" s="34">
        <f t="shared" si="17"/>
        <v>1.1038128906249998</v>
      </c>
      <c r="Y20" s="64">
        <f t="shared" si="19"/>
        <v>11013.103705850002</v>
      </c>
      <c r="AA20">
        <v>46192.304887440179</v>
      </c>
      <c r="AC20">
        <v>2.3395205181419056</v>
      </c>
    </row>
    <row r="21" spans="1:30">
      <c r="A21">
        <f t="shared" si="18"/>
        <v>6</v>
      </c>
      <c r="B21">
        <f t="shared" si="11"/>
        <v>65</v>
      </c>
      <c r="D21" s="12">
        <v>0</v>
      </c>
      <c r="E21" s="35">
        <f t="shared" si="0"/>
        <v>1</v>
      </c>
      <c r="F21" s="36">
        <v>0</v>
      </c>
      <c r="G21" s="27">
        <f t="shared" si="1"/>
        <v>0</v>
      </c>
      <c r="H21" s="27">
        <f t="shared" si="2"/>
        <v>0</v>
      </c>
      <c r="I21" s="36">
        <f t="shared" si="3"/>
        <v>0</v>
      </c>
      <c r="J21" s="54">
        <f t="shared" si="4"/>
        <v>22.628164257812493</v>
      </c>
      <c r="K21" s="64">
        <f t="shared" si="12"/>
        <v>55.065518529250014</v>
      </c>
      <c r="L21" s="64">
        <f t="shared" si="13"/>
        <v>0</v>
      </c>
      <c r="M21" s="64">
        <f t="shared" si="14"/>
        <v>0</v>
      </c>
      <c r="N21" s="64">
        <v>0</v>
      </c>
      <c r="O21" s="56">
        <f t="shared" si="5"/>
        <v>11343.496817025503</v>
      </c>
      <c r="P21" s="56">
        <f t="shared" si="6"/>
        <v>330.39311117550096</v>
      </c>
      <c r="Q21" s="80">
        <f t="shared" si="7"/>
        <v>519.43197609548963</v>
      </c>
      <c r="R21" s="71">
        <f t="shared" si="8"/>
        <v>4.7500000000000001E-2</v>
      </c>
      <c r="S21" s="36">
        <f t="shared" si="9"/>
        <v>111.3451821329262</v>
      </c>
      <c r="T21" s="36">
        <f t="shared" si="10"/>
        <v>36.743910103865645</v>
      </c>
      <c r="U21" s="122">
        <f t="shared" si="15"/>
        <v>24.61841976958998</v>
      </c>
      <c r="V21" s="85">
        <f t="shared" si="16"/>
        <v>0.86933044127556325</v>
      </c>
      <c r="W21" s="85"/>
      <c r="X21" s="34">
        <f t="shared" si="17"/>
        <v>1.1314082128906247</v>
      </c>
      <c r="Y21" s="64">
        <f t="shared" si="19"/>
        <v>11343.496817025503</v>
      </c>
      <c r="AA21">
        <v>47168.213480835599</v>
      </c>
      <c r="AC21">
        <v>2.3372005884137348</v>
      </c>
    </row>
    <row r="22" spans="1:30">
      <c r="A22">
        <f t="shared" si="18"/>
        <v>7</v>
      </c>
      <c r="B22">
        <f t="shared" si="11"/>
        <v>66</v>
      </c>
      <c r="D22" s="12">
        <v>0</v>
      </c>
      <c r="E22" s="35">
        <f t="shared" si="0"/>
        <v>1</v>
      </c>
      <c r="F22" s="36">
        <v>0</v>
      </c>
      <c r="G22" s="27">
        <f t="shared" si="1"/>
        <v>0</v>
      </c>
      <c r="H22" s="27">
        <f t="shared" si="2"/>
        <v>0</v>
      </c>
      <c r="I22" s="36">
        <f t="shared" si="3"/>
        <v>0</v>
      </c>
      <c r="J22" s="54">
        <f t="shared" si="4"/>
        <v>23.193868364257803</v>
      </c>
      <c r="K22" s="64">
        <f t="shared" si="12"/>
        <v>56.717484085127516</v>
      </c>
      <c r="L22" s="64">
        <f t="shared" si="13"/>
        <v>0</v>
      </c>
      <c r="M22" s="64">
        <f t="shared" si="14"/>
        <v>0</v>
      </c>
      <c r="N22" s="64">
        <v>0</v>
      </c>
      <c r="O22" s="56">
        <f t="shared" si="5"/>
        <v>11683.801721536269</v>
      </c>
      <c r="P22" s="56">
        <f t="shared" si="6"/>
        <v>340.30490451076548</v>
      </c>
      <c r="Q22" s="80">
        <f t="shared" si="7"/>
        <v>535.02030956736553</v>
      </c>
      <c r="R22" s="71">
        <f t="shared" si="8"/>
        <v>4.7500000000000001E-2</v>
      </c>
      <c r="S22" s="36">
        <f t="shared" si="9"/>
        <v>114.80405260721471</v>
      </c>
      <c r="T22" s="36">
        <f t="shared" si="10"/>
        <v>37.885337360380859</v>
      </c>
      <c r="U22" s="122">
        <f t="shared" si="15"/>
        <v>25.383176031455172</v>
      </c>
      <c r="V22" s="85">
        <f t="shared" si="16"/>
        <v>0.84949316590762625</v>
      </c>
      <c r="W22" s="85"/>
      <c r="X22" s="34">
        <f t="shared" si="17"/>
        <v>1.1596934182128902</v>
      </c>
      <c r="Y22" s="64">
        <f t="shared" si="19"/>
        <v>11683.801721536269</v>
      </c>
      <c r="AA22">
        <v>48185.297556197504</v>
      </c>
      <c r="AC22">
        <v>2.3351895181807896</v>
      </c>
    </row>
    <row r="23" spans="1:30">
      <c r="A23">
        <f t="shared" si="18"/>
        <v>8</v>
      </c>
      <c r="B23">
        <f t="shared" si="11"/>
        <v>67</v>
      </c>
      <c r="D23" s="12">
        <v>0</v>
      </c>
      <c r="E23" s="35">
        <f t="shared" si="0"/>
        <v>1</v>
      </c>
      <c r="F23" s="36">
        <v>0</v>
      </c>
      <c r="G23" s="27">
        <f t="shared" si="1"/>
        <v>0</v>
      </c>
      <c r="H23" s="27">
        <f t="shared" si="2"/>
        <v>0</v>
      </c>
      <c r="I23" s="36">
        <f t="shared" si="3"/>
        <v>0</v>
      </c>
      <c r="J23" s="54">
        <f t="shared" si="4"/>
        <v>23.773715073364244</v>
      </c>
      <c r="K23" s="64">
        <f t="shared" si="12"/>
        <v>58.419008607681349</v>
      </c>
      <c r="L23" s="64">
        <f t="shared" si="13"/>
        <v>0</v>
      </c>
      <c r="M23" s="64">
        <f t="shared" si="14"/>
        <v>0</v>
      </c>
      <c r="N23" s="64">
        <v>0</v>
      </c>
      <c r="O23" s="56">
        <f t="shared" si="5"/>
        <v>12034.315773182358</v>
      </c>
      <c r="P23" s="56">
        <f t="shared" si="6"/>
        <v>350.51405164608877</v>
      </c>
      <c r="Q23" s="80">
        <f t="shared" si="7"/>
        <v>551.07642739812309</v>
      </c>
      <c r="R23" s="71">
        <f t="shared" si="8"/>
        <v>4.7500000000000001E-2</v>
      </c>
      <c r="S23" s="36">
        <f t="shared" si="9"/>
        <v>118.36965207098871</v>
      </c>
      <c r="T23" s="36">
        <f t="shared" si="10"/>
        <v>39.061985183426273</v>
      </c>
      <c r="U23" s="122">
        <f t="shared" si="15"/>
        <v>26.1715300728956</v>
      </c>
      <c r="V23" s="85">
        <f t="shared" si="16"/>
        <v>0.83011815746626139</v>
      </c>
      <c r="W23" s="85"/>
      <c r="X23" s="34">
        <f t="shared" si="17"/>
        <v>1.1886857536682123</v>
      </c>
      <c r="Y23" s="64">
        <f t="shared" si="19"/>
        <v>12034.315773182358</v>
      </c>
      <c r="AA23">
        <v>49245.964026215748</v>
      </c>
      <c r="AC23">
        <v>2.334006101071517</v>
      </c>
    </row>
    <row r="24" spans="1:30">
      <c r="A24">
        <f t="shared" si="18"/>
        <v>9</v>
      </c>
      <c r="B24">
        <f t="shared" si="11"/>
        <v>68</v>
      </c>
      <c r="D24" s="12">
        <v>0</v>
      </c>
      <c r="E24" s="35">
        <f t="shared" si="0"/>
        <v>1</v>
      </c>
      <c r="F24" s="36">
        <v>0</v>
      </c>
      <c r="G24" s="27">
        <f t="shared" si="1"/>
        <v>0</v>
      </c>
      <c r="H24" s="27">
        <f t="shared" si="2"/>
        <v>0</v>
      </c>
      <c r="I24" s="36">
        <f t="shared" si="3"/>
        <v>0</v>
      </c>
      <c r="J24" s="54">
        <f t="shared" si="4"/>
        <v>24.368057950198349</v>
      </c>
      <c r="K24" s="64">
        <f t="shared" si="12"/>
        <v>60.171578865911791</v>
      </c>
      <c r="L24" s="64">
        <f t="shared" si="13"/>
        <v>0</v>
      </c>
      <c r="M24" s="64">
        <f t="shared" si="14"/>
        <v>0</v>
      </c>
      <c r="N24" s="64">
        <v>0</v>
      </c>
      <c r="O24" s="56">
        <f t="shared" si="5"/>
        <v>12395.345246377829</v>
      </c>
      <c r="P24" s="56">
        <f t="shared" si="6"/>
        <v>361.02947319547093</v>
      </c>
      <c r="Q24" s="80">
        <f t="shared" si="7"/>
        <v>567.61436647739674</v>
      </c>
      <c r="R24" s="71">
        <f t="shared" si="8"/>
        <v>4.7500000000000001E-2</v>
      </c>
      <c r="S24" s="36">
        <f t="shared" si="9"/>
        <v>122.04525646581567</v>
      </c>
      <c r="T24" s="36">
        <f t="shared" si="10"/>
        <v>40.27493463371917</v>
      </c>
      <c r="U24" s="122">
        <f t="shared" si="15"/>
        <v>26.984206204591842</v>
      </c>
      <c r="V24" s="85">
        <f t="shared" si="16"/>
        <v>0.81119050332682785</v>
      </c>
      <c r="W24" s="85"/>
      <c r="X24" s="34">
        <f t="shared" si="17"/>
        <v>1.2184028975099175</v>
      </c>
      <c r="Y24" s="64">
        <f t="shared" si="19"/>
        <v>12395.345246377829</v>
      </c>
      <c r="AA24">
        <v>50370.116443577092</v>
      </c>
      <c r="AC24">
        <v>2.3333180136858185</v>
      </c>
    </row>
    <row r="25" spans="1:30">
      <c r="A25">
        <f t="shared" si="18"/>
        <v>10</v>
      </c>
      <c r="B25">
        <f t="shared" si="11"/>
        <v>69</v>
      </c>
      <c r="D25" s="12">
        <v>0</v>
      </c>
      <c r="E25" s="35">
        <f t="shared" si="0"/>
        <v>1</v>
      </c>
      <c r="F25" s="36">
        <v>0</v>
      </c>
      <c r="G25" s="27">
        <f t="shared" si="1"/>
        <v>0</v>
      </c>
      <c r="H25" s="27">
        <f t="shared" si="2"/>
        <v>0</v>
      </c>
      <c r="I25" s="36">
        <f t="shared" si="3"/>
        <v>0</v>
      </c>
      <c r="J25" s="54">
        <f t="shared" si="4"/>
        <v>24.977259398953304</v>
      </c>
      <c r="K25" s="64">
        <f t="shared" si="12"/>
        <v>61.976726231889145</v>
      </c>
      <c r="L25" s="64">
        <f t="shared" si="13"/>
        <v>12767.205603769164</v>
      </c>
      <c r="M25" s="64">
        <f t="shared" si="14"/>
        <v>0</v>
      </c>
      <c r="N25" s="64">
        <v>0</v>
      </c>
      <c r="O25" s="56">
        <f>Y25*E26</f>
        <v>0</v>
      </c>
      <c r="P25" s="56">
        <f t="shared" si="6"/>
        <v>-12395.345246377829</v>
      </c>
      <c r="Q25" s="80">
        <f t="shared" si="7"/>
        <v>584.64858488548191</v>
      </c>
      <c r="R25" s="71">
        <f t="shared" si="8"/>
        <v>4.7500000000000001E-2</v>
      </c>
      <c r="S25" s="36">
        <f t="shared" si="9"/>
        <v>125.83424186330478</v>
      </c>
      <c r="T25" s="36">
        <f t="shared" si="10"/>
        <v>41.52529981489058</v>
      </c>
      <c r="U25" s="122">
        <f t="shared" si="15"/>
        <v>27.821950875976686</v>
      </c>
      <c r="V25" s="85">
        <f t="shared" si="16"/>
        <v>0.792690715846601</v>
      </c>
      <c r="W25" s="85"/>
      <c r="X25" s="34">
        <f t="shared" si="17"/>
        <v>1.2488629699476652</v>
      </c>
      <c r="Y25" s="64">
        <f t="shared" si="19"/>
        <v>12767.205603769164</v>
      </c>
      <c r="AA25">
        <v>51498.408475027973</v>
      </c>
      <c r="AC25">
        <v>2.3337964114375818</v>
      </c>
    </row>
    <row r="26" spans="1:30">
      <c r="C26" s="87">
        <v>1</v>
      </c>
      <c r="D26" s="12"/>
      <c r="E26" s="35"/>
      <c r="F26" s="36"/>
      <c r="G26" s="27"/>
      <c r="H26" s="27"/>
      <c r="I26" s="36"/>
      <c r="J26" s="54"/>
      <c r="K26" s="64"/>
      <c r="L26" s="64"/>
      <c r="M26" s="64"/>
      <c r="N26" s="64"/>
      <c r="O26" s="56"/>
      <c r="P26" s="56"/>
      <c r="Q26" s="56"/>
      <c r="R26" s="71"/>
      <c r="S26" s="36"/>
      <c r="T26" s="36"/>
      <c r="U26" s="36"/>
      <c r="V26" s="85"/>
      <c r="W26" s="85"/>
      <c r="X26" s="34"/>
      <c r="Y26" s="64"/>
      <c r="AA26" s="9"/>
    </row>
    <row r="27" spans="1:30">
      <c r="C27" s="87"/>
      <c r="D27" s="12"/>
      <c r="E27" s="35"/>
      <c r="F27" s="36"/>
      <c r="G27" s="27"/>
      <c r="H27" s="27"/>
      <c r="I27" s="36"/>
      <c r="J27" s="54"/>
      <c r="K27" s="64"/>
      <c r="L27" s="64"/>
      <c r="M27" s="64"/>
      <c r="N27" s="64"/>
      <c r="O27" s="56"/>
      <c r="P27" s="56"/>
      <c r="Q27" s="56"/>
      <c r="R27" s="71"/>
      <c r="S27" s="36"/>
      <c r="T27" s="36"/>
      <c r="U27" s="36"/>
      <c r="V27" s="85"/>
      <c r="W27" s="85"/>
      <c r="X27" s="34"/>
      <c r="Y27" s="64"/>
      <c r="AA27" s="9"/>
    </row>
    <row r="28" spans="1:30">
      <c r="C28" s="87"/>
      <c r="D28" s="12"/>
      <c r="E28" s="35"/>
      <c r="F28" s="36"/>
      <c r="G28" s="27"/>
      <c r="H28" s="27"/>
      <c r="I28" s="36"/>
      <c r="J28" s="54"/>
      <c r="K28" s="64"/>
      <c r="L28" s="64"/>
      <c r="M28" s="64"/>
      <c r="N28" s="64"/>
      <c r="O28" s="56"/>
      <c r="P28" s="56"/>
      <c r="Q28" s="56"/>
      <c r="R28" s="71"/>
      <c r="S28" s="36"/>
      <c r="T28" s="36"/>
      <c r="U28" s="36"/>
      <c r="V28" s="85"/>
      <c r="W28" s="85"/>
      <c r="X28" s="34"/>
      <c r="Y28" s="64"/>
      <c r="AA28" s="9"/>
    </row>
    <row r="29" spans="1:30">
      <c r="C29" s="87"/>
      <c r="D29" s="12"/>
      <c r="E29" s="35"/>
      <c r="F29" s="36"/>
      <c r="G29" s="27"/>
      <c r="H29" s="27"/>
      <c r="I29" s="36"/>
      <c r="J29" s="54"/>
      <c r="K29" s="64"/>
      <c r="L29" s="64"/>
      <c r="M29" s="64"/>
      <c r="N29" s="64"/>
      <c r="O29" s="56"/>
      <c r="P29" s="56"/>
      <c r="Q29" s="56"/>
      <c r="R29" s="71"/>
      <c r="S29" s="36"/>
      <c r="T29" s="36"/>
      <c r="U29" s="36"/>
      <c r="V29" s="85"/>
      <c r="W29" s="85"/>
      <c r="X29" s="34"/>
      <c r="Y29" s="64"/>
      <c r="AA29" s="9"/>
    </row>
    <row r="30" spans="1:30">
      <c r="C30" s="87"/>
      <c r="D30" s="12"/>
      <c r="E30" s="35"/>
      <c r="F30" s="36"/>
      <c r="G30" s="27"/>
      <c r="H30" s="27"/>
      <c r="I30" s="36"/>
      <c r="J30" s="54"/>
      <c r="K30" s="64"/>
      <c r="L30" s="64"/>
      <c r="M30" s="64"/>
      <c r="N30" s="64"/>
      <c r="O30" s="56"/>
      <c r="P30" s="56"/>
      <c r="Q30" s="56"/>
      <c r="R30" s="71"/>
      <c r="S30" s="36"/>
      <c r="T30" s="36"/>
      <c r="U30" s="36"/>
      <c r="V30" s="85"/>
      <c r="W30" s="85"/>
      <c r="X30" s="34"/>
      <c r="Y30" s="64"/>
      <c r="AA30" s="9"/>
    </row>
    <row r="31" spans="1:30">
      <c r="C31" s="87"/>
      <c r="D31" s="12"/>
      <c r="E31" s="35"/>
      <c r="F31" s="36"/>
      <c r="G31" s="27"/>
      <c r="H31" s="27"/>
      <c r="I31" s="36"/>
      <c r="J31" s="54"/>
      <c r="K31" s="64"/>
      <c r="L31" s="64"/>
      <c r="M31" s="64"/>
      <c r="N31" s="64"/>
      <c r="O31" s="56"/>
      <c r="P31" s="56"/>
      <c r="Q31" s="56"/>
      <c r="R31" s="71"/>
      <c r="S31" s="36"/>
      <c r="T31" s="36"/>
      <c r="U31" s="36"/>
      <c r="V31" s="85"/>
      <c r="W31" s="85"/>
      <c r="X31" s="34"/>
      <c r="Y31" s="64"/>
      <c r="AA31" s="9"/>
    </row>
    <row r="32" spans="1:30">
      <c r="C32" s="87"/>
      <c r="D32" s="12"/>
      <c r="E32" s="35"/>
      <c r="F32" s="36"/>
      <c r="G32" s="27"/>
      <c r="H32" s="27"/>
      <c r="I32" s="36"/>
      <c r="J32" s="54"/>
      <c r="K32" s="64"/>
      <c r="L32" s="64"/>
      <c r="M32" s="64"/>
      <c r="N32" s="64"/>
      <c r="O32" s="56"/>
      <c r="P32" s="56"/>
      <c r="Q32" s="56"/>
      <c r="R32" s="71"/>
      <c r="S32" s="36"/>
      <c r="T32" s="36"/>
      <c r="U32" s="36"/>
      <c r="V32" s="85"/>
      <c r="W32" s="85"/>
      <c r="X32" s="34"/>
      <c r="Y32" s="64"/>
      <c r="AA32" s="9"/>
    </row>
    <row r="33" spans="3:27">
      <c r="C33" s="87"/>
      <c r="D33" s="12"/>
      <c r="E33" s="35"/>
      <c r="F33" s="36"/>
      <c r="G33" s="27"/>
      <c r="H33" s="27"/>
      <c r="I33" s="36"/>
      <c r="J33" s="54"/>
      <c r="K33" s="64"/>
      <c r="L33" s="64"/>
      <c r="M33" s="64"/>
      <c r="N33" s="64"/>
      <c r="O33" s="56"/>
      <c r="P33" s="56"/>
      <c r="Q33" s="56"/>
      <c r="R33" s="71"/>
      <c r="S33" s="36"/>
      <c r="T33" s="36"/>
      <c r="U33" s="36"/>
      <c r="V33" s="85"/>
      <c r="W33" s="85"/>
      <c r="X33" s="34"/>
      <c r="Y33" s="64"/>
      <c r="AA33" s="9"/>
    </row>
    <row r="34" spans="3:27">
      <c r="C34" s="87"/>
      <c r="D34" s="12"/>
      <c r="E34" s="35"/>
      <c r="F34" s="36"/>
      <c r="G34" s="27"/>
      <c r="H34" s="27"/>
      <c r="I34" s="36"/>
      <c r="J34" s="54"/>
      <c r="K34" s="64"/>
      <c r="L34" s="64"/>
      <c r="M34" s="64"/>
      <c r="N34" s="64"/>
      <c r="O34" s="56"/>
      <c r="P34" s="56"/>
      <c r="Q34" s="56"/>
      <c r="R34" s="71"/>
      <c r="S34" s="36"/>
      <c r="T34" s="36"/>
      <c r="U34" s="36"/>
      <c r="V34" s="85"/>
      <c r="W34" s="85"/>
      <c r="X34" s="34"/>
      <c r="Y34" s="64"/>
      <c r="AA34" s="9"/>
    </row>
    <row r="35" spans="3:27">
      <c r="C35" s="87"/>
      <c r="D35" s="12"/>
      <c r="E35" s="35"/>
      <c r="F35" s="36"/>
      <c r="G35" s="27"/>
      <c r="H35" s="27"/>
      <c r="I35" s="36"/>
      <c r="J35" s="54"/>
      <c r="K35" s="64"/>
      <c r="L35" s="64"/>
      <c r="M35" s="64"/>
      <c r="N35" s="64"/>
      <c r="O35" s="56"/>
      <c r="P35" s="56"/>
      <c r="Q35" s="56"/>
      <c r="R35" s="71"/>
      <c r="S35" s="36"/>
      <c r="T35" s="36"/>
      <c r="U35" s="36"/>
      <c r="V35" s="85"/>
      <c r="W35" s="85"/>
      <c r="X35" s="34"/>
      <c r="Y35" s="64"/>
      <c r="AA35" s="9"/>
    </row>
    <row r="36" spans="3:27">
      <c r="C36" s="87"/>
      <c r="D36" s="12"/>
      <c r="E36" s="35"/>
      <c r="F36" s="36"/>
      <c r="G36" s="27"/>
      <c r="H36" s="27"/>
      <c r="I36" s="36"/>
      <c r="J36" s="54"/>
      <c r="K36" s="64"/>
      <c r="L36" s="64"/>
      <c r="M36" s="64"/>
      <c r="N36" s="64"/>
      <c r="O36" s="56"/>
      <c r="P36" s="56"/>
      <c r="Q36" s="56"/>
      <c r="R36" s="71"/>
      <c r="S36" s="36"/>
      <c r="T36" s="36"/>
      <c r="U36" s="36"/>
      <c r="V36" s="85"/>
      <c r="W36" s="85"/>
      <c r="X36" s="34"/>
      <c r="Y36" s="64"/>
      <c r="AA36" s="9"/>
    </row>
    <row r="37" spans="3:27">
      <c r="C37" s="87"/>
      <c r="D37" s="12"/>
      <c r="E37" s="35"/>
      <c r="F37" s="36"/>
      <c r="G37" s="27"/>
      <c r="H37" s="27"/>
      <c r="I37" s="36"/>
      <c r="J37" s="54"/>
      <c r="K37" s="64"/>
      <c r="L37" s="64"/>
      <c r="M37" s="64"/>
      <c r="N37" s="64"/>
      <c r="O37" s="56"/>
      <c r="P37" s="56"/>
      <c r="Q37" s="56"/>
      <c r="R37" s="71"/>
      <c r="S37" s="36"/>
      <c r="T37" s="36"/>
      <c r="U37" s="36"/>
      <c r="V37" s="85"/>
      <c r="W37" s="85"/>
      <c r="X37" s="34"/>
      <c r="Y37" s="64"/>
      <c r="AA37" s="9"/>
    </row>
    <row r="38" spans="3:27">
      <c r="C38" s="87"/>
      <c r="D38" s="12"/>
      <c r="E38" s="35"/>
      <c r="F38" s="36"/>
      <c r="G38" s="27"/>
      <c r="H38" s="27"/>
      <c r="I38" s="36"/>
      <c r="J38" s="54"/>
      <c r="K38" s="64"/>
      <c r="L38" s="64"/>
      <c r="M38" s="64"/>
      <c r="N38" s="64"/>
      <c r="O38" s="56"/>
      <c r="P38" s="56"/>
      <c r="Q38" s="56"/>
      <c r="R38" s="71"/>
      <c r="S38" s="36"/>
      <c r="T38" s="36"/>
      <c r="U38" s="36"/>
      <c r="V38" s="85"/>
      <c r="W38" s="85"/>
      <c r="X38" s="34"/>
      <c r="Y38" s="64"/>
      <c r="AA38" s="9"/>
    </row>
    <row r="39" spans="3:27">
      <c r="C39" s="87"/>
      <c r="D39" s="12"/>
      <c r="E39" s="35"/>
      <c r="F39" s="36"/>
      <c r="G39" s="27"/>
      <c r="H39" s="27"/>
      <c r="I39" s="36"/>
      <c r="J39" s="54"/>
      <c r="K39" s="64"/>
      <c r="L39" s="64"/>
      <c r="M39" s="64"/>
      <c r="N39" s="64"/>
      <c r="O39" s="56"/>
      <c r="P39" s="56"/>
      <c r="Q39" s="56"/>
      <c r="R39" s="71"/>
      <c r="S39" s="36"/>
      <c r="T39" s="36"/>
      <c r="U39" s="36"/>
      <c r="V39" s="85"/>
      <c r="W39" s="85"/>
      <c r="X39" s="34"/>
      <c r="Y39" s="64"/>
      <c r="AA39" s="9"/>
    </row>
    <row r="40" spans="3:27">
      <c r="C40" s="87"/>
      <c r="D40" s="12"/>
      <c r="E40" s="35"/>
      <c r="F40" s="36"/>
      <c r="G40" s="27"/>
      <c r="H40" s="27"/>
      <c r="I40" s="36"/>
      <c r="J40" s="54"/>
      <c r="K40" s="64"/>
      <c r="L40" s="64"/>
      <c r="M40" s="64"/>
      <c r="N40" s="64"/>
      <c r="O40" s="56"/>
      <c r="P40" s="56"/>
      <c r="Q40" s="56"/>
      <c r="R40" s="71"/>
      <c r="S40" s="36"/>
      <c r="T40" s="36"/>
      <c r="U40" s="36"/>
      <c r="V40" s="85"/>
      <c r="W40" s="85"/>
      <c r="X40" s="34"/>
      <c r="Y40" s="64"/>
      <c r="AA40" s="9"/>
    </row>
    <row r="41" spans="3:27">
      <c r="C41" s="87"/>
      <c r="D41" s="12"/>
      <c r="E41" s="35"/>
      <c r="F41" s="36"/>
      <c r="G41" s="27"/>
      <c r="H41" s="27"/>
      <c r="I41" s="36"/>
      <c r="J41" s="54"/>
      <c r="K41" s="64"/>
      <c r="L41" s="64"/>
      <c r="M41" s="64"/>
      <c r="N41" s="64"/>
      <c r="O41" s="56"/>
      <c r="P41" s="56"/>
      <c r="Q41" s="56"/>
      <c r="R41" s="71"/>
      <c r="S41" s="36"/>
      <c r="T41" s="36"/>
      <c r="U41" s="36"/>
      <c r="V41" s="85"/>
      <c r="W41" s="85"/>
      <c r="X41" s="34"/>
      <c r="Y41" s="64"/>
      <c r="AA41" s="9"/>
    </row>
    <row r="42" spans="3:27">
      <c r="C42" s="87"/>
      <c r="D42" s="12"/>
      <c r="E42" s="35"/>
      <c r="F42" s="36"/>
      <c r="G42" s="27"/>
      <c r="H42" s="27"/>
      <c r="I42" s="36"/>
      <c r="J42" s="54"/>
      <c r="K42" s="64"/>
      <c r="L42" s="64"/>
      <c r="M42" s="64"/>
      <c r="N42" s="64"/>
      <c r="O42" s="56"/>
      <c r="P42" s="56"/>
      <c r="Q42" s="56"/>
      <c r="R42" s="71"/>
      <c r="S42" s="36"/>
      <c r="T42" s="36"/>
      <c r="U42" s="36"/>
      <c r="V42" s="85"/>
      <c r="W42" s="85"/>
      <c r="X42" s="34"/>
      <c r="Y42" s="64"/>
      <c r="AA42" s="9"/>
    </row>
    <row r="43" spans="3:27">
      <c r="C43" s="87"/>
      <c r="D43" s="12"/>
      <c r="E43" s="35"/>
      <c r="F43" s="36"/>
      <c r="G43" s="27"/>
      <c r="H43" s="27"/>
      <c r="I43" s="36"/>
      <c r="J43" s="54"/>
      <c r="K43" s="64"/>
      <c r="L43" s="64"/>
      <c r="M43" s="64"/>
      <c r="N43" s="64"/>
      <c r="O43" s="56"/>
      <c r="P43" s="56"/>
      <c r="Q43" s="56"/>
      <c r="R43" s="71"/>
      <c r="S43" s="36"/>
      <c r="T43" s="36"/>
      <c r="U43" s="36"/>
      <c r="V43" s="85"/>
      <c r="W43" s="85"/>
      <c r="X43" s="34"/>
      <c r="Y43" s="64"/>
      <c r="AA43" s="9"/>
    </row>
    <row r="44" spans="3:27">
      <c r="C44" s="87"/>
      <c r="D44" s="12"/>
      <c r="E44" s="35"/>
      <c r="F44" s="36"/>
      <c r="G44" s="27"/>
      <c r="H44" s="27"/>
      <c r="I44" s="36"/>
      <c r="J44" s="54"/>
      <c r="K44" s="64"/>
      <c r="L44" s="64"/>
      <c r="M44" s="64"/>
      <c r="N44" s="64"/>
      <c r="O44" s="56"/>
      <c r="P44" s="56"/>
      <c r="Q44" s="56"/>
      <c r="R44" s="71"/>
      <c r="S44" s="36"/>
      <c r="T44" s="36"/>
      <c r="U44" s="36"/>
      <c r="V44" s="85"/>
      <c r="W44" s="85"/>
      <c r="X44" s="34"/>
      <c r="Y44" s="64"/>
      <c r="AA44" s="9"/>
    </row>
    <row r="45" spans="3:27">
      <c r="C45" s="87"/>
      <c r="D45" s="12"/>
      <c r="E45" s="35"/>
      <c r="F45" s="36"/>
      <c r="G45" s="27"/>
      <c r="H45" s="27"/>
      <c r="I45" s="36"/>
      <c r="J45" s="54"/>
      <c r="K45" s="64"/>
      <c r="L45" s="64"/>
      <c r="M45" s="64"/>
      <c r="N45" s="64"/>
      <c r="O45" s="56"/>
      <c r="P45" s="56"/>
      <c r="Q45" s="56"/>
      <c r="R45" s="71"/>
      <c r="S45" s="36"/>
      <c r="T45" s="36"/>
      <c r="U45" s="36"/>
      <c r="V45" s="85"/>
      <c r="W45" s="85"/>
      <c r="X45" s="34"/>
      <c r="Y45" s="64"/>
      <c r="AA45" s="9"/>
    </row>
    <row r="46" spans="3:27">
      <c r="C46" s="87"/>
      <c r="D46" s="12"/>
      <c r="E46" s="35"/>
      <c r="F46" s="36"/>
      <c r="G46" s="27"/>
      <c r="H46" s="27"/>
      <c r="I46" s="36"/>
      <c r="J46" s="54"/>
      <c r="K46" s="64"/>
      <c r="L46" s="64"/>
      <c r="M46" s="64"/>
      <c r="N46" s="64"/>
      <c r="O46" s="56"/>
      <c r="P46" s="56"/>
      <c r="Q46" s="56"/>
      <c r="R46" s="71"/>
      <c r="S46" s="36"/>
      <c r="T46" s="36"/>
      <c r="U46" s="36"/>
      <c r="V46" s="85"/>
      <c r="W46" s="85"/>
      <c r="X46" s="34"/>
      <c r="Y46" s="64"/>
      <c r="AA46" s="9"/>
    </row>
    <row r="47" spans="3:27">
      <c r="C47" s="87"/>
      <c r="D47" s="12"/>
      <c r="E47" s="35"/>
      <c r="F47" s="36"/>
      <c r="G47" s="27"/>
      <c r="H47" s="27"/>
      <c r="I47" s="36"/>
      <c r="J47" s="54"/>
      <c r="K47" s="64"/>
      <c r="L47" s="64"/>
      <c r="M47" s="64"/>
      <c r="N47" s="64"/>
      <c r="O47" s="56"/>
      <c r="P47" s="56"/>
      <c r="Q47" s="56"/>
      <c r="R47" s="71"/>
      <c r="S47" s="36"/>
      <c r="T47" s="36"/>
      <c r="U47" s="36"/>
      <c r="V47" s="85"/>
      <c r="W47" s="85"/>
      <c r="X47" s="34"/>
      <c r="Y47" s="64"/>
      <c r="AA47" s="9"/>
    </row>
    <row r="48" spans="3:27">
      <c r="C48" s="87"/>
      <c r="D48" s="12"/>
      <c r="E48" s="35"/>
      <c r="F48" s="36"/>
      <c r="G48" s="27"/>
      <c r="H48" s="27"/>
      <c r="I48" s="36"/>
      <c r="J48" s="54"/>
      <c r="K48" s="64"/>
      <c r="L48" s="64"/>
      <c r="M48" s="64"/>
      <c r="N48" s="64"/>
      <c r="O48" s="56"/>
      <c r="P48" s="56"/>
      <c r="Q48" s="56"/>
      <c r="R48" s="71"/>
      <c r="S48" s="36"/>
      <c r="T48" s="36"/>
      <c r="U48" s="36"/>
      <c r="V48" s="85"/>
      <c r="W48" s="85"/>
      <c r="X48" s="34"/>
      <c r="Y48" s="64"/>
      <c r="AA48" s="9"/>
    </row>
    <row r="49" spans="3:27">
      <c r="C49" s="87"/>
      <c r="D49" s="12"/>
      <c r="E49" s="35"/>
      <c r="F49" s="36"/>
      <c r="G49" s="27"/>
      <c r="H49" s="27"/>
      <c r="I49" s="36"/>
      <c r="J49" s="54"/>
      <c r="K49" s="64"/>
      <c r="L49" s="64"/>
      <c r="M49" s="64"/>
      <c r="N49" s="64"/>
      <c r="O49" s="56"/>
      <c r="P49" s="56"/>
      <c r="Q49" s="56"/>
      <c r="R49" s="71"/>
      <c r="S49" s="36"/>
      <c r="T49" s="36"/>
      <c r="U49" s="36"/>
      <c r="V49" s="85"/>
      <c r="W49" s="85"/>
      <c r="X49" s="34"/>
      <c r="Y49" s="64"/>
      <c r="AA49" s="9"/>
    </row>
    <row r="50" spans="3:27">
      <c r="C50" s="87"/>
      <c r="D50" s="12"/>
      <c r="E50" s="35"/>
      <c r="F50" s="36"/>
      <c r="G50" s="27"/>
      <c r="H50" s="27"/>
      <c r="I50" s="36"/>
      <c r="J50" s="54"/>
      <c r="K50" s="64"/>
      <c r="L50" s="64"/>
      <c r="M50" s="64"/>
      <c r="N50" s="64"/>
      <c r="O50" s="56"/>
      <c r="P50" s="56"/>
      <c r="Q50" s="56"/>
      <c r="R50" s="71"/>
      <c r="S50" s="36"/>
      <c r="T50" s="36"/>
      <c r="U50" s="36"/>
      <c r="V50" s="85"/>
      <c r="W50" s="85"/>
      <c r="X50" s="34"/>
      <c r="Y50" s="64"/>
      <c r="AA50" s="9"/>
    </row>
    <row r="51" spans="3:27">
      <c r="C51" s="87"/>
      <c r="D51" s="12"/>
      <c r="E51" s="35"/>
      <c r="F51" s="36"/>
      <c r="G51" s="27"/>
      <c r="H51" s="27"/>
      <c r="I51" s="36"/>
      <c r="J51" s="54"/>
      <c r="K51" s="64"/>
      <c r="L51" s="64"/>
      <c r="M51" s="64"/>
      <c r="N51" s="64"/>
      <c r="O51" s="56"/>
      <c r="P51" s="56"/>
      <c r="Q51" s="56"/>
      <c r="R51" s="71"/>
      <c r="S51" s="36"/>
      <c r="T51" s="36"/>
      <c r="U51" s="36"/>
      <c r="V51" s="85"/>
      <c r="W51" s="85"/>
      <c r="X51" s="34"/>
      <c r="Y51" s="64"/>
      <c r="AA51" s="9"/>
    </row>
    <row r="52" spans="3:27">
      <c r="C52" s="87"/>
      <c r="D52" s="12"/>
      <c r="E52" s="35"/>
      <c r="F52" s="36"/>
      <c r="G52" s="27"/>
      <c r="H52" s="27"/>
      <c r="I52" s="36"/>
      <c r="J52" s="54"/>
      <c r="K52" s="64"/>
      <c r="L52" s="64"/>
      <c r="M52" s="64"/>
      <c r="N52" s="64"/>
      <c r="O52" s="56"/>
      <c r="P52" s="56"/>
      <c r="Q52" s="56"/>
      <c r="R52" s="71"/>
      <c r="S52" s="36"/>
      <c r="T52" s="36"/>
      <c r="U52" s="36"/>
      <c r="V52" s="85"/>
      <c r="W52" s="85"/>
      <c r="X52" s="34"/>
      <c r="Y52" s="64"/>
      <c r="AA52" s="9"/>
    </row>
    <row r="53" spans="3:27">
      <c r="C53" s="87"/>
      <c r="D53" s="12"/>
      <c r="E53" s="35"/>
      <c r="F53" s="36"/>
      <c r="G53" s="27"/>
      <c r="H53" s="27"/>
      <c r="I53" s="36"/>
      <c r="J53" s="54"/>
      <c r="K53" s="64"/>
      <c r="L53" s="64"/>
      <c r="M53" s="64"/>
      <c r="N53" s="64"/>
      <c r="O53" s="56"/>
      <c r="P53" s="56"/>
      <c r="Q53" s="56"/>
      <c r="R53" s="71"/>
      <c r="S53" s="36"/>
      <c r="T53" s="36"/>
      <c r="U53" s="36"/>
      <c r="V53" s="85"/>
      <c r="W53" s="85"/>
      <c r="X53" s="34"/>
      <c r="Y53" s="64"/>
      <c r="AA53" s="9"/>
    </row>
    <row r="54" spans="3:27">
      <c r="C54" s="87"/>
      <c r="D54" s="12"/>
      <c r="E54" s="35"/>
      <c r="F54" s="36"/>
      <c r="G54" s="27"/>
      <c r="H54" s="27"/>
      <c r="I54" s="36"/>
      <c r="J54" s="54"/>
      <c r="K54" s="64"/>
      <c r="L54" s="64"/>
      <c r="M54" s="64"/>
      <c r="N54" s="64"/>
      <c r="O54" s="56"/>
      <c r="P54" s="56"/>
      <c r="Q54" s="56"/>
      <c r="R54" s="71"/>
      <c r="S54" s="36"/>
      <c r="T54" s="36"/>
      <c r="U54" s="36"/>
      <c r="V54" s="85"/>
      <c r="W54" s="85"/>
      <c r="X54" s="34"/>
      <c r="Y54" s="64"/>
      <c r="AA54" s="9"/>
    </row>
    <row r="55" spans="3:27">
      <c r="C55" s="87"/>
      <c r="D55" s="12"/>
      <c r="E55" s="35"/>
      <c r="F55" s="36"/>
      <c r="G55" s="27"/>
      <c r="H55" s="27"/>
      <c r="I55" s="36"/>
      <c r="J55" s="54"/>
      <c r="K55" s="64"/>
      <c r="L55" s="64"/>
      <c r="M55" s="64"/>
      <c r="N55" s="64"/>
      <c r="O55" s="56"/>
      <c r="P55" s="56"/>
      <c r="Q55" s="56"/>
      <c r="R55" s="71"/>
      <c r="S55" s="36"/>
      <c r="T55" s="36"/>
      <c r="U55" s="36"/>
      <c r="V55" s="85"/>
      <c r="W55" s="85"/>
      <c r="X55" s="34"/>
      <c r="Y55" s="64"/>
      <c r="AA55" s="9"/>
    </row>
    <row r="56" spans="3:27">
      <c r="C56" s="87"/>
      <c r="D56" s="12"/>
      <c r="E56" s="35"/>
      <c r="F56" s="36"/>
      <c r="G56" s="27"/>
      <c r="H56" s="27"/>
      <c r="I56" s="36"/>
      <c r="J56" s="54"/>
      <c r="K56" s="64"/>
      <c r="L56" s="64"/>
      <c r="M56" s="64"/>
      <c r="N56" s="64"/>
      <c r="O56" s="56"/>
      <c r="P56" s="56"/>
      <c r="Q56" s="56"/>
      <c r="R56" s="71"/>
      <c r="S56" s="36"/>
      <c r="T56" s="36"/>
      <c r="U56" s="36"/>
      <c r="V56" s="85"/>
      <c r="W56" s="85"/>
      <c r="X56" s="34"/>
      <c r="Y56" s="64"/>
      <c r="AA56" s="9"/>
    </row>
    <row r="57" spans="3:27">
      <c r="C57" s="87"/>
      <c r="D57" s="12"/>
      <c r="E57" s="35"/>
      <c r="F57" s="36"/>
      <c r="G57" s="27"/>
      <c r="H57" s="27"/>
      <c r="I57" s="36"/>
      <c r="J57" s="54"/>
      <c r="K57" s="64"/>
      <c r="L57" s="64"/>
      <c r="M57" s="64"/>
      <c r="N57" s="64"/>
      <c r="O57" s="56"/>
      <c r="P57" s="56"/>
      <c r="Q57" s="56"/>
      <c r="R57" s="71"/>
      <c r="S57" s="36"/>
      <c r="T57" s="36"/>
      <c r="U57" s="36"/>
      <c r="V57" s="85"/>
      <c r="W57" s="85"/>
      <c r="X57" s="34"/>
      <c r="Y57" s="64"/>
      <c r="AA57" s="9"/>
    </row>
    <row r="58" spans="3:27">
      <c r="C58" s="87"/>
      <c r="D58" s="12"/>
      <c r="E58" s="35"/>
      <c r="F58" s="36"/>
      <c r="G58" s="27"/>
      <c r="H58" s="27"/>
      <c r="I58" s="36"/>
      <c r="J58" s="54"/>
      <c r="K58" s="64"/>
      <c r="L58" s="64"/>
      <c r="M58" s="64"/>
      <c r="N58" s="64"/>
      <c r="O58" s="56"/>
      <c r="P58" s="56"/>
      <c r="Q58" s="56"/>
      <c r="R58" s="71"/>
      <c r="S58" s="36"/>
      <c r="T58" s="36"/>
      <c r="U58" s="36"/>
      <c r="V58" s="85"/>
      <c r="W58" s="85"/>
      <c r="X58" s="34"/>
      <c r="Y58" s="64"/>
      <c r="AA58" s="9"/>
    </row>
    <row r="59" spans="3:27">
      <c r="C59" s="87"/>
      <c r="D59" s="12"/>
      <c r="E59" s="35"/>
      <c r="F59" s="36"/>
      <c r="G59" s="27"/>
      <c r="H59" s="27"/>
      <c r="I59" s="36"/>
      <c r="J59" s="54"/>
      <c r="K59" s="64"/>
      <c r="L59" s="64"/>
      <c r="M59" s="64"/>
      <c r="N59" s="64"/>
      <c r="O59" s="56"/>
      <c r="P59" s="56"/>
      <c r="Q59" s="56"/>
      <c r="R59" s="71"/>
      <c r="S59" s="36"/>
      <c r="T59" s="36"/>
      <c r="U59" s="36"/>
      <c r="V59" s="85"/>
      <c r="W59" s="85"/>
      <c r="X59" s="34"/>
      <c r="Y59" s="64"/>
      <c r="AA59" s="9"/>
    </row>
    <row r="60" spans="3:27">
      <c r="C60" s="87"/>
      <c r="D60" s="12"/>
      <c r="E60" s="35"/>
      <c r="F60" s="36"/>
      <c r="G60" s="27"/>
      <c r="H60" s="27"/>
      <c r="I60" s="36"/>
      <c r="J60" s="54"/>
      <c r="K60" s="64"/>
      <c r="L60" s="64"/>
      <c r="M60" s="64"/>
      <c r="N60" s="64"/>
      <c r="O60" s="56"/>
      <c r="P60" s="56"/>
      <c r="Q60" s="56"/>
      <c r="R60" s="71"/>
      <c r="S60" s="36"/>
      <c r="T60" s="36"/>
      <c r="U60" s="36"/>
      <c r="V60" s="85"/>
      <c r="W60" s="85"/>
      <c r="X60" s="34"/>
      <c r="Y60" s="64"/>
      <c r="AA60" s="9"/>
    </row>
    <row r="61" spans="3:27">
      <c r="C61" s="87"/>
      <c r="D61" s="12"/>
      <c r="E61" s="35"/>
      <c r="F61" s="36"/>
      <c r="G61" s="27"/>
      <c r="H61" s="27"/>
      <c r="I61" s="36"/>
      <c r="J61" s="54"/>
      <c r="K61" s="64"/>
      <c r="L61" s="64"/>
      <c r="M61" s="64"/>
      <c r="N61" s="64"/>
      <c r="O61" s="56"/>
      <c r="P61" s="56"/>
      <c r="Q61" s="56"/>
      <c r="R61" s="71"/>
      <c r="S61" s="36"/>
      <c r="T61" s="36"/>
      <c r="U61" s="36"/>
      <c r="V61" s="85"/>
      <c r="W61" s="85"/>
      <c r="X61" s="34"/>
      <c r="Y61" s="64"/>
      <c r="AA61" s="9"/>
    </row>
    <row r="62" spans="3:27">
      <c r="C62" s="87"/>
      <c r="D62" s="12"/>
      <c r="E62" s="35"/>
      <c r="F62" s="36"/>
      <c r="G62" s="27"/>
      <c r="H62" s="27"/>
      <c r="I62" s="36"/>
      <c r="J62" s="54"/>
      <c r="K62" s="64"/>
      <c r="L62" s="64"/>
      <c r="M62" s="64"/>
      <c r="N62" s="64"/>
      <c r="O62" s="56"/>
      <c r="P62" s="56"/>
      <c r="Q62" s="56"/>
      <c r="R62" s="71"/>
      <c r="S62" s="36"/>
      <c r="T62" s="36"/>
      <c r="U62" s="36"/>
      <c r="V62" s="85"/>
      <c r="W62" s="85"/>
      <c r="X62" s="34"/>
      <c r="Y62" s="64"/>
      <c r="AA62" s="9"/>
    </row>
    <row r="63" spans="3:27">
      <c r="C63" s="87"/>
      <c r="D63" s="12"/>
      <c r="E63" s="35"/>
      <c r="F63" s="36"/>
      <c r="G63" s="27"/>
      <c r="H63" s="27"/>
      <c r="I63" s="36"/>
      <c r="J63" s="54"/>
      <c r="K63" s="64"/>
      <c r="L63" s="64"/>
      <c r="M63" s="64"/>
      <c r="N63" s="64"/>
      <c r="O63" s="56"/>
      <c r="P63" s="56"/>
      <c r="Q63" s="56"/>
      <c r="R63" s="71"/>
      <c r="S63" s="36"/>
      <c r="T63" s="36"/>
      <c r="U63" s="36"/>
      <c r="V63" s="85"/>
      <c r="W63" s="85"/>
      <c r="X63" s="34"/>
      <c r="Y63" s="64"/>
      <c r="AA63" s="9"/>
    </row>
    <row r="64" spans="3:27">
      <c r="C64" s="87"/>
      <c r="D64" s="12"/>
      <c r="E64" s="35"/>
      <c r="F64" s="36"/>
      <c r="G64" s="27"/>
      <c r="H64" s="27"/>
      <c r="I64" s="36"/>
      <c r="J64" s="54"/>
      <c r="K64" s="64"/>
      <c r="L64" s="64"/>
      <c r="M64" s="64"/>
      <c r="N64" s="64"/>
      <c r="O64" s="56"/>
      <c r="P64" s="56"/>
      <c r="Q64" s="56"/>
      <c r="R64" s="71"/>
      <c r="S64" s="36"/>
      <c r="T64" s="36"/>
      <c r="U64" s="36"/>
      <c r="V64" s="85"/>
      <c r="W64" s="85"/>
      <c r="X64" s="34"/>
      <c r="Y64" s="64"/>
      <c r="AA64" s="9"/>
    </row>
    <row r="65" spans="3:27">
      <c r="C65" s="87"/>
      <c r="D65" s="12"/>
      <c r="E65" s="35"/>
      <c r="F65" s="36"/>
      <c r="G65" s="27"/>
      <c r="H65" s="27"/>
      <c r="I65" s="36"/>
      <c r="J65" s="54"/>
      <c r="K65" s="64"/>
      <c r="L65" s="64"/>
      <c r="M65" s="64"/>
      <c r="N65" s="64"/>
      <c r="O65" s="56"/>
      <c r="P65" s="56"/>
      <c r="Q65" s="56"/>
      <c r="R65" s="71"/>
      <c r="S65" s="36"/>
      <c r="T65" s="36"/>
      <c r="U65" s="36"/>
      <c r="V65" s="85"/>
      <c r="W65" s="85"/>
      <c r="X65" s="34"/>
      <c r="Y65" s="64"/>
      <c r="AA65" s="9"/>
    </row>
    <row r="66" spans="3:27">
      <c r="C66" s="87"/>
      <c r="D66" s="12"/>
      <c r="E66" s="35"/>
      <c r="F66" s="36"/>
      <c r="G66" s="27"/>
      <c r="H66" s="27"/>
      <c r="I66" s="36"/>
      <c r="J66" s="54"/>
      <c r="K66" s="64"/>
      <c r="L66" s="64"/>
      <c r="M66" s="64"/>
      <c r="N66" s="64"/>
      <c r="O66" s="56"/>
      <c r="P66" s="56"/>
      <c r="Q66" s="56"/>
      <c r="R66" s="71"/>
      <c r="S66" s="36"/>
      <c r="T66" s="36"/>
      <c r="U66" s="36"/>
      <c r="V66" s="85"/>
      <c r="W66" s="85"/>
      <c r="X66" s="34"/>
      <c r="Y66" s="64"/>
      <c r="AA66" s="9"/>
    </row>
    <row r="67" spans="3:27">
      <c r="C67" s="87"/>
      <c r="D67" s="12"/>
      <c r="E67" s="35"/>
      <c r="F67" s="36"/>
      <c r="G67" s="27"/>
      <c r="H67" s="27"/>
      <c r="I67" s="36"/>
      <c r="J67" s="54"/>
      <c r="K67" s="64"/>
      <c r="L67" s="64"/>
      <c r="M67" s="64"/>
      <c r="N67" s="64"/>
      <c r="O67" s="56"/>
      <c r="P67" s="56"/>
      <c r="Q67" s="56"/>
      <c r="R67" s="71"/>
      <c r="S67" s="36"/>
      <c r="T67" s="36"/>
      <c r="U67" s="36"/>
      <c r="V67" s="85"/>
      <c r="W67" s="85"/>
      <c r="X67" s="34"/>
      <c r="Y67" s="64"/>
      <c r="AA67" s="9"/>
    </row>
    <row r="68" spans="3:27">
      <c r="C68" s="87"/>
      <c r="D68" s="12"/>
      <c r="E68" s="35"/>
      <c r="F68" s="36"/>
      <c r="G68" s="27"/>
      <c r="H68" s="27"/>
      <c r="I68" s="36"/>
      <c r="J68" s="54"/>
      <c r="K68" s="64"/>
      <c r="L68" s="64"/>
      <c r="M68" s="64"/>
      <c r="N68" s="64"/>
      <c r="O68" s="56"/>
      <c r="P68" s="56"/>
      <c r="Q68" s="56"/>
      <c r="R68" s="71"/>
      <c r="S68" s="36"/>
      <c r="T68" s="36"/>
      <c r="U68" s="36"/>
      <c r="V68" s="85"/>
      <c r="W68" s="85"/>
      <c r="X68" s="34"/>
      <c r="Y68" s="64"/>
      <c r="AA68" s="9"/>
    </row>
    <row r="69" spans="3:27">
      <c r="C69" s="87"/>
      <c r="D69" s="12"/>
      <c r="E69" s="35"/>
      <c r="F69" s="36"/>
      <c r="G69" s="27"/>
      <c r="H69" s="27"/>
      <c r="I69" s="36"/>
      <c r="J69" s="54"/>
      <c r="K69" s="64"/>
      <c r="L69" s="64"/>
      <c r="M69" s="64"/>
      <c r="N69" s="64"/>
      <c r="O69" s="56"/>
      <c r="P69" s="56"/>
      <c r="Q69" s="56"/>
      <c r="R69" s="71"/>
      <c r="S69" s="36"/>
      <c r="T69" s="36"/>
      <c r="U69" s="36"/>
      <c r="V69" s="85"/>
      <c r="W69" s="85"/>
      <c r="X69" s="34"/>
      <c r="Y69" s="64"/>
      <c r="AA69" s="9"/>
    </row>
    <row r="70" spans="3:27">
      <c r="C70" s="87"/>
      <c r="D70" s="12"/>
      <c r="E70" s="35"/>
      <c r="F70" s="36"/>
      <c r="G70" s="27"/>
      <c r="H70" s="27"/>
      <c r="I70" s="36"/>
      <c r="J70" s="54"/>
      <c r="K70" s="64"/>
      <c r="L70" s="64"/>
      <c r="M70" s="64"/>
      <c r="N70" s="64"/>
      <c r="O70" s="56"/>
      <c r="P70" s="56"/>
      <c r="Q70" s="56"/>
      <c r="R70" s="71"/>
      <c r="S70" s="36"/>
      <c r="T70" s="36"/>
      <c r="U70" s="36"/>
      <c r="V70" s="85"/>
      <c r="W70" s="85"/>
      <c r="X70" s="34"/>
      <c r="Y70" s="64"/>
      <c r="AA70" s="9"/>
    </row>
    <row r="71" spans="3:27">
      <c r="C71" s="87"/>
      <c r="D71" s="12"/>
      <c r="E71" s="35"/>
      <c r="F71" s="36"/>
      <c r="G71" s="27"/>
      <c r="H71" s="27"/>
      <c r="I71" s="36"/>
      <c r="J71" s="54"/>
      <c r="K71" s="64"/>
      <c r="L71" s="64"/>
      <c r="M71" s="64"/>
      <c r="N71" s="64"/>
      <c r="O71" s="56"/>
      <c r="P71" s="56"/>
      <c r="Q71" s="56"/>
      <c r="R71" s="71"/>
      <c r="S71" s="36"/>
      <c r="T71" s="36"/>
      <c r="U71" s="36"/>
      <c r="V71" s="85"/>
      <c r="W71" s="85"/>
      <c r="X71" s="34"/>
      <c r="Y71" s="64"/>
      <c r="AA71" s="9"/>
    </row>
    <row r="72" spans="3:27">
      <c r="C72" s="87"/>
      <c r="D72" s="12"/>
      <c r="E72" s="35"/>
      <c r="F72" s="36"/>
      <c r="G72" s="27"/>
      <c r="H72" s="27"/>
      <c r="I72" s="36"/>
      <c r="J72" s="54"/>
      <c r="K72" s="64"/>
      <c r="L72" s="64"/>
      <c r="M72" s="64"/>
      <c r="N72" s="64"/>
      <c r="O72" s="56"/>
      <c r="P72" s="56"/>
      <c r="Q72" s="56"/>
      <c r="R72" s="71"/>
      <c r="S72" s="36"/>
      <c r="T72" s="36"/>
      <c r="U72" s="36"/>
      <c r="V72" s="85"/>
      <c r="W72" s="85"/>
      <c r="X72" s="34"/>
      <c r="Y72" s="64"/>
      <c r="AA72" s="9"/>
    </row>
    <row r="73" spans="3:27">
      <c r="C73" s="87"/>
      <c r="D73" s="12"/>
      <c r="E73" s="35"/>
      <c r="F73" s="36"/>
      <c r="G73" s="27"/>
      <c r="H73" s="27"/>
      <c r="I73" s="36"/>
      <c r="J73" s="54"/>
      <c r="K73" s="64"/>
      <c r="L73" s="64"/>
      <c r="M73" s="64"/>
      <c r="N73" s="64"/>
      <c r="O73" s="56"/>
      <c r="P73" s="56"/>
      <c r="Q73" s="56"/>
      <c r="R73" s="71"/>
      <c r="S73" s="36"/>
      <c r="T73" s="36"/>
      <c r="U73" s="36"/>
      <c r="V73" s="85"/>
      <c r="W73" s="85"/>
      <c r="X73" s="34"/>
      <c r="Y73" s="64"/>
      <c r="AA73" s="9"/>
    </row>
    <row r="74" spans="3:27">
      <c r="C74" s="87"/>
      <c r="D74" s="12"/>
      <c r="E74" s="35"/>
      <c r="F74" s="36"/>
      <c r="G74" s="27"/>
      <c r="H74" s="27"/>
      <c r="I74" s="36"/>
      <c r="J74" s="54"/>
      <c r="K74" s="64"/>
      <c r="L74" s="64"/>
      <c r="M74" s="64"/>
      <c r="N74" s="64"/>
      <c r="O74" s="56"/>
      <c r="P74" s="56"/>
      <c r="Q74" s="56"/>
      <c r="R74" s="71"/>
      <c r="S74" s="36"/>
      <c r="T74" s="36"/>
      <c r="U74" s="36"/>
      <c r="V74" s="85"/>
      <c r="W74" s="85"/>
      <c r="X74" s="34"/>
      <c r="Y74" s="64"/>
      <c r="AA74" s="9"/>
    </row>
    <row r="75" spans="3:27">
      <c r="C75" s="87"/>
      <c r="D75" s="12"/>
      <c r="E75" s="35"/>
      <c r="F75" s="36"/>
      <c r="G75" s="27"/>
      <c r="H75" s="27"/>
      <c r="I75" s="36"/>
      <c r="J75" s="54"/>
      <c r="K75" s="64"/>
      <c r="L75" s="64"/>
      <c r="M75" s="64"/>
      <c r="N75" s="64"/>
      <c r="O75" s="56"/>
      <c r="P75" s="56"/>
      <c r="Q75" s="56"/>
      <c r="R75" s="71"/>
      <c r="S75" s="36"/>
      <c r="T75" s="36"/>
      <c r="U75" s="36"/>
      <c r="V75" s="85"/>
      <c r="W75" s="85"/>
      <c r="X75" s="34"/>
      <c r="Y75" s="64"/>
      <c r="AA75" s="9"/>
    </row>
    <row r="76" spans="3:27">
      <c r="C76" s="87"/>
      <c r="D76" s="12"/>
      <c r="E76" s="35"/>
      <c r="F76" s="36"/>
      <c r="G76" s="27"/>
      <c r="H76" s="27"/>
      <c r="I76" s="36"/>
      <c r="J76" s="54"/>
      <c r="K76" s="64"/>
      <c r="L76" s="64"/>
      <c r="M76" s="64"/>
      <c r="N76" s="64"/>
      <c r="O76" s="56"/>
      <c r="P76" s="56"/>
      <c r="Q76" s="56"/>
      <c r="R76" s="71"/>
      <c r="S76" s="36"/>
      <c r="T76" s="36"/>
      <c r="U76" s="36"/>
      <c r="V76" s="85"/>
      <c r="W76" s="85"/>
      <c r="X76" s="34"/>
      <c r="Y76" s="64"/>
      <c r="AA76" s="9"/>
    </row>
    <row r="77" spans="3:27">
      <c r="C77" s="87"/>
      <c r="D77" s="12"/>
      <c r="E77" s="35"/>
      <c r="F77" s="36"/>
      <c r="G77" s="27"/>
      <c r="H77" s="27"/>
      <c r="I77" s="36"/>
      <c r="J77" s="54"/>
      <c r="K77" s="64"/>
      <c r="L77" s="64"/>
      <c r="M77" s="64"/>
      <c r="N77" s="64"/>
      <c r="O77" s="56"/>
      <c r="P77" s="56"/>
      <c r="Q77" s="56"/>
      <c r="R77" s="71"/>
      <c r="S77" s="36"/>
      <c r="T77" s="36"/>
      <c r="U77" s="36"/>
      <c r="V77" s="85"/>
      <c r="W77" s="85"/>
      <c r="X77" s="34"/>
      <c r="Y77" s="64"/>
      <c r="AA77" s="9"/>
    </row>
    <row r="78" spans="3:27">
      <c r="C78" s="87"/>
      <c r="D78" s="12"/>
      <c r="E78" s="35"/>
      <c r="F78" s="36"/>
      <c r="G78" s="27"/>
      <c r="H78" s="27"/>
      <c r="I78" s="36"/>
      <c r="J78" s="54"/>
      <c r="K78" s="64"/>
      <c r="L78" s="64"/>
      <c r="M78" s="64"/>
      <c r="N78" s="64"/>
      <c r="O78" s="56"/>
      <c r="P78" s="56"/>
      <c r="Q78" s="56"/>
      <c r="R78" s="71"/>
      <c r="S78" s="36"/>
      <c r="T78" s="36"/>
      <c r="U78" s="36"/>
      <c r="V78" s="85"/>
      <c r="W78" s="85"/>
      <c r="X78" s="34"/>
      <c r="Y78" s="64"/>
      <c r="AA78" s="9"/>
    </row>
    <row r="79" spans="3:27">
      <c r="C79" s="87"/>
      <c r="D79" s="12"/>
      <c r="E79" s="35"/>
      <c r="F79" s="36"/>
      <c r="G79" s="27"/>
      <c r="H79" s="27"/>
      <c r="I79" s="36"/>
      <c r="J79" s="54"/>
      <c r="K79" s="64"/>
      <c r="L79" s="64"/>
      <c r="M79" s="64"/>
      <c r="N79" s="64"/>
      <c r="O79" s="56"/>
      <c r="P79" s="56"/>
      <c r="Q79" s="56"/>
      <c r="R79" s="71"/>
      <c r="S79" s="36"/>
      <c r="T79" s="36"/>
      <c r="U79" s="36"/>
      <c r="V79" s="85"/>
      <c r="W79" s="85"/>
      <c r="X79" s="34"/>
      <c r="Y79" s="64"/>
      <c r="AA79" s="9"/>
    </row>
    <row r="80" spans="3:27">
      <c r="C80" s="87"/>
      <c r="D80" s="12"/>
      <c r="E80" s="35"/>
      <c r="F80" s="36"/>
      <c r="G80" s="27"/>
      <c r="H80" s="27"/>
      <c r="I80" s="36"/>
      <c r="J80" s="54"/>
      <c r="K80" s="64"/>
      <c r="L80" s="64"/>
      <c r="M80" s="64"/>
      <c r="N80" s="64"/>
      <c r="O80" s="56"/>
      <c r="P80" s="56"/>
      <c r="Q80" s="56"/>
      <c r="R80" s="71"/>
      <c r="S80" s="36"/>
      <c r="T80" s="36"/>
      <c r="U80" s="36"/>
      <c r="V80" s="85"/>
      <c r="W80" s="85"/>
      <c r="X80" s="34"/>
      <c r="Y80" s="64"/>
      <c r="AA80" s="9"/>
    </row>
    <row r="81" spans="3:27">
      <c r="C81" s="87"/>
      <c r="D81" s="12"/>
      <c r="E81" s="35"/>
      <c r="F81" s="36"/>
      <c r="G81" s="27"/>
      <c r="H81" s="27"/>
      <c r="I81" s="36"/>
      <c r="J81" s="54"/>
      <c r="K81" s="64"/>
      <c r="L81" s="64"/>
      <c r="M81" s="64"/>
      <c r="N81" s="64"/>
      <c r="O81" s="56"/>
      <c r="P81" s="56"/>
      <c r="Q81" s="56"/>
      <c r="R81" s="71"/>
      <c r="S81" s="36"/>
      <c r="T81" s="36"/>
      <c r="U81" s="36"/>
      <c r="V81" s="85"/>
      <c r="W81" s="85"/>
      <c r="X81" s="34"/>
      <c r="Y81" s="64"/>
      <c r="AA81" s="9"/>
    </row>
    <row r="82" spans="3:27">
      <c r="C82" s="87"/>
      <c r="D82" s="12"/>
      <c r="E82" s="35"/>
      <c r="F82" s="36"/>
      <c r="G82" s="27"/>
      <c r="H82" s="27"/>
      <c r="I82" s="36"/>
      <c r="J82" s="54"/>
      <c r="K82" s="64"/>
      <c r="L82" s="64"/>
      <c r="M82" s="64"/>
      <c r="N82" s="64"/>
      <c r="O82" s="56"/>
      <c r="P82" s="56"/>
      <c r="Q82" s="56"/>
      <c r="R82" s="71"/>
      <c r="S82" s="36"/>
      <c r="T82" s="36"/>
      <c r="U82" s="36"/>
      <c r="V82" s="85"/>
      <c r="W82" s="85"/>
      <c r="X82" s="34"/>
      <c r="Y82" s="64"/>
      <c r="AA82" s="9"/>
    </row>
    <row r="83" spans="3:27">
      <c r="C83" s="87"/>
      <c r="D83" s="12"/>
      <c r="E83" s="35"/>
      <c r="F83" s="36"/>
      <c r="G83" s="27"/>
      <c r="H83" s="27"/>
      <c r="I83" s="36"/>
      <c r="J83" s="54"/>
      <c r="K83" s="64"/>
      <c r="L83" s="64"/>
      <c r="M83" s="64"/>
      <c r="N83" s="64"/>
      <c r="O83" s="56"/>
      <c r="P83" s="56"/>
      <c r="Q83" s="56"/>
      <c r="R83" s="71"/>
      <c r="S83" s="36"/>
      <c r="T83" s="36"/>
      <c r="U83" s="36"/>
      <c r="V83" s="85"/>
      <c r="W83" s="85"/>
      <c r="X83" s="34"/>
      <c r="Y83" s="64"/>
      <c r="AA83" s="9"/>
    </row>
    <row r="84" spans="3:27">
      <c r="C84" s="87"/>
      <c r="D84" s="12"/>
      <c r="E84" s="35"/>
      <c r="F84" s="36"/>
      <c r="G84" s="27"/>
      <c r="H84" s="27"/>
      <c r="I84" s="36"/>
      <c r="J84" s="54"/>
      <c r="K84" s="64"/>
      <c r="L84" s="64"/>
      <c r="M84" s="64"/>
      <c r="N84" s="64"/>
      <c r="O84" s="56"/>
      <c r="P84" s="56"/>
      <c r="Q84" s="56"/>
      <c r="R84" s="71"/>
      <c r="S84" s="36"/>
      <c r="T84" s="36"/>
      <c r="U84" s="36"/>
      <c r="V84" s="85"/>
      <c r="W84" s="85"/>
      <c r="X84" s="34"/>
      <c r="Y84" s="64"/>
      <c r="AA84" s="9"/>
    </row>
    <row r="85" spans="3:27">
      <c r="C85" s="87"/>
      <c r="D85" s="12"/>
      <c r="E85" s="35"/>
      <c r="F85" s="36"/>
      <c r="G85" s="27"/>
      <c r="H85" s="27"/>
      <c r="I85" s="36"/>
      <c r="J85" s="54"/>
      <c r="K85" s="64"/>
      <c r="L85" s="64"/>
      <c r="M85" s="64"/>
      <c r="N85" s="64"/>
      <c r="O85" s="56"/>
      <c r="P85" s="56"/>
      <c r="Q85" s="56"/>
      <c r="R85" s="71"/>
      <c r="S85" s="36"/>
      <c r="T85" s="36"/>
      <c r="U85" s="36"/>
      <c r="V85" s="85"/>
      <c r="W85" s="85"/>
      <c r="X85" s="34"/>
      <c r="Y85" s="64"/>
      <c r="AA85" s="9"/>
    </row>
    <row r="86" spans="3:27">
      <c r="C86" s="87"/>
      <c r="D86" s="12"/>
      <c r="E86" s="35"/>
      <c r="F86" s="36"/>
      <c r="G86" s="27"/>
      <c r="H86" s="27"/>
      <c r="I86" s="36"/>
      <c r="J86" s="54"/>
      <c r="K86" s="64"/>
      <c r="L86" s="64"/>
      <c r="M86" s="64"/>
      <c r="N86" s="64"/>
      <c r="O86" s="56"/>
      <c r="P86" s="56"/>
      <c r="Q86" s="56"/>
      <c r="R86" s="71"/>
      <c r="S86" s="36"/>
      <c r="T86" s="36"/>
      <c r="U86" s="36"/>
      <c r="V86" s="85"/>
      <c r="W86" s="85"/>
      <c r="X86" s="34"/>
      <c r="Y86" s="64"/>
      <c r="AA86" s="9"/>
    </row>
    <row r="87" spans="3:27">
      <c r="C87" s="87"/>
      <c r="D87" s="12"/>
      <c r="E87" s="35"/>
      <c r="F87" s="36"/>
      <c r="G87" s="27"/>
      <c r="H87" s="27"/>
      <c r="I87" s="36"/>
      <c r="J87" s="54"/>
      <c r="K87" s="64"/>
      <c r="L87" s="64"/>
      <c r="M87" s="64"/>
      <c r="N87" s="64"/>
      <c r="O87" s="56"/>
      <c r="P87" s="56"/>
      <c r="Q87" s="56"/>
      <c r="R87" s="71"/>
      <c r="S87" s="36"/>
      <c r="T87" s="36"/>
      <c r="U87" s="36"/>
      <c r="V87" s="85"/>
      <c r="W87" s="85"/>
      <c r="X87" s="34"/>
      <c r="Y87" s="64"/>
      <c r="AA87" s="9"/>
    </row>
    <row r="88" spans="3:27">
      <c r="C88" s="87"/>
      <c r="D88" s="12"/>
      <c r="E88" s="35"/>
      <c r="F88" s="36"/>
      <c r="G88" s="27"/>
      <c r="H88" s="27"/>
      <c r="I88" s="36"/>
      <c r="J88" s="54"/>
      <c r="K88" s="64"/>
      <c r="L88" s="64"/>
      <c r="M88" s="64"/>
      <c r="N88" s="64"/>
      <c r="O88" s="56"/>
      <c r="P88" s="56"/>
      <c r="Q88" s="56"/>
      <c r="R88" s="71"/>
      <c r="S88" s="36"/>
      <c r="T88" s="36"/>
      <c r="U88" s="36"/>
      <c r="V88" s="85"/>
      <c r="W88" s="85"/>
      <c r="X88" s="34"/>
      <c r="Y88" s="64"/>
      <c r="AA88" s="9"/>
    </row>
    <row r="89" spans="3:27">
      <c r="C89" s="87"/>
      <c r="D89" s="12"/>
      <c r="E89" s="35"/>
      <c r="F89" s="36"/>
      <c r="G89" s="27"/>
      <c r="H89" s="27"/>
      <c r="I89" s="36"/>
      <c r="J89" s="54"/>
      <c r="K89" s="64"/>
      <c r="L89" s="64"/>
      <c r="M89" s="64"/>
      <c r="N89" s="64"/>
      <c r="O89" s="56"/>
      <c r="P89" s="56"/>
      <c r="Q89" s="56"/>
      <c r="R89" s="71"/>
      <c r="S89" s="36"/>
      <c r="T89" s="36"/>
      <c r="U89" s="36"/>
      <c r="V89" s="85"/>
      <c r="W89" s="85"/>
      <c r="X89" s="34"/>
      <c r="Y89" s="64"/>
      <c r="AA89" s="9"/>
    </row>
    <row r="90" spans="3:27">
      <c r="C90" s="87"/>
      <c r="D90" s="12"/>
      <c r="E90" s="35"/>
      <c r="F90" s="36"/>
      <c r="G90" s="27"/>
      <c r="H90" s="27"/>
      <c r="I90" s="36"/>
      <c r="J90" s="54"/>
      <c r="K90" s="64"/>
      <c r="L90" s="64"/>
      <c r="M90" s="64"/>
      <c r="N90" s="64"/>
      <c r="O90" s="56"/>
      <c r="P90" s="56"/>
      <c r="Q90" s="56"/>
      <c r="R90" s="71"/>
      <c r="S90" s="36"/>
      <c r="T90" s="36"/>
      <c r="U90" s="36"/>
      <c r="V90" s="85"/>
      <c r="W90" s="85"/>
      <c r="X90" s="34"/>
      <c r="Y90" s="64"/>
      <c r="AA90" s="9"/>
    </row>
    <row r="91" spans="3:27">
      <c r="C91" s="87"/>
      <c r="D91" s="12"/>
      <c r="E91" s="35"/>
      <c r="F91" s="36"/>
      <c r="G91" s="27"/>
      <c r="H91" s="27"/>
      <c r="I91" s="36"/>
      <c r="J91" s="54"/>
      <c r="K91" s="64"/>
      <c r="L91" s="64"/>
      <c r="M91" s="64"/>
      <c r="N91" s="64"/>
      <c r="O91" s="56"/>
      <c r="P91" s="56"/>
      <c r="Q91" s="56"/>
      <c r="R91" s="71"/>
      <c r="S91" s="36"/>
      <c r="T91" s="36"/>
      <c r="U91" s="36"/>
      <c r="V91" s="85"/>
      <c r="W91" s="85"/>
      <c r="X91" s="34"/>
      <c r="Y91" s="64"/>
      <c r="AA91" s="9"/>
    </row>
    <row r="92" spans="3:27">
      <c r="C92" s="87"/>
      <c r="D92" s="12"/>
      <c r="E92" s="35"/>
      <c r="F92" s="36"/>
      <c r="G92" s="27"/>
      <c r="H92" s="27"/>
      <c r="I92" s="36"/>
      <c r="J92" s="54"/>
      <c r="K92" s="64"/>
      <c r="L92" s="64"/>
      <c r="M92" s="64"/>
      <c r="N92" s="64"/>
      <c r="O92" s="56"/>
      <c r="P92" s="56"/>
      <c r="Q92" s="56"/>
      <c r="R92" s="71"/>
      <c r="S92" s="36"/>
      <c r="T92" s="36"/>
      <c r="U92" s="36"/>
      <c r="V92" s="85"/>
      <c r="W92" s="85"/>
      <c r="X92" s="34"/>
      <c r="Y92" s="64"/>
      <c r="AA92" s="9"/>
    </row>
    <row r="93" spans="3:27">
      <c r="C93" s="87"/>
      <c r="D93" s="12"/>
      <c r="E93" s="35"/>
      <c r="F93" s="36"/>
      <c r="G93" s="27"/>
      <c r="H93" s="27"/>
      <c r="I93" s="36"/>
      <c r="J93" s="54"/>
      <c r="K93" s="64"/>
      <c r="L93" s="64"/>
      <c r="M93" s="64"/>
      <c r="N93" s="64"/>
      <c r="O93" s="56"/>
      <c r="P93" s="56"/>
      <c r="Q93" s="56"/>
      <c r="R93" s="71"/>
      <c r="S93" s="36"/>
      <c r="T93" s="36"/>
      <c r="U93" s="36"/>
      <c r="V93" s="85"/>
      <c r="W93" s="85"/>
      <c r="X93" s="34"/>
      <c r="Y93" s="64"/>
      <c r="AA93" s="9"/>
    </row>
    <row r="94" spans="3:27">
      <c r="C94" s="87"/>
      <c r="D94" s="12"/>
      <c r="E94" s="35"/>
      <c r="F94" s="36"/>
      <c r="G94" s="27"/>
      <c r="H94" s="27"/>
      <c r="I94" s="36"/>
      <c r="J94" s="54"/>
      <c r="K94" s="64"/>
      <c r="L94" s="64"/>
      <c r="M94" s="64"/>
      <c r="N94" s="64"/>
      <c r="O94" s="56"/>
      <c r="P94" s="56"/>
      <c r="Q94" s="56"/>
      <c r="R94" s="71"/>
      <c r="S94" s="36"/>
      <c r="T94" s="36"/>
      <c r="U94" s="36"/>
      <c r="V94" s="85"/>
      <c r="W94" s="85"/>
      <c r="X94" s="34"/>
      <c r="Y94" s="64"/>
      <c r="AA94" s="9"/>
    </row>
    <row r="95" spans="3:27">
      <c r="C95" s="87"/>
      <c r="D95" s="12"/>
      <c r="E95" s="35"/>
      <c r="F95" s="36"/>
      <c r="G95" s="27"/>
      <c r="H95" s="27"/>
      <c r="I95" s="36"/>
      <c r="J95" s="54"/>
      <c r="K95" s="64"/>
      <c r="L95" s="64"/>
      <c r="M95" s="64"/>
      <c r="N95" s="64"/>
      <c r="O95" s="56"/>
      <c r="P95" s="56"/>
      <c r="Q95" s="56"/>
      <c r="R95" s="71"/>
      <c r="S95" s="36"/>
      <c r="T95" s="36"/>
      <c r="U95" s="36"/>
      <c r="V95" s="85"/>
      <c r="W95" s="85"/>
      <c r="X95" s="34"/>
      <c r="Y95" s="64"/>
      <c r="AA95" s="9"/>
    </row>
    <row r="96" spans="3:27">
      <c r="C96" s="87"/>
      <c r="D96" s="12"/>
      <c r="E96" s="35"/>
      <c r="F96" s="36"/>
      <c r="G96" s="27"/>
      <c r="H96" s="27"/>
      <c r="I96" s="36"/>
      <c r="J96" s="54"/>
      <c r="K96" s="64"/>
      <c r="L96" s="64"/>
      <c r="M96" s="64"/>
      <c r="N96" s="64"/>
      <c r="O96" s="56"/>
      <c r="P96" s="56"/>
      <c r="Q96" s="56"/>
      <c r="R96" s="71"/>
      <c r="S96" s="36"/>
      <c r="T96" s="36"/>
      <c r="U96" s="36"/>
      <c r="V96" s="85"/>
      <c r="W96" s="85"/>
      <c r="X96" s="34"/>
      <c r="Y96" s="64"/>
      <c r="AA96" s="9"/>
    </row>
    <row r="97" spans="3:27">
      <c r="C97" s="87"/>
      <c r="D97" s="12"/>
      <c r="E97" s="35"/>
      <c r="F97" s="36"/>
      <c r="G97" s="27"/>
      <c r="H97" s="27"/>
      <c r="I97" s="36"/>
      <c r="J97" s="54"/>
      <c r="K97" s="64"/>
      <c r="L97" s="64"/>
      <c r="M97" s="64"/>
      <c r="N97" s="64"/>
      <c r="O97" s="56"/>
      <c r="P97" s="56"/>
      <c r="Q97" s="56"/>
      <c r="R97" s="71"/>
      <c r="S97" s="36"/>
      <c r="T97" s="36"/>
      <c r="U97" s="36"/>
      <c r="V97" s="85"/>
      <c r="W97" s="85"/>
      <c r="X97" s="34"/>
      <c r="Y97" s="64"/>
      <c r="AA97" s="9"/>
    </row>
    <row r="98" spans="3:27">
      <c r="C98" s="87"/>
      <c r="D98" s="12"/>
      <c r="E98" s="35"/>
      <c r="F98" s="36"/>
      <c r="G98" s="27"/>
      <c r="H98" s="27"/>
      <c r="I98" s="36"/>
      <c r="J98" s="54"/>
      <c r="K98" s="64"/>
      <c r="L98" s="64"/>
      <c r="M98" s="64"/>
      <c r="N98" s="64"/>
      <c r="O98" s="56"/>
      <c r="P98" s="56"/>
      <c r="Q98" s="56"/>
      <c r="R98" s="71"/>
      <c r="S98" s="36"/>
      <c r="T98" s="36"/>
      <c r="U98" s="36"/>
      <c r="V98" s="85"/>
      <c r="W98" s="85"/>
      <c r="X98" s="34"/>
      <c r="Y98" s="64"/>
      <c r="AA98" s="9"/>
    </row>
    <row r="99" spans="3:27">
      <c r="C99" s="87"/>
      <c r="D99" s="12"/>
      <c r="E99" s="35"/>
      <c r="F99" s="36"/>
      <c r="G99" s="27"/>
      <c r="H99" s="27"/>
      <c r="I99" s="36"/>
      <c r="J99" s="54"/>
      <c r="K99" s="64"/>
      <c r="L99" s="64"/>
      <c r="M99" s="64"/>
      <c r="N99" s="64"/>
      <c r="O99" s="56"/>
      <c r="P99" s="56"/>
      <c r="Q99" s="56"/>
      <c r="R99" s="71"/>
      <c r="S99" s="36"/>
      <c r="T99" s="36"/>
      <c r="U99" s="36"/>
      <c r="V99" s="85"/>
      <c r="W99" s="85"/>
      <c r="X99" s="34"/>
      <c r="Y99" s="64"/>
      <c r="AA99" s="9"/>
    </row>
    <row r="100" spans="3:27">
      <c r="C100" s="87"/>
      <c r="D100" s="12"/>
      <c r="E100" s="35"/>
      <c r="F100" s="36"/>
      <c r="G100" s="27"/>
      <c r="H100" s="27"/>
      <c r="I100" s="36"/>
      <c r="J100" s="54"/>
      <c r="K100" s="64"/>
      <c r="L100" s="64"/>
      <c r="M100" s="64"/>
      <c r="N100" s="64"/>
      <c r="O100" s="56"/>
      <c r="P100" s="56"/>
      <c r="Q100" s="56"/>
      <c r="R100" s="71"/>
      <c r="S100" s="36"/>
      <c r="T100" s="36"/>
      <c r="U100" s="36"/>
      <c r="V100" s="85"/>
      <c r="W100" s="85"/>
      <c r="X100" s="34"/>
      <c r="Y100" s="64"/>
      <c r="AA100" s="9"/>
    </row>
    <row r="101" spans="3:27">
      <c r="C101" s="87"/>
      <c r="D101" s="12"/>
      <c r="E101" s="35"/>
      <c r="F101" s="36"/>
      <c r="G101" s="27"/>
      <c r="H101" s="27"/>
      <c r="I101" s="36"/>
      <c r="J101" s="54"/>
      <c r="K101" s="64"/>
      <c r="L101" s="64"/>
      <c r="M101" s="64"/>
      <c r="N101" s="64"/>
      <c r="O101" s="56"/>
      <c r="P101" s="56"/>
      <c r="Q101" s="56"/>
      <c r="R101" s="71"/>
      <c r="S101" s="36"/>
      <c r="T101" s="36"/>
      <c r="U101" s="36"/>
      <c r="V101" s="85"/>
      <c r="W101" s="85"/>
      <c r="X101" s="34"/>
      <c r="Y101" s="64"/>
      <c r="AA101" s="9"/>
    </row>
    <row r="102" spans="3:27">
      <c r="C102" s="87"/>
      <c r="D102" s="12"/>
      <c r="E102" s="35"/>
      <c r="F102" s="36"/>
      <c r="G102" s="27"/>
      <c r="H102" s="27"/>
      <c r="I102" s="36"/>
      <c r="J102" s="54"/>
      <c r="K102" s="64"/>
      <c r="L102" s="64"/>
      <c r="M102" s="64"/>
      <c r="N102" s="64"/>
      <c r="O102" s="56"/>
      <c r="P102" s="56"/>
      <c r="Q102" s="56"/>
      <c r="R102" s="71"/>
      <c r="S102" s="36"/>
      <c r="T102" s="36"/>
      <c r="U102" s="36"/>
      <c r="V102" s="85"/>
      <c r="W102" s="85"/>
      <c r="X102" s="34"/>
      <c r="Y102" s="64"/>
      <c r="AA102" s="9"/>
    </row>
    <row r="103" spans="3:27">
      <c r="C103" s="87"/>
      <c r="D103" s="12"/>
      <c r="E103" s="35"/>
      <c r="F103" s="36"/>
      <c r="G103" s="27"/>
      <c r="H103" s="27"/>
      <c r="I103" s="36"/>
      <c r="J103" s="54"/>
      <c r="K103" s="64"/>
      <c r="L103" s="64"/>
      <c r="M103" s="64"/>
      <c r="N103" s="64"/>
      <c r="O103" s="56"/>
      <c r="P103" s="56"/>
      <c r="Q103" s="56"/>
      <c r="R103" s="71"/>
      <c r="S103" s="36"/>
      <c r="T103" s="36"/>
      <c r="U103" s="36"/>
      <c r="V103" s="85"/>
      <c r="W103" s="85"/>
      <c r="X103" s="34"/>
      <c r="Y103" s="64"/>
      <c r="AA103" s="9"/>
    </row>
    <row r="104" spans="3:27">
      <c r="C104" s="87"/>
      <c r="D104" s="12"/>
      <c r="E104" s="35"/>
      <c r="F104" s="36"/>
      <c r="G104" s="27"/>
      <c r="H104" s="27"/>
      <c r="I104" s="36"/>
      <c r="J104" s="54"/>
      <c r="K104" s="64"/>
      <c r="L104" s="64"/>
      <c r="M104" s="64"/>
      <c r="N104" s="64"/>
      <c r="O104" s="56"/>
      <c r="P104" s="56"/>
      <c r="Q104" s="56"/>
      <c r="R104" s="71"/>
      <c r="S104" s="36"/>
      <c r="T104" s="36"/>
      <c r="U104" s="36"/>
      <c r="V104" s="85"/>
      <c r="W104" s="85"/>
      <c r="X104" s="34"/>
      <c r="Y104" s="64"/>
      <c r="AA104" s="9"/>
    </row>
    <row r="105" spans="3:27">
      <c r="C105" s="87"/>
      <c r="D105" s="12"/>
      <c r="E105" s="35"/>
      <c r="F105" s="36"/>
      <c r="G105" s="27"/>
      <c r="H105" s="27"/>
      <c r="I105" s="36"/>
      <c r="J105" s="54"/>
      <c r="K105" s="64"/>
      <c r="L105" s="64"/>
      <c r="M105" s="64"/>
      <c r="N105" s="64"/>
      <c r="O105" s="56"/>
      <c r="P105" s="56"/>
      <c r="Q105" s="56"/>
      <c r="R105" s="71"/>
      <c r="S105" s="36"/>
      <c r="T105" s="36"/>
      <c r="U105" s="36"/>
      <c r="V105" s="85"/>
      <c r="W105" s="85"/>
      <c r="X105" s="34"/>
      <c r="Y105" s="64"/>
      <c r="AA105" s="9"/>
    </row>
    <row r="106" spans="3:27">
      <c r="C106" s="87"/>
      <c r="D106" s="12"/>
      <c r="E106" s="35"/>
      <c r="F106" s="36"/>
      <c r="G106" s="27"/>
      <c r="H106" s="27"/>
      <c r="I106" s="36"/>
      <c r="J106" s="54"/>
      <c r="K106" s="64"/>
      <c r="L106" s="64"/>
      <c r="M106" s="64"/>
      <c r="N106" s="64"/>
      <c r="O106" s="56"/>
      <c r="P106" s="56"/>
      <c r="Q106" s="56"/>
      <c r="R106" s="71"/>
      <c r="S106" s="36"/>
      <c r="T106" s="36"/>
      <c r="U106" s="36"/>
      <c r="V106" s="85"/>
      <c r="W106" s="85"/>
      <c r="X106" s="34"/>
      <c r="Y106" s="64"/>
      <c r="AA106" s="9"/>
    </row>
    <row r="107" spans="3:27">
      <c r="C107" s="87"/>
      <c r="D107" s="12"/>
      <c r="E107" s="35"/>
      <c r="F107" s="36"/>
      <c r="G107" s="27"/>
      <c r="H107" s="27"/>
      <c r="I107" s="36"/>
      <c r="J107" s="54"/>
      <c r="K107" s="64"/>
      <c r="L107" s="64"/>
      <c r="M107" s="64"/>
      <c r="N107" s="64"/>
      <c r="O107" s="56"/>
      <c r="P107" s="56"/>
      <c r="Q107" s="56"/>
      <c r="R107" s="71"/>
      <c r="S107" s="36"/>
      <c r="T107" s="36"/>
      <c r="U107" s="36"/>
      <c r="V107" s="85"/>
      <c r="W107" s="85"/>
      <c r="X107" s="34"/>
      <c r="Y107" s="64"/>
      <c r="AA107" s="9"/>
    </row>
    <row r="108" spans="3:27">
      <c r="C108" s="87"/>
      <c r="D108" s="12"/>
      <c r="E108" s="35"/>
      <c r="F108" s="36"/>
      <c r="G108" s="27"/>
      <c r="H108" s="27"/>
      <c r="I108" s="36"/>
      <c r="J108" s="54"/>
      <c r="K108" s="64"/>
      <c r="L108" s="64"/>
      <c r="M108" s="64"/>
      <c r="N108" s="64"/>
      <c r="O108" s="56"/>
      <c r="P108" s="56"/>
      <c r="Q108" s="56"/>
      <c r="R108" s="71"/>
      <c r="S108" s="36"/>
      <c r="T108" s="36"/>
      <c r="U108" s="36"/>
      <c r="V108" s="85"/>
      <c r="W108" s="85"/>
      <c r="X108" s="34"/>
      <c r="Y108" s="64"/>
      <c r="AA108" s="9"/>
    </row>
    <row r="109" spans="3:27">
      <c r="C109" s="87"/>
      <c r="D109" s="12"/>
      <c r="E109" s="35"/>
      <c r="F109" s="36"/>
      <c r="G109" s="27"/>
      <c r="H109" s="27"/>
      <c r="I109" s="36"/>
      <c r="J109" s="54"/>
      <c r="K109" s="64"/>
      <c r="L109" s="64"/>
      <c r="M109" s="64"/>
      <c r="N109" s="64"/>
      <c r="O109" s="56"/>
      <c r="P109" s="56"/>
      <c r="Q109" s="56"/>
      <c r="R109" s="71"/>
      <c r="S109" s="36"/>
      <c r="T109" s="36"/>
      <c r="U109" s="36"/>
      <c r="V109" s="85"/>
      <c r="W109" s="85"/>
      <c r="X109" s="34"/>
      <c r="Y109" s="64"/>
      <c r="AA109" s="9"/>
    </row>
    <row r="110" spans="3:27">
      <c r="C110" s="87"/>
      <c r="D110" s="12"/>
      <c r="E110" s="35"/>
      <c r="F110" s="36"/>
      <c r="G110" s="27"/>
      <c r="H110" s="27"/>
      <c r="I110" s="36"/>
      <c r="J110" s="54"/>
      <c r="K110" s="64"/>
      <c r="L110" s="64"/>
      <c r="M110" s="64"/>
      <c r="N110" s="64"/>
      <c r="O110" s="56"/>
      <c r="P110" s="56"/>
      <c r="Q110" s="56"/>
      <c r="R110" s="71"/>
      <c r="S110" s="36"/>
      <c r="T110" s="36"/>
      <c r="U110" s="36"/>
      <c r="V110" s="85"/>
      <c r="W110" s="85"/>
      <c r="X110" s="34"/>
      <c r="Y110" s="64"/>
      <c r="AA110" s="9"/>
    </row>
    <row r="111" spans="3:27">
      <c r="C111" s="87"/>
      <c r="D111" s="12"/>
      <c r="E111" s="35"/>
      <c r="F111" s="36"/>
      <c r="G111" s="27"/>
      <c r="H111" s="27"/>
      <c r="I111" s="36"/>
      <c r="J111" s="54"/>
      <c r="K111" s="64"/>
      <c r="L111" s="64"/>
      <c r="M111" s="64"/>
      <c r="N111" s="64"/>
      <c r="O111" s="56"/>
      <c r="P111" s="56"/>
      <c r="Q111" s="56"/>
      <c r="R111" s="71"/>
      <c r="S111" s="36"/>
      <c r="T111" s="36"/>
      <c r="U111" s="36"/>
      <c r="V111" s="85"/>
      <c r="W111" s="85"/>
      <c r="X111" s="34"/>
      <c r="Y111" s="64"/>
      <c r="AA111" s="9"/>
    </row>
    <row r="112" spans="3:27">
      <c r="C112" s="87"/>
      <c r="D112" s="12"/>
      <c r="E112" s="35"/>
      <c r="F112" s="36"/>
      <c r="G112" s="27"/>
      <c r="H112" s="27"/>
      <c r="I112" s="36"/>
      <c r="J112" s="54"/>
      <c r="K112" s="64"/>
      <c r="L112" s="64"/>
      <c r="M112" s="64"/>
      <c r="N112" s="64"/>
      <c r="O112" s="56"/>
      <c r="P112" s="56"/>
      <c r="Q112" s="56"/>
      <c r="R112" s="71"/>
      <c r="S112" s="36"/>
      <c r="T112" s="36"/>
      <c r="U112" s="36"/>
      <c r="V112" s="85"/>
      <c r="W112" s="85"/>
      <c r="X112" s="34"/>
      <c r="Y112" s="64"/>
      <c r="AA112" s="9"/>
    </row>
    <row r="113" spans="3:27">
      <c r="C113" s="87"/>
      <c r="D113" s="12"/>
      <c r="E113" s="35"/>
      <c r="F113" s="36"/>
      <c r="G113" s="27"/>
      <c r="H113" s="27"/>
      <c r="I113" s="36"/>
      <c r="J113" s="54"/>
      <c r="K113" s="64"/>
      <c r="L113" s="64"/>
      <c r="M113" s="64"/>
      <c r="N113" s="64"/>
      <c r="O113" s="56"/>
      <c r="P113" s="56"/>
      <c r="Q113" s="56"/>
      <c r="R113" s="71"/>
      <c r="S113" s="36"/>
      <c r="T113" s="36"/>
      <c r="U113" s="36"/>
      <c r="V113" s="85"/>
      <c r="W113" s="85"/>
      <c r="X113" s="34"/>
      <c r="Y113" s="64"/>
      <c r="AA113" s="9"/>
    </row>
    <row r="114" spans="3:27">
      <c r="C114" s="87"/>
      <c r="D114" s="12"/>
      <c r="E114" s="35"/>
      <c r="F114" s="36"/>
      <c r="G114" s="27"/>
      <c r="H114" s="27"/>
      <c r="I114" s="36"/>
      <c r="J114" s="54"/>
      <c r="K114" s="64"/>
      <c r="L114" s="64"/>
      <c r="M114" s="64"/>
      <c r="N114" s="64"/>
      <c r="O114" s="56"/>
      <c r="P114" s="56"/>
      <c r="Q114" s="56"/>
      <c r="R114" s="71"/>
      <c r="S114" s="36"/>
      <c r="T114" s="36"/>
      <c r="U114" s="36"/>
      <c r="V114" s="85"/>
      <c r="W114" s="85"/>
      <c r="X114" s="34"/>
      <c r="Y114" s="64"/>
      <c r="AA114" s="9"/>
    </row>
    <row r="115" spans="3:27">
      <c r="C115" s="87"/>
      <c r="D115" s="12"/>
      <c r="E115" s="35"/>
      <c r="F115" s="36"/>
      <c r="G115" s="27"/>
      <c r="H115" s="27"/>
      <c r="I115" s="36"/>
      <c r="J115" s="54"/>
      <c r="K115" s="64"/>
      <c r="L115" s="64"/>
      <c r="M115" s="64"/>
      <c r="N115" s="64"/>
      <c r="O115" s="56"/>
      <c r="P115" s="56"/>
      <c r="Q115" s="56"/>
      <c r="R115" s="71"/>
      <c r="S115" s="36"/>
      <c r="T115" s="36"/>
      <c r="U115" s="36"/>
      <c r="V115" s="85"/>
      <c r="W115" s="85"/>
      <c r="X115" s="34"/>
      <c r="Y115" s="64"/>
      <c r="AA115" s="9"/>
    </row>
    <row r="116" spans="3:27">
      <c r="C116" s="87"/>
      <c r="D116" s="12"/>
      <c r="E116" s="35"/>
      <c r="F116" s="36"/>
      <c r="G116" s="27"/>
      <c r="H116" s="27"/>
      <c r="I116" s="36"/>
      <c r="J116" s="54"/>
      <c r="K116" s="64"/>
      <c r="L116" s="64"/>
      <c r="M116" s="64"/>
      <c r="N116" s="64"/>
      <c r="O116" s="56"/>
      <c r="P116" s="56"/>
      <c r="Q116" s="56"/>
      <c r="R116" s="71"/>
      <c r="S116" s="36"/>
      <c r="T116" s="36"/>
      <c r="U116" s="36"/>
      <c r="V116" s="85"/>
      <c r="W116" s="85"/>
      <c r="X116" s="34"/>
      <c r="Y116" s="64"/>
      <c r="AA116" s="9"/>
    </row>
    <row r="117" spans="3:27">
      <c r="C117" s="87"/>
      <c r="D117" s="12"/>
      <c r="E117" s="35"/>
      <c r="F117" s="36"/>
      <c r="G117" s="27"/>
      <c r="H117" s="27"/>
      <c r="I117" s="36"/>
      <c r="J117" s="54"/>
      <c r="K117" s="64"/>
      <c r="L117" s="64"/>
      <c r="M117" s="64"/>
      <c r="N117" s="64"/>
      <c r="O117" s="56"/>
      <c r="P117" s="56"/>
      <c r="Q117" s="56"/>
      <c r="R117" s="71"/>
      <c r="S117" s="36"/>
      <c r="T117" s="36"/>
      <c r="U117" s="36"/>
      <c r="V117" s="85"/>
      <c r="W117" s="85"/>
      <c r="X117" s="34"/>
      <c r="Y117" s="64"/>
      <c r="AA117" s="9"/>
    </row>
    <row r="118" spans="3:27">
      <c r="C118" s="87"/>
      <c r="D118" s="12"/>
      <c r="E118" s="35"/>
      <c r="F118" s="36"/>
      <c r="G118" s="27"/>
      <c r="H118" s="27"/>
      <c r="I118" s="36"/>
      <c r="J118" s="54"/>
      <c r="K118" s="64"/>
      <c r="L118" s="64"/>
      <c r="M118" s="64"/>
      <c r="N118" s="64"/>
      <c r="O118" s="56"/>
      <c r="P118" s="56"/>
      <c r="Q118" s="56"/>
      <c r="R118" s="71"/>
      <c r="S118" s="36"/>
      <c r="T118" s="36"/>
      <c r="U118" s="36"/>
      <c r="V118" s="85"/>
      <c r="W118" s="85"/>
      <c r="X118" s="34"/>
      <c r="Y118" s="64"/>
      <c r="AA118" s="9"/>
    </row>
    <row r="119" spans="3:27">
      <c r="C119" s="87"/>
      <c r="D119" s="12"/>
      <c r="E119" s="35"/>
      <c r="F119" s="36"/>
      <c r="G119" s="27"/>
      <c r="H119" s="27"/>
      <c r="I119" s="36"/>
      <c r="J119" s="54"/>
      <c r="K119" s="64"/>
      <c r="L119" s="64"/>
      <c r="M119" s="64"/>
      <c r="N119" s="64"/>
      <c r="O119" s="56"/>
      <c r="P119" s="56"/>
      <c r="Q119" s="56"/>
      <c r="R119" s="71"/>
      <c r="S119" s="36"/>
      <c r="T119" s="36"/>
      <c r="U119" s="36"/>
      <c r="V119" s="85"/>
      <c r="W119" s="85"/>
      <c r="X119" s="34"/>
      <c r="Y119" s="64"/>
      <c r="AA119" s="9"/>
    </row>
    <row r="120" spans="3:27">
      <c r="C120" s="87"/>
      <c r="D120" s="12"/>
      <c r="E120" s="35"/>
      <c r="F120" s="36"/>
      <c r="G120" s="27"/>
      <c r="H120" s="27"/>
      <c r="I120" s="36"/>
      <c r="J120" s="54"/>
      <c r="K120" s="64"/>
      <c r="L120" s="64"/>
      <c r="M120" s="64"/>
      <c r="N120" s="64"/>
      <c r="O120" s="56"/>
      <c r="P120" s="56"/>
      <c r="Q120" s="56"/>
      <c r="R120" s="71"/>
      <c r="S120" s="36"/>
      <c r="T120" s="36"/>
      <c r="U120" s="36"/>
      <c r="V120" s="85"/>
      <c r="W120" s="85"/>
      <c r="X120" s="34"/>
      <c r="Y120" s="64"/>
      <c r="AA120" s="9"/>
    </row>
    <row r="121" spans="3:27">
      <c r="C121" s="87"/>
      <c r="D121" s="12"/>
      <c r="E121" s="35"/>
      <c r="F121" s="36"/>
      <c r="G121" s="27"/>
      <c r="H121" s="27"/>
      <c r="I121" s="36"/>
      <c r="J121" s="54"/>
      <c r="K121" s="64"/>
      <c r="L121" s="64"/>
      <c r="M121" s="64"/>
      <c r="N121" s="64"/>
      <c r="O121" s="56"/>
      <c r="P121" s="56"/>
      <c r="Q121" s="56"/>
      <c r="R121" s="71"/>
      <c r="S121" s="36"/>
      <c r="T121" s="36"/>
      <c r="U121" s="36"/>
      <c r="V121" s="85"/>
      <c r="W121" s="85"/>
      <c r="X121" s="34"/>
      <c r="Y121" s="64"/>
      <c r="AA121" s="9"/>
    </row>
    <row r="122" spans="3:27">
      <c r="C122" s="87"/>
      <c r="D122" s="12"/>
      <c r="E122" s="35"/>
      <c r="F122" s="36"/>
      <c r="G122" s="27"/>
      <c r="H122" s="27"/>
      <c r="I122" s="36"/>
      <c r="J122" s="54"/>
      <c r="K122" s="64"/>
      <c r="L122" s="64"/>
      <c r="M122" s="64"/>
      <c r="N122" s="64"/>
      <c r="O122" s="56"/>
      <c r="P122" s="56"/>
      <c r="Q122" s="56"/>
      <c r="R122" s="71"/>
      <c r="S122" s="36"/>
      <c r="T122" s="36"/>
      <c r="U122" s="36"/>
      <c r="V122" s="85"/>
      <c r="W122" s="85"/>
      <c r="X122" s="34"/>
      <c r="Y122" s="64"/>
      <c r="AA122" s="9"/>
    </row>
    <row r="123" spans="3:27">
      <c r="C123" s="87"/>
      <c r="D123" s="12"/>
      <c r="E123" s="35"/>
      <c r="F123" s="36"/>
      <c r="G123" s="27"/>
      <c r="H123" s="27"/>
      <c r="I123" s="36"/>
      <c r="J123" s="54"/>
      <c r="K123" s="64"/>
      <c r="L123" s="64"/>
      <c r="M123" s="64"/>
      <c r="N123" s="64"/>
      <c r="O123" s="56"/>
      <c r="P123" s="56"/>
      <c r="Q123" s="56"/>
      <c r="R123" s="71"/>
      <c r="S123" s="36"/>
      <c r="T123" s="36"/>
      <c r="U123" s="36"/>
      <c r="V123" s="85"/>
      <c r="W123" s="85"/>
      <c r="X123" s="34"/>
      <c r="Y123" s="64"/>
      <c r="AA123" s="9"/>
    </row>
    <row r="124" spans="3:27">
      <c r="C124" s="87"/>
      <c r="D124" s="12"/>
      <c r="E124" s="35"/>
      <c r="F124" s="36"/>
      <c r="G124" s="27"/>
      <c r="H124" s="27"/>
      <c r="I124" s="36"/>
      <c r="J124" s="54"/>
      <c r="K124" s="64"/>
      <c r="L124" s="64"/>
      <c r="M124" s="64"/>
      <c r="N124" s="64"/>
      <c r="O124" s="56"/>
      <c r="P124" s="56"/>
      <c r="Q124" s="56"/>
      <c r="R124" s="71"/>
      <c r="S124" s="36"/>
      <c r="T124" s="36"/>
      <c r="U124" s="36"/>
      <c r="V124" s="85"/>
      <c r="W124" s="85"/>
      <c r="X124" s="34"/>
      <c r="Y124" s="64"/>
      <c r="AA124" s="9"/>
    </row>
    <row r="125" spans="3:27">
      <c r="C125" s="87"/>
      <c r="D125" s="12"/>
      <c r="E125" s="35"/>
      <c r="F125" s="36"/>
      <c r="G125" s="27"/>
      <c r="H125" s="27"/>
      <c r="I125" s="36"/>
      <c r="J125" s="54"/>
      <c r="K125" s="64"/>
      <c r="L125" s="64"/>
      <c r="M125" s="64"/>
      <c r="N125" s="64"/>
      <c r="O125" s="56"/>
      <c r="P125" s="56"/>
      <c r="Q125" s="56"/>
      <c r="R125" s="71"/>
      <c r="S125" s="36"/>
      <c r="T125" s="36"/>
      <c r="U125" s="36"/>
      <c r="V125" s="85"/>
      <c r="W125" s="85"/>
      <c r="X125" s="34"/>
      <c r="Y125" s="64"/>
      <c r="AA125" s="9"/>
    </row>
    <row r="126" spans="3:27">
      <c r="C126" s="87"/>
      <c r="D126" s="12"/>
      <c r="E126" s="35"/>
      <c r="F126" s="36"/>
      <c r="G126" s="27"/>
      <c r="H126" s="27"/>
      <c r="I126" s="36"/>
      <c r="J126" s="54"/>
      <c r="K126" s="64"/>
      <c r="L126" s="64"/>
      <c r="M126" s="64"/>
      <c r="N126" s="64"/>
      <c r="O126" s="56"/>
      <c r="P126" s="56"/>
      <c r="Q126" s="56"/>
      <c r="R126" s="71"/>
      <c r="S126" s="36"/>
      <c r="T126" s="36"/>
      <c r="U126" s="36"/>
      <c r="V126" s="85"/>
      <c r="W126" s="85"/>
      <c r="X126" s="34"/>
      <c r="Y126" s="64"/>
      <c r="AA126" s="9"/>
    </row>
    <row r="127" spans="3:27">
      <c r="C127" s="87"/>
      <c r="D127" s="12"/>
      <c r="E127" s="35"/>
      <c r="F127" s="36"/>
      <c r="G127" s="27"/>
      <c r="H127" s="27"/>
      <c r="I127" s="36"/>
      <c r="J127" s="54"/>
      <c r="K127" s="64"/>
      <c r="L127" s="64"/>
      <c r="M127" s="64"/>
      <c r="N127" s="64"/>
      <c r="O127" s="56"/>
      <c r="P127" s="56"/>
      <c r="Q127" s="56"/>
      <c r="R127" s="71"/>
      <c r="S127" s="36"/>
      <c r="T127" s="36"/>
      <c r="U127" s="36"/>
      <c r="V127" s="85"/>
      <c r="W127" s="85"/>
      <c r="X127" s="34"/>
      <c r="Y127" s="64"/>
      <c r="AA127" s="9"/>
    </row>
    <row r="128" spans="3:27">
      <c r="C128" s="87"/>
      <c r="D128" s="12"/>
      <c r="E128" s="35"/>
      <c r="F128" s="36"/>
      <c r="G128" s="27"/>
      <c r="H128" s="27"/>
      <c r="I128" s="36"/>
      <c r="J128" s="54"/>
      <c r="K128" s="64"/>
      <c r="L128" s="64"/>
      <c r="M128" s="64"/>
      <c r="N128" s="64"/>
      <c r="O128" s="56"/>
      <c r="P128" s="56"/>
      <c r="Q128" s="56"/>
      <c r="R128" s="71"/>
      <c r="S128" s="36"/>
      <c r="T128" s="36"/>
      <c r="U128" s="36"/>
      <c r="V128" s="85"/>
      <c r="W128" s="85"/>
      <c r="X128" s="34"/>
      <c r="Y128" s="64"/>
      <c r="AA128" s="9"/>
    </row>
    <row r="129" spans="3:27">
      <c r="C129" s="87"/>
      <c r="D129" s="12"/>
      <c r="E129" s="35"/>
      <c r="F129" s="36"/>
      <c r="G129" s="27"/>
      <c r="H129" s="27"/>
      <c r="I129" s="36"/>
      <c r="J129" s="54"/>
      <c r="K129" s="64"/>
      <c r="L129" s="64"/>
      <c r="M129" s="64"/>
      <c r="N129" s="64"/>
      <c r="O129" s="56"/>
      <c r="P129" s="56"/>
      <c r="Q129" s="56"/>
      <c r="R129" s="71"/>
      <c r="S129" s="36"/>
      <c r="T129" s="36"/>
      <c r="U129" s="36"/>
      <c r="V129" s="85"/>
      <c r="W129" s="85"/>
      <c r="X129" s="34"/>
      <c r="Y129" s="64"/>
      <c r="AA129" s="9"/>
    </row>
    <row r="130" spans="3:27">
      <c r="C130" s="87"/>
      <c r="D130" s="12"/>
      <c r="E130" s="35"/>
      <c r="F130" s="36"/>
      <c r="G130" s="27"/>
      <c r="H130" s="27"/>
      <c r="I130" s="36"/>
      <c r="J130" s="54"/>
      <c r="K130" s="64"/>
      <c r="L130" s="64"/>
      <c r="M130" s="64"/>
      <c r="N130" s="64"/>
      <c r="O130" s="56"/>
      <c r="P130" s="56"/>
      <c r="Q130" s="56"/>
      <c r="R130" s="71"/>
      <c r="S130" s="36"/>
      <c r="T130" s="36"/>
      <c r="U130" s="36"/>
      <c r="V130" s="85"/>
      <c r="W130" s="85"/>
      <c r="X130" s="34"/>
      <c r="Y130" s="64"/>
      <c r="AA130" s="9"/>
    </row>
    <row r="131" spans="3:27">
      <c r="C131" s="87"/>
      <c r="D131" s="12"/>
      <c r="E131" s="35"/>
      <c r="F131" s="36"/>
      <c r="G131" s="27"/>
      <c r="H131" s="27"/>
      <c r="I131" s="36"/>
      <c r="J131" s="54"/>
      <c r="K131" s="64"/>
      <c r="L131" s="64"/>
      <c r="M131" s="64"/>
      <c r="N131" s="64"/>
      <c r="O131" s="56"/>
      <c r="P131" s="56"/>
      <c r="Q131" s="56"/>
      <c r="R131" s="71"/>
      <c r="S131" s="36"/>
      <c r="T131" s="36"/>
      <c r="U131" s="36"/>
      <c r="V131" s="85"/>
      <c r="W131" s="85"/>
      <c r="X131" s="34"/>
      <c r="Y131" s="64"/>
      <c r="AA131" s="9"/>
    </row>
    <row r="132" spans="3:27">
      <c r="C132" s="87"/>
      <c r="D132" s="12"/>
      <c r="E132" s="35"/>
      <c r="F132" s="36"/>
      <c r="G132" s="27"/>
      <c r="H132" s="27"/>
      <c r="I132" s="36"/>
      <c r="J132" s="54"/>
      <c r="K132" s="64"/>
      <c r="L132" s="64"/>
      <c r="M132" s="64"/>
      <c r="N132" s="64"/>
      <c r="O132" s="56"/>
      <c r="P132" s="56"/>
      <c r="Q132" s="56"/>
      <c r="R132" s="71"/>
      <c r="S132" s="36"/>
      <c r="T132" s="36"/>
      <c r="U132" s="36"/>
      <c r="V132" s="85"/>
      <c r="W132" s="85"/>
      <c r="X132" s="34"/>
      <c r="Y132" s="64"/>
      <c r="AA132" s="9"/>
    </row>
    <row r="133" spans="3:27">
      <c r="C133" s="87"/>
      <c r="D133" s="12"/>
      <c r="E133" s="35"/>
      <c r="F133" s="36"/>
      <c r="G133" s="27"/>
      <c r="H133" s="27"/>
      <c r="I133" s="36"/>
      <c r="J133" s="54"/>
      <c r="K133" s="64"/>
      <c r="L133" s="64"/>
      <c r="M133" s="64"/>
      <c r="N133" s="64"/>
      <c r="O133" s="56"/>
      <c r="P133" s="56"/>
      <c r="Q133" s="56"/>
      <c r="R133" s="71"/>
      <c r="S133" s="36"/>
      <c r="T133" s="36"/>
      <c r="U133" s="36"/>
      <c r="V133" s="85"/>
      <c r="W133" s="85"/>
      <c r="X133" s="34"/>
      <c r="Y133" s="64"/>
      <c r="AA133" s="9"/>
    </row>
    <row r="134" spans="3:27">
      <c r="C134" s="87"/>
      <c r="D134" s="12"/>
      <c r="E134" s="35"/>
      <c r="F134" s="36"/>
      <c r="G134" s="27"/>
      <c r="H134" s="27"/>
      <c r="I134" s="36"/>
      <c r="J134" s="54"/>
      <c r="K134" s="64"/>
      <c r="L134" s="64"/>
      <c r="M134" s="64"/>
      <c r="N134" s="64"/>
      <c r="O134" s="56"/>
      <c r="P134" s="56"/>
      <c r="Q134" s="56"/>
      <c r="R134" s="71"/>
      <c r="S134" s="36"/>
      <c r="T134" s="36"/>
      <c r="U134" s="36"/>
      <c r="V134" s="85"/>
      <c r="W134" s="85"/>
      <c r="X134" s="34"/>
      <c r="Y134" s="64"/>
      <c r="AA134" s="9"/>
    </row>
    <row r="135" spans="3:27">
      <c r="C135" s="87"/>
      <c r="D135" s="12"/>
      <c r="E135" s="35"/>
      <c r="F135" s="36"/>
      <c r="G135" s="27"/>
      <c r="H135" s="27"/>
      <c r="I135" s="36"/>
      <c r="J135" s="54"/>
      <c r="K135" s="64"/>
      <c r="L135" s="64"/>
      <c r="M135" s="64"/>
      <c r="N135" s="64"/>
      <c r="O135" s="56"/>
      <c r="P135" s="56"/>
      <c r="Q135" s="56"/>
      <c r="R135" s="71"/>
      <c r="S135" s="36"/>
      <c r="T135" s="36"/>
      <c r="U135" s="36"/>
      <c r="V135" s="85"/>
      <c r="W135" s="85"/>
      <c r="X135" s="34"/>
      <c r="Y135" s="64"/>
      <c r="AA135" s="9"/>
    </row>
    <row r="136" spans="3:27" s="12" customFormat="1">
      <c r="G136" s="55"/>
      <c r="H136" s="73"/>
      <c r="I136" s="56"/>
      <c r="J136" s="64"/>
      <c r="K136" s="64"/>
      <c r="L136" s="64"/>
      <c r="M136" s="64"/>
      <c r="N136" s="64"/>
      <c r="O136" s="64"/>
      <c r="P136" s="64"/>
      <c r="Q136" s="64"/>
      <c r="R136" s="56"/>
      <c r="S136" s="56"/>
      <c r="T136" s="56"/>
      <c r="U136" s="74"/>
      <c r="V136" s="56"/>
      <c r="W136" s="56"/>
      <c r="X136" s="56"/>
      <c r="Y136" s="64"/>
      <c r="AA136" s="74"/>
    </row>
    <row r="137" spans="3:27" s="12" customFormat="1">
      <c r="G137" s="55"/>
      <c r="H137" s="73"/>
      <c r="I137" s="56"/>
      <c r="J137" s="64"/>
      <c r="K137" s="64"/>
      <c r="L137" s="64"/>
      <c r="M137" s="64"/>
      <c r="N137" s="64"/>
      <c r="O137" s="64"/>
      <c r="P137" s="64"/>
      <c r="Q137" s="64"/>
      <c r="R137" s="56"/>
      <c r="S137" s="56"/>
      <c r="T137" s="56"/>
      <c r="U137" s="74"/>
      <c r="V137" s="56"/>
      <c r="W137" s="56"/>
      <c r="X137" s="56"/>
      <c r="Y137" s="64"/>
      <c r="AA137" s="74"/>
    </row>
    <row r="138" spans="3:27" s="12" customFormat="1">
      <c r="G138" s="55"/>
      <c r="H138" s="73"/>
      <c r="I138" s="56"/>
      <c r="J138" s="64"/>
      <c r="K138" s="64"/>
      <c r="L138" s="64"/>
      <c r="M138" s="64"/>
      <c r="N138" s="64"/>
      <c r="O138" s="64"/>
      <c r="P138" s="64"/>
      <c r="Q138" s="64"/>
      <c r="R138" s="56"/>
      <c r="S138" s="56"/>
      <c r="T138" s="56"/>
      <c r="U138" s="74"/>
      <c r="V138" s="56"/>
      <c r="W138" s="56"/>
      <c r="X138" s="56"/>
      <c r="Y138" s="64"/>
      <c r="AA138" s="74"/>
    </row>
    <row r="139" spans="3:27" s="12" customFormat="1">
      <c r="G139" s="55"/>
      <c r="H139" s="73"/>
      <c r="I139" s="56"/>
      <c r="J139" s="64"/>
      <c r="K139" s="64"/>
      <c r="L139" s="64"/>
      <c r="M139" s="64"/>
      <c r="N139" s="64"/>
      <c r="O139" s="64"/>
      <c r="P139" s="64"/>
      <c r="Q139" s="64"/>
      <c r="R139" s="56"/>
      <c r="S139" s="56"/>
      <c r="T139" s="56"/>
      <c r="U139" s="74"/>
      <c r="V139" s="56"/>
      <c r="W139" s="56"/>
      <c r="X139" s="56"/>
      <c r="Y139" s="64"/>
      <c r="AA139" s="74"/>
    </row>
    <row r="140" spans="3:27" s="12" customFormat="1">
      <c r="G140" s="55"/>
      <c r="H140" s="73"/>
      <c r="I140" s="56"/>
      <c r="J140" s="64"/>
      <c r="K140" s="64"/>
      <c r="L140" s="64"/>
      <c r="M140" s="64"/>
      <c r="N140" s="64"/>
      <c r="O140" s="64"/>
      <c r="P140" s="64"/>
      <c r="Q140" s="64"/>
      <c r="R140" s="56"/>
      <c r="S140" s="56"/>
      <c r="T140" s="56"/>
      <c r="U140" s="74"/>
      <c r="V140" s="56"/>
      <c r="W140" s="56"/>
      <c r="X140" s="56"/>
      <c r="Y140" s="64"/>
      <c r="AA140" s="74"/>
    </row>
    <row r="141" spans="3:27" s="12" customFormat="1">
      <c r="G141" s="55"/>
      <c r="H141" s="73"/>
      <c r="I141" s="56"/>
      <c r="J141" s="64"/>
      <c r="K141" s="64"/>
      <c r="L141" s="64"/>
      <c r="M141" s="64"/>
      <c r="N141" s="64"/>
      <c r="O141" s="64"/>
      <c r="P141" s="64"/>
      <c r="Q141" s="64"/>
      <c r="R141" s="56"/>
      <c r="S141" s="56"/>
      <c r="T141" s="56"/>
      <c r="U141" s="74"/>
      <c r="V141" s="56"/>
      <c r="W141" s="56"/>
      <c r="X141" s="56"/>
      <c r="Y141" s="64"/>
      <c r="AA141" s="74"/>
    </row>
    <row r="142" spans="3:27" s="12" customFormat="1">
      <c r="G142" s="55"/>
      <c r="H142" s="73"/>
      <c r="I142" s="56"/>
      <c r="J142" s="64"/>
      <c r="K142" s="64"/>
      <c r="L142" s="64"/>
      <c r="M142" s="64"/>
      <c r="N142" s="64"/>
      <c r="O142" s="64"/>
      <c r="P142" s="64"/>
      <c r="Q142" s="64"/>
      <c r="R142" s="56"/>
      <c r="S142" s="56"/>
      <c r="T142" s="56"/>
      <c r="U142" s="74"/>
      <c r="V142" s="56"/>
      <c r="W142" s="56"/>
      <c r="X142" s="56"/>
      <c r="Y142" s="64"/>
      <c r="AA142" s="74"/>
    </row>
    <row r="143" spans="3:27" s="12" customFormat="1">
      <c r="G143" s="55"/>
      <c r="H143" s="73"/>
      <c r="I143" s="56"/>
      <c r="J143" s="64"/>
      <c r="K143" s="64"/>
      <c r="L143" s="64"/>
      <c r="M143" s="64"/>
      <c r="N143" s="64"/>
      <c r="O143" s="64"/>
      <c r="P143" s="64"/>
      <c r="Q143" s="64"/>
      <c r="R143" s="56"/>
      <c r="S143" s="56"/>
      <c r="T143" s="56"/>
      <c r="U143" s="74"/>
      <c r="V143" s="56"/>
      <c r="W143" s="56"/>
      <c r="X143" s="56"/>
      <c r="Y143" s="64"/>
      <c r="AA143" s="74"/>
    </row>
    <row r="144" spans="3:27" s="12" customFormat="1">
      <c r="G144" s="55"/>
      <c r="H144" s="73"/>
      <c r="I144" s="56"/>
      <c r="J144" s="64"/>
      <c r="K144" s="64"/>
      <c r="L144" s="64"/>
      <c r="M144" s="64"/>
      <c r="N144" s="64"/>
      <c r="O144" s="64"/>
      <c r="P144" s="64"/>
      <c r="Q144" s="64"/>
      <c r="R144" s="56"/>
      <c r="S144" s="56"/>
      <c r="T144" s="56"/>
      <c r="U144" s="74"/>
      <c r="V144" s="56"/>
      <c r="W144" s="56"/>
      <c r="X144" s="56"/>
      <c r="Y144" s="64"/>
      <c r="AA144" s="74"/>
    </row>
    <row r="145" spans="7:27" s="12" customFormat="1">
      <c r="G145" s="55"/>
      <c r="H145" s="73"/>
      <c r="I145" s="56"/>
      <c r="J145" s="64"/>
      <c r="K145" s="64"/>
      <c r="L145" s="64"/>
      <c r="M145" s="64"/>
      <c r="N145" s="64"/>
      <c r="O145" s="64"/>
      <c r="P145" s="64"/>
      <c r="Q145" s="64"/>
      <c r="R145" s="56"/>
      <c r="S145" s="56"/>
      <c r="T145" s="56"/>
      <c r="U145" s="74"/>
      <c r="V145" s="56"/>
      <c r="W145" s="56"/>
      <c r="X145" s="56"/>
      <c r="Y145" s="64"/>
      <c r="AA145" s="74"/>
    </row>
    <row r="146" spans="7:27" s="12" customFormat="1">
      <c r="G146" s="55"/>
      <c r="H146" s="73"/>
      <c r="I146" s="56"/>
      <c r="J146" s="64"/>
      <c r="K146" s="64"/>
      <c r="L146" s="64"/>
      <c r="M146" s="64"/>
      <c r="N146" s="64"/>
      <c r="O146" s="64"/>
      <c r="P146" s="64"/>
      <c r="Q146" s="64"/>
      <c r="R146" s="56"/>
      <c r="S146" s="56"/>
      <c r="T146" s="56"/>
      <c r="U146" s="74"/>
      <c r="V146" s="56"/>
      <c r="W146" s="56"/>
      <c r="X146" s="56"/>
      <c r="Y146" s="64"/>
      <c r="AA146" s="74"/>
    </row>
    <row r="147" spans="7:27" s="12" customFormat="1">
      <c r="G147" s="55"/>
      <c r="H147" s="73"/>
      <c r="I147" s="56"/>
      <c r="J147" s="64"/>
      <c r="K147" s="64"/>
      <c r="L147" s="64"/>
      <c r="M147" s="64"/>
      <c r="N147" s="64"/>
      <c r="O147" s="64"/>
      <c r="P147" s="64"/>
      <c r="Q147" s="64"/>
      <c r="R147" s="56"/>
      <c r="S147" s="56"/>
      <c r="T147" s="56"/>
      <c r="U147" s="74"/>
      <c r="V147" s="56"/>
      <c r="W147" s="56"/>
      <c r="X147" s="56"/>
      <c r="Y147" s="64"/>
      <c r="AA147" s="74"/>
    </row>
    <row r="148" spans="7:27" s="12" customFormat="1">
      <c r="G148" s="55"/>
      <c r="H148" s="73"/>
      <c r="I148" s="56"/>
      <c r="J148" s="64"/>
      <c r="K148" s="64"/>
      <c r="L148" s="64"/>
      <c r="M148" s="64"/>
      <c r="N148" s="64"/>
      <c r="O148" s="64"/>
      <c r="P148" s="64"/>
      <c r="Q148" s="64"/>
      <c r="R148" s="56"/>
      <c r="S148" s="56"/>
      <c r="T148" s="56"/>
      <c r="U148" s="74"/>
      <c r="V148" s="56"/>
      <c r="W148" s="56"/>
      <c r="X148" s="56"/>
      <c r="Y148" s="64"/>
      <c r="AA148" s="74"/>
    </row>
    <row r="149" spans="7:27" s="12" customFormat="1">
      <c r="G149" s="55"/>
      <c r="H149" s="73"/>
      <c r="I149" s="56"/>
      <c r="J149" s="64"/>
      <c r="K149" s="64"/>
      <c r="L149" s="64"/>
      <c r="M149" s="64"/>
      <c r="N149" s="64"/>
      <c r="O149" s="64"/>
      <c r="P149" s="64"/>
      <c r="Q149" s="64"/>
      <c r="R149" s="56"/>
      <c r="S149" s="56"/>
      <c r="T149" s="56"/>
      <c r="U149" s="74"/>
      <c r="V149" s="56"/>
      <c r="W149" s="56"/>
      <c r="X149" s="56"/>
      <c r="Y149" s="64"/>
      <c r="AA149" s="74"/>
    </row>
    <row r="150" spans="7:27" s="12" customFormat="1">
      <c r="G150" s="55"/>
      <c r="H150" s="73"/>
      <c r="I150" s="56"/>
      <c r="J150" s="64"/>
      <c r="K150" s="64"/>
      <c r="L150" s="64"/>
      <c r="M150" s="64"/>
      <c r="N150" s="64"/>
      <c r="O150" s="64"/>
      <c r="P150" s="64"/>
      <c r="Q150" s="64"/>
      <c r="R150" s="56"/>
      <c r="S150" s="56"/>
      <c r="T150" s="56"/>
      <c r="U150" s="74"/>
      <c r="V150" s="56"/>
      <c r="W150" s="56"/>
      <c r="X150" s="56"/>
      <c r="Y150" s="64"/>
      <c r="AA150" s="74"/>
    </row>
    <row r="151" spans="7:27" s="12" customFormat="1">
      <c r="G151" s="55"/>
      <c r="H151" s="73"/>
      <c r="I151" s="56"/>
      <c r="J151" s="64"/>
      <c r="K151" s="64"/>
      <c r="L151" s="64"/>
      <c r="M151" s="64"/>
      <c r="N151" s="64"/>
      <c r="O151" s="64"/>
      <c r="P151" s="64"/>
      <c r="Q151" s="64"/>
      <c r="R151" s="56"/>
      <c r="S151" s="56"/>
      <c r="T151" s="56"/>
      <c r="U151" s="74"/>
      <c r="V151" s="56"/>
      <c r="W151" s="56"/>
      <c r="X151" s="56"/>
      <c r="Y151" s="64"/>
      <c r="AA151" s="74"/>
    </row>
    <row r="152" spans="7:27" s="12" customFormat="1">
      <c r="G152" s="55"/>
      <c r="H152" s="73"/>
      <c r="I152" s="56"/>
      <c r="J152" s="64"/>
      <c r="K152" s="64"/>
      <c r="L152" s="64"/>
      <c r="M152" s="64"/>
      <c r="N152" s="64"/>
      <c r="O152" s="64"/>
      <c r="P152" s="64"/>
      <c r="Q152" s="64"/>
      <c r="R152" s="56"/>
      <c r="S152" s="56"/>
      <c r="T152" s="56"/>
      <c r="U152" s="74"/>
      <c r="V152" s="56"/>
      <c r="W152" s="56"/>
      <c r="X152" s="56"/>
      <c r="Y152" s="64"/>
      <c r="AA152" s="74"/>
    </row>
    <row r="153" spans="7:27" s="12" customFormat="1">
      <c r="G153" s="55"/>
      <c r="H153" s="73"/>
      <c r="I153" s="56"/>
      <c r="J153" s="64"/>
      <c r="K153" s="64"/>
      <c r="L153" s="64"/>
      <c r="M153" s="64"/>
      <c r="N153" s="64"/>
      <c r="O153" s="64"/>
      <c r="P153" s="64"/>
      <c r="Q153" s="64"/>
      <c r="R153" s="56"/>
      <c r="S153" s="56"/>
      <c r="T153" s="56"/>
      <c r="U153" s="74"/>
      <c r="V153" s="56"/>
      <c r="W153" s="56"/>
      <c r="X153" s="56"/>
      <c r="Y153" s="64"/>
      <c r="AA153" s="74"/>
    </row>
    <row r="154" spans="7:27" s="12" customFormat="1">
      <c r="G154" s="55"/>
      <c r="H154" s="73"/>
      <c r="I154" s="56"/>
      <c r="J154" s="64"/>
      <c r="K154" s="64"/>
      <c r="L154" s="64"/>
      <c r="M154" s="64"/>
      <c r="N154" s="64"/>
      <c r="O154" s="64"/>
      <c r="P154" s="64"/>
      <c r="Q154" s="64"/>
      <c r="R154" s="56"/>
      <c r="S154" s="56"/>
      <c r="T154" s="56"/>
      <c r="U154" s="74"/>
      <c r="V154" s="56"/>
      <c r="W154" s="56"/>
      <c r="X154" s="56"/>
      <c r="Y154" s="64"/>
      <c r="AA154" s="74"/>
    </row>
    <row r="155" spans="7:27" s="12" customFormat="1">
      <c r="G155" s="55"/>
      <c r="H155" s="73"/>
      <c r="I155" s="56"/>
      <c r="J155" s="64"/>
      <c r="K155" s="64"/>
      <c r="L155" s="64"/>
      <c r="M155" s="64"/>
      <c r="N155" s="64"/>
      <c r="O155" s="64"/>
      <c r="P155" s="64"/>
      <c r="Q155" s="64"/>
      <c r="R155" s="56"/>
      <c r="S155" s="56"/>
      <c r="T155" s="56"/>
      <c r="U155" s="74"/>
      <c r="V155" s="56"/>
      <c r="W155" s="56"/>
      <c r="X155" s="56"/>
      <c r="Y155" s="64"/>
      <c r="AA155" s="74"/>
    </row>
    <row r="156" spans="7:27" s="12" customFormat="1">
      <c r="G156" s="55"/>
      <c r="H156" s="73"/>
      <c r="I156" s="56"/>
      <c r="J156" s="64"/>
      <c r="K156" s="64"/>
      <c r="L156" s="64"/>
      <c r="M156" s="64"/>
      <c r="N156" s="64"/>
      <c r="O156" s="64"/>
      <c r="P156" s="64"/>
      <c r="Q156" s="64"/>
      <c r="R156" s="56"/>
      <c r="S156" s="56"/>
      <c r="T156" s="56"/>
      <c r="U156" s="74"/>
      <c r="V156" s="56"/>
      <c r="W156" s="56"/>
      <c r="X156" s="56"/>
      <c r="Y156" s="64"/>
      <c r="AA156" s="74"/>
    </row>
    <row r="157" spans="7:27" s="12" customFormat="1">
      <c r="G157" s="55"/>
      <c r="H157" s="73"/>
      <c r="I157" s="56"/>
      <c r="J157" s="64"/>
      <c r="K157" s="64"/>
      <c r="L157" s="64"/>
      <c r="M157" s="64"/>
      <c r="N157" s="64"/>
      <c r="O157" s="64"/>
      <c r="P157" s="64"/>
      <c r="Q157" s="64"/>
      <c r="R157" s="56"/>
      <c r="S157" s="56"/>
      <c r="T157" s="56"/>
      <c r="U157" s="74"/>
      <c r="V157" s="56"/>
      <c r="W157" s="56"/>
      <c r="X157" s="56"/>
      <c r="Y157" s="64"/>
      <c r="AA157" s="74"/>
    </row>
    <row r="158" spans="7:27" s="12" customFormat="1">
      <c r="G158" s="55"/>
      <c r="H158" s="73"/>
      <c r="I158" s="56"/>
      <c r="J158" s="64"/>
      <c r="K158" s="64"/>
      <c r="L158" s="64"/>
      <c r="M158" s="64"/>
      <c r="N158" s="64"/>
      <c r="O158" s="64"/>
      <c r="P158" s="64"/>
      <c r="Q158" s="64"/>
      <c r="R158" s="56"/>
      <c r="S158" s="56"/>
      <c r="T158" s="56"/>
      <c r="U158" s="74"/>
      <c r="V158" s="56"/>
      <c r="W158" s="56"/>
      <c r="X158" s="56"/>
      <c r="Y158" s="64"/>
      <c r="AA158" s="74"/>
    </row>
    <row r="159" spans="7:27" s="12" customFormat="1">
      <c r="G159" s="55"/>
      <c r="H159" s="73"/>
      <c r="I159" s="56"/>
      <c r="J159" s="64"/>
      <c r="K159" s="64"/>
      <c r="L159" s="64"/>
      <c r="M159" s="64"/>
      <c r="N159" s="64"/>
      <c r="O159" s="64"/>
      <c r="P159" s="64"/>
      <c r="Q159" s="64"/>
      <c r="R159" s="56"/>
      <c r="S159" s="56"/>
      <c r="T159" s="56"/>
      <c r="U159" s="74"/>
      <c r="V159" s="56"/>
      <c r="W159" s="56"/>
      <c r="X159" s="56"/>
      <c r="Y159" s="64"/>
      <c r="AA159" s="74"/>
    </row>
    <row r="160" spans="7:27" s="12" customFormat="1">
      <c r="G160" s="55"/>
      <c r="H160" s="73"/>
      <c r="I160" s="56"/>
      <c r="J160" s="64"/>
      <c r="K160" s="64"/>
      <c r="L160" s="64"/>
      <c r="M160" s="64"/>
      <c r="N160" s="64"/>
      <c r="O160" s="64"/>
      <c r="P160" s="64"/>
      <c r="Q160" s="64"/>
      <c r="R160" s="56"/>
      <c r="S160" s="56"/>
      <c r="T160" s="56"/>
      <c r="U160" s="74"/>
      <c r="V160" s="56"/>
      <c r="W160" s="56"/>
      <c r="X160" s="56"/>
      <c r="Y160" s="64"/>
      <c r="AA160" s="74"/>
    </row>
    <row r="161" spans="1:28" s="12" customFormat="1">
      <c r="G161" s="55"/>
      <c r="H161" s="73"/>
      <c r="I161" s="56"/>
      <c r="J161" s="64"/>
      <c r="K161" s="64"/>
      <c r="L161" s="64"/>
      <c r="M161" s="64"/>
      <c r="N161" s="64"/>
      <c r="O161" s="64"/>
      <c r="P161" s="64"/>
      <c r="Q161" s="64"/>
      <c r="R161" s="56"/>
      <c r="S161" s="56"/>
      <c r="T161" s="56"/>
      <c r="U161" s="74"/>
      <c r="V161" s="56"/>
      <c r="W161" s="56"/>
      <c r="X161" s="56"/>
      <c r="Y161" s="64"/>
      <c r="AA161" s="74"/>
    </row>
    <row r="162" spans="1:28" s="12" customFormat="1">
      <c r="G162" s="55"/>
      <c r="H162" s="73"/>
      <c r="I162" s="56"/>
      <c r="J162" s="64"/>
      <c r="K162" s="64"/>
      <c r="L162" s="64"/>
      <c r="M162" s="64"/>
      <c r="N162" s="64"/>
      <c r="O162" s="64"/>
      <c r="P162" s="64"/>
      <c r="Q162" s="64"/>
      <c r="R162" s="56"/>
      <c r="S162" s="56"/>
      <c r="T162" s="56"/>
      <c r="U162" s="74"/>
      <c r="V162" s="56"/>
      <c r="W162" s="56"/>
      <c r="X162" s="56"/>
      <c r="Y162" s="64"/>
      <c r="AA162" s="74"/>
    </row>
    <row r="163" spans="1:28" s="12" customFormat="1">
      <c r="G163" s="55"/>
      <c r="H163" s="73"/>
      <c r="I163" s="56"/>
      <c r="J163" s="64"/>
      <c r="K163" s="64"/>
      <c r="L163" s="64"/>
      <c r="M163" s="64"/>
      <c r="N163" s="64"/>
      <c r="O163" s="64"/>
      <c r="P163" s="64"/>
      <c r="Q163" s="64"/>
      <c r="R163" s="56"/>
      <c r="S163" s="56"/>
      <c r="T163" s="56"/>
      <c r="U163" s="74"/>
      <c r="V163" s="56"/>
      <c r="W163" s="56"/>
      <c r="X163" s="56"/>
      <c r="Y163" s="64"/>
      <c r="AA163" s="74"/>
    </row>
    <row r="164" spans="1:28" s="12" customFormat="1">
      <c r="G164" s="55"/>
      <c r="H164" s="73"/>
      <c r="I164" s="56"/>
      <c r="J164" s="64"/>
      <c r="K164" s="64"/>
      <c r="L164" s="64"/>
      <c r="M164" s="64"/>
      <c r="N164" s="64"/>
      <c r="O164" s="64"/>
      <c r="P164" s="64"/>
      <c r="Q164" s="64"/>
      <c r="R164" s="56"/>
      <c r="S164" s="56"/>
      <c r="T164" s="56"/>
      <c r="U164" s="74"/>
      <c r="V164" s="56"/>
      <c r="W164" s="56"/>
      <c r="X164" s="56"/>
      <c r="Y164" s="64"/>
      <c r="AA164" s="74"/>
    </row>
    <row r="165" spans="1:28" s="12" customFormat="1">
      <c r="G165" s="55"/>
      <c r="H165" s="73"/>
      <c r="I165" s="56"/>
      <c r="J165" s="64"/>
      <c r="K165" s="64"/>
      <c r="L165" s="64"/>
      <c r="M165" s="64"/>
      <c r="N165" s="64"/>
      <c r="O165" s="64"/>
      <c r="P165" s="64"/>
      <c r="Q165" s="64"/>
      <c r="R165" s="56"/>
      <c r="S165" s="56"/>
      <c r="T165" s="56"/>
      <c r="U165" s="74"/>
      <c r="V165" s="56"/>
      <c r="W165" s="56"/>
      <c r="X165" s="56"/>
      <c r="Y165" s="64"/>
      <c r="AA165" s="74"/>
    </row>
    <row r="166" spans="1:28" s="12" customFormat="1">
      <c r="G166" s="55"/>
      <c r="H166" s="73"/>
      <c r="I166" s="56"/>
      <c r="J166" s="64"/>
      <c r="K166" s="64"/>
      <c r="L166" s="64"/>
      <c r="M166" s="64"/>
      <c r="N166" s="64"/>
      <c r="O166" s="64"/>
      <c r="P166" s="64"/>
      <c r="Q166" s="64"/>
      <c r="R166" s="56"/>
      <c r="S166" s="56"/>
      <c r="T166" s="56"/>
      <c r="U166" s="74"/>
      <c r="V166" s="56"/>
      <c r="W166" s="56"/>
      <c r="X166" s="56"/>
      <c r="Y166" s="64"/>
      <c r="AA166" s="74"/>
    </row>
    <row r="167" spans="1:28" s="12" customFormat="1">
      <c r="G167" s="55"/>
      <c r="H167" s="73"/>
      <c r="I167" s="56"/>
      <c r="J167" s="64"/>
      <c r="K167" s="64"/>
      <c r="L167" s="64"/>
      <c r="M167" s="64"/>
      <c r="N167" s="64"/>
      <c r="O167" s="64"/>
      <c r="P167" s="64"/>
      <c r="Q167" s="64"/>
      <c r="R167" s="56"/>
      <c r="S167" s="56"/>
      <c r="T167" s="56"/>
      <c r="U167" s="74"/>
      <c r="V167" s="56"/>
      <c r="W167" s="56"/>
      <c r="X167" s="56"/>
      <c r="Y167" s="64"/>
      <c r="AA167" s="74"/>
    </row>
    <row r="168" spans="1:28" s="12" customFormat="1">
      <c r="A168"/>
      <c r="B168"/>
      <c r="C168"/>
      <c r="G168" s="55"/>
      <c r="H168" s="73"/>
      <c r="I168" s="56"/>
      <c r="J168" s="64"/>
      <c r="K168" s="64"/>
      <c r="L168" s="64"/>
      <c r="M168" s="64"/>
      <c r="N168" s="64"/>
      <c r="O168" s="64"/>
      <c r="P168" s="64"/>
      <c r="Q168" s="64"/>
      <c r="R168" s="56"/>
      <c r="S168" s="56"/>
      <c r="T168" s="56"/>
      <c r="U168" s="74"/>
      <c r="V168" s="56"/>
      <c r="W168" s="56"/>
      <c r="X168" s="56"/>
      <c r="Y168" s="64"/>
      <c r="AA168" s="74"/>
    </row>
    <row r="169" spans="1:28" s="12" customFormat="1">
      <c r="A169"/>
      <c r="B169"/>
      <c r="C169"/>
      <c r="G169" s="55"/>
      <c r="H169" s="73"/>
      <c r="I169" s="56"/>
      <c r="J169" s="64"/>
      <c r="K169" s="64"/>
      <c r="L169" s="64"/>
      <c r="M169" s="64"/>
      <c r="N169" s="64"/>
      <c r="O169" s="64"/>
      <c r="P169" s="64"/>
      <c r="Q169" s="64"/>
      <c r="R169" s="56"/>
      <c r="S169" s="56"/>
      <c r="T169" s="56"/>
      <c r="U169" s="74"/>
      <c r="V169" s="56"/>
      <c r="W169" s="56"/>
      <c r="X169" s="56"/>
      <c r="Y169" s="64"/>
      <c r="AA169" s="74"/>
    </row>
    <row r="170" spans="1:28" s="12" customFormat="1">
      <c r="A170"/>
      <c r="B170"/>
      <c r="C170"/>
      <c r="G170" s="55"/>
      <c r="H170" s="73"/>
      <c r="I170" s="56"/>
      <c r="J170" s="64"/>
      <c r="K170" s="64"/>
      <c r="L170" s="64"/>
      <c r="M170" s="64"/>
      <c r="N170" s="64"/>
      <c r="O170" s="64"/>
      <c r="P170" s="64"/>
      <c r="Q170" s="64"/>
      <c r="R170" s="56"/>
      <c r="S170" s="56"/>
      <c r="T170" s="56"/>
      <c r="U170" s="74"/>
      <c r="V170" s="56"/>
      <c r="W170" s="56"/>
      <c r="X170" s="56"/>
      <c r="Y170" s="64"/>
      <c r="AA170" s="74"/>
    </row>
    <row r="171" spans="1:28">
      <c r="F171" s="48"/>
      <c r="G171" s="32"/>
      <c r="H171" s="68"/>
      <c r="I171" s="36"/>
      <c r="J171" s="27"/>
      <c r="K171" s="27"/>
      <c r="L171" s="27"/>
      <c r="M171" s="27"/>
      <c r="N171" s="27"/>
      <c r="O171" s="64"/>
      <c r="P171" s="64"/>
      <c r="Q171" s="27"/>
      <c r="R171" s="34"/>
      <c r="S171" s="36"/>
      <c r="T171" s="34"/>
      <c r="U171" s="71"/>
      <c r="V171" s="36"/>
      <c r="W171" s="36"/>
      <c r="X171" s="36"/>
      <c r="Y171" s="27"/>
      <c r="AA171" s="9"/>
      <c r="AB171" s="72"/>
    </row>
    <row r="172" spans="1:28">
      <c r="F172" s="48"/>
      <c r="G172" s="32"/>
      <c r="H172" s="68"/>
      <c r="I172" s="36"/>
      <c r="J172" s="27"/>
      <c r="K172" s="27"/>
      <c r="L172" s="27"/>
      <c r="M172" s="27"/>
      <c r="N172" s="27"/>
      <c r="O172" s="64"/>
      <c r="P172" s="64"/>
      <c r="Q172" s="27"/>
      <c r="R172" s="34"/>
      <c r="S172" s="36"/>
      <c r="T172" s="34"/>
      <c r="U172" s="71"/>
      <c r="V172" s="36"/>
      <c r="W172" s="36"/>
      <c r="X172" s="36"/>
      <c r="Y172" s="27"/>
      <c r="AA172" s="9"/>
      <c r="AB172" s="72"/>
    </row>
    <row r="173" spans="1:28">
      <c r="F173" s="48"/>
      <c r="G173" s="32"/>
      <c r="H173" s="68"/>
      <c r="I173" s="36"/>
      <c r="J173" s="27"/>
      <c r="K173" s="27"/>
      <c r="L173" s="27"/>
      <c r="M173" s="27"/>
      <c r="N173" s="27"/>
      <c r="O173" s="64"/>
      <c r="P173" s="64"/>
      <c r="Q173" s="27"/>
      <c r="R173" s="34"/>
      <c r="S173" s="36"/>
      <c r="T173" s="34"/>
      <c r="U173" s="71"/>
      <c r="V173" s="36"/>
      <c r="W173" s="36"/>
      <c r="X173" s="36"/>
      <c r="Y173" s="27"/>
      <c r="AA173" s="9"/>
      <c r="AB173" s="72"/>
    </row>
    <row r="174" spans="1:28">
      <c r="F174" s="48"/>
      <c r="G174" s="32"/>
      <c r="H174" s="68"/>
      <c r="I174" s="36"/>
      <c r="J174" s="27"/>
      <c r="K174" s="27"/>
      <c r="L174" s="27"/>
      <c r="M174" s="27"/>
      <c r="N174" s="27"/>
      <c r="O174" s="64"/>
      <c r="P174" s="64"/>
      <c r="Q174" s="27"/>
      <c r="R174" s="34"/>
      <c r="S174" s="36"/>
      <c r="T174" s="34"/>
      <c r="U174" s="71"/>
      <c r="V174" s="36"/>
      <c r="W174" s="36"/>
      <c r="X174" s="36"/>
      <c r="Y174" s="27"/>
      <c r="AA174" s="9"/>
      <c r="AB174" s="72"/>
    </row>
    <row r="175" spans="1:28">
      <c r="F175" s="48"/>
      <c r="G175" s="32"/>
      <c r="H175" s="68"/>
      <c r="I175" s="36"/>
      <c r="J175" s="27"/>
      <c r="K175" s="27"/>
      <c r="L175" s="27"/>
      <c r="M175" s="27"/>
      <c r="N175" s="27"/>
      <c r="O175" s="64"/>
      <c r="P175" s="64"/>
      <c r="Q175" s="27"/>
      <c r="R175" s="34"/>
      <c r="S175" s="36"/>
      <c r="T175" s="34"/>
      <c r="U175" s="71"/>
      <c r="V175" s="36"/>
      <c r="W175" s="36"/>
      <c r="X175" s="36"/>
      <c r="Y175" s="27"/>
      <c r="AA175" s="9"/>
      <c r="AB175" s="72"/>
    </row>
    <row r="176" spans="1:28">
      <c r="F176" s="48"/>
      <c r="G176" s="32"/>
      <c r="H176" s="68"/>
      <c r="I176" s="36"/>
      <c r="J176" s="27"/>
      <c r="K176" s="27"/>
      <c r="L176" s="27"/>
      <c r="M176" s="27"/>
      <c r="N176" s="27"/>
      <c r="O176" s="64"/>
      <c r="P176" s="64"/>
      <c r="Q176" s="27"/>
      <c r="R176" s="34"/>
      <c r="S176" s="36"/>
      <c r="T176" s="34"/>
      <c r="U176" s="71"/>
      <c r="V176" s="36"/>
      <c r="W176" s="36"/>
      <c r="X176" s="36"/>
      <c r="Y176" s="27"/>
      <c r="AA176" s="9"/>
      <c r="AB176" s="72"/>
    </row>
    <row r="177" spans="6:28">
      <c r="F177" s="48"/>
      <c r="G177" s="32"/>
      <c r="H177" s="68"/>
      <c r="I177" s="36"/>
      <c r="J177" s="27"/>
      <c r="K177" s="27"/>
      <c r="L177" s="27"/>
      <c r="M177" s="27"/>
      <c r="N177" s="27"/>
      <c r="O177" s="64"/>
      <c r="P177" s="64"/>
      <c r="Q177" s="27"/>
      <c r="R177" s="34"/>
      <c r="S177" s="36"/>
      <c r="T177" s="34"/>
      <c r="U177" s="71"/>
      <c r="V177" s="36"/>
      <c r="W177" s="36"/>
      <c r="X177" s="36"/>
      <c r="Y177" s="27"/>
      <c r="AA177" s="9"/>
      <c r="AB177" s="72"/>
    </row>
    <row r="178" spans="6:28">
      <c r="F178" s="48"/>
      <c r="G178" s="32"/>
      <c r="H178" s="68"/>
      <c r="I178" s="36"/>
      <c r="J178" s="27"/>
      <c r="K178" s="27"/>
      <c r="L178" s="27"/>
      <c r="M178" s="27"/>
      <c r="N178" s="27"/>
      <c r="O178" s="64"/>
      <c r="P178" s="64"/>
      <c r="Q178" s="27"/>
      <c r="R178" s="34"/>
      <c r="S178" s="36"/>
      <c r="T178" s="34"/>
      <c r="U178" s="71"/>
      <c r="V178" s="36"/>
      <c r="W178" s="36"/>
      <c r="X178" s="36"/>
      <c r="Y178" s="27"/>
      <c r="AA178" s="9"/>
      <c r="AB178" s="72"/>
    </row>
    <row r="179" spans="6:28">
      <c r="F179" s="48"/>
      <c r="G179" s="32"/>
      <c r="H179" s="68"/>
      <c r="I179" s="36"/>
      <c r="J179" s="27"/>
      <c r="K179" s="27"/>
      <c r="L179" s="27"/>
      <c r="M179" s="27"/>
      <c r="N179" s="27"/>
      <c r="O179" s="64"/>
      <c r="P179" s="64"/>
      <c r="Q179" s="27"/>
      <c r="R179" s="34"/>
      <c r="S179" s="36"/>
      <c r="T179" s="34"/>
      <c r="U179" s="71"/>
      <c r="V179" s="36"/>
      <c r="W179" s="36"/>
      <c r="X179" s="36"/>
      <c r="Y179" s="27"/>
      <c r="AA179" s="9"/>
      <c r="AB179" s="72"/>
    </row>
    <row r="180" spans="6:28">
      <c r="F180" s="48"/>
      <c r="G180" s="32"/>
      <c r="H180" s="68"/>
      <c r="I180" s="36"/>
      <c r="J180" s="27"/>
      <c r="K180" s="27"/>
      <c r="L180" s="27"/>
      <c r="M180" s="27"/>
      <c r="N180" s="27"/>
      <c r="O180" s="64"/>
      <c r="P180" s="64"/>
      <c r="Q180" s="27"/>
      <c r="R180" s="34"/>
      <c r="S180" s="36"/>
      <c r="T180" s="34"/>
      <c r="U180" s="71"/>
      <c r="V180" s="36"/>
      <c r="W180" s="36"/>
      <c r="X180" s="36"/>
      <c r="Y180" s="27"/>
      <c r="AA180" s="9"/>
      <c r="AB180" s="72"/>
    </row>
    <row r="181" spans="6:28">
      <c r="F181" s="48"/>
      <c r="G181" s="32"/>
      <c r="H181" s="68"/>
      <c r="I181" s="36"/>
      <c r="J181" s="27"/>
      <c r="K181" s="27"/>
      <c r="L181" s="27"/>
      <c r="M181" s="27"/>
      <c r="N181" s="27"/>
      <c r="O181" s="64"/>
      <c r="P181" s="64"/>
      <c r="Q181" s="27"/>
      <c r="R181" s="34"/>
      <c r="S181" s="36"/>
      <c r="T181" s="34"/>
      <c r="U181" s="71"/>
      <c r="V181" s="36"/>
      <c r="W181" s="36"/>
      <c r="X181" s="36"/>
      <c r="Y181" s="27"/>
      <c r="AA181" s="9"/>
      <c r="AB181" s="72"/>
    </row>
    <row r="182" spans="6:28">
      <c r="F182" s="48"/>
      <c r="G182" s="32"/>
      <c r="H182" s="68"/>
      <c r="I182" s="36"/>
      <c r="J182" s="27"/>
      <c r="K182" s="27"/>
      <c r="L182" s="27"/>
      <c r="M182" s="27"/>
      <c r="N182" s="27"/>
      <c r="O182" s="64"/>
      <c r="P182" s="64"/>
      <c r="Q182" s="27"/>
      <c r="R182" s="34"/>
      <c r="S182" s="36"/>
      <c r="T182" s="34"/>
      <c r="U182" s="71"/>
      <c r="V182" s="36"/>
      <c r="W182" s="36"/>
      <c r="X182" s="36"/>
      <c r="Y182" s="27"/>
      <c r="AA182" s="9"/>
      <c r="AB182" s="72"/>
    </row>
    <row r="183" spans="6:28">
      <c r="F183" s="48"/>
      <c r="G183" s="32"/>
      <c r="H183" s="68"/>
      <c r="I183" s="36"/>
      <c r="J183" s="27"/>
      <c r="K183" s="27"/>
      <c r="L183" s="27"/>
      <c r="M183" s="27"/>
      <c r="N183" s="27"/>
      <c r="O183" s="64"/>
      <c r="P183" s="64"/>
      <c r="Q183" s="27"/>
      <c r="R183" s="34"/>
      <c r="S183" s="36"/>
      <c r="T183" s="34"/>
      <c r="U183" s="71"/>
      <c r="V183" s="36"/>
      <c r="W183" s="36"/>
      <c r="X183" s="36"/>
      <c r="Y183" s="27"/>
      <c r="AA183" s="9"/>
      <c r="AB183" s="72"/>
    </row>
    <row r="184" spans="6:28">
      <c r="F184" s="48"/>
      <c r="G184" s="32"/>
      <c r="H184" s="68"/>
      <c r="I184" s="36"/>
      <c r="J184" s="27"/>
      <c r="K184" s="27"/>
      <c r="L184" s="27"/>
      <c r="M184" s="27"/>
      <c r="N184" s="27"/>
      <c r="O184" s="64"/>
      <c r="P184" s="64"/>
      <c r="Q184" s="27"/>
      <c r="R184" s="34"/>
      <c r="S184" s="36"/>
      <c r="T184" s="34"/>
      <c r="U184" s="71"/>
      <c r="V184" s="36"/>
      <c r="W184" s="36"/>
      <c r="X184" s="36"/>
      <c r="Y184" s="27"/>
      <c r="AA184" s="9"/>
      <c r="AB184" s="72"/>
    </row>
    <row r="185" spans="6:28">
      <c r="F185" s="48"/>
      <c r="G185" s="32"/>
      <c r="H185" s="68"/>
      <c r="I185" s="36"/>
      <c r="J185" s="27"/>
      <c r="K185" s="27"/>
      <c r="L185" s="27"/>
      <c r="M185" s="27"/>
      <c r="N185" s="27"/>
      <c r="O185" s="64"/>
      <c r="P185" s="64"/>
      <c r="Q185" s="27"/>
      <c r="R185" s="34"/>
      <c r="S185" s="36"/>
      <c r="T185" s="34"/>
      <c r="U185" s="71"/>
      <c r="V185" s="36"/>
      <c r="W185" s="36"/>
      <c r="X185" s="36"/>
      <c r="Y185" s="27"/>
      <c r="AA185" s="9"/>
      <c r="AB185" s="72"/>
    </row>
    <row r="186" spans="6:28">
      <c r="F186" s="48"/>
      <c r="G186" s="32"/>
      <c r="H186" s="68"/>
      <c r="I186" s="36"/>
      <c r="J186" s="27"/>
      <c r="K186" s="27"/>
      <c r="L186" s="27"/>
      <c r="M186" s="27"/>
      <c r="N186" s="27"/>
      <c r="O186" s="64"/>
      <c r="P186" s="64"/>
      <c r="Q186" s="27"/>
      <c r="R186" s="34"/>
      <c r="S186" s="36"/>
      <c r="T186" s="34"/>
      <c r="U186" s="71"/>
      <c r="V186" s="36"/>
      <c r="W186" s="36"/>
      <c r="X186" s="36"/>
      <c r="Y186" s="27"/>
      <c r="AA186" s="9"/>
      <c r="AB186" s="72"/>
    </row>
    <row r="187" spans="6:28">
      <c r="F187" s="48"/>
      <c r="G187" s="32"/>
      <c r="H187" s="68"/>
      <c r="I187" s="36"/>
      <c r="J187" s="27"/>
      <c r="K187" s="27"/>
      <c r="L187" s="27"/>
      <c r="M187" s="27"/>
      <c r="N187" s="27"/>
      <c r="O187" s="64"/>
      <c r="P187" s="64"/>
      <c r="Q187" s="27"/>
      <c r="R187" s="34"/>
      <c r="S187" s="36"/>
      <c r="T187" s="34"/>
      <c r="U187" s="71"/>
      <c r="V187" s="36"/>
      <c r="W187" s="36"/>
      <c r="X187" s="36"/>
      <c r="Y187" s="27"/>
      <c r="AA187" s="9"/>
      <c r="AB187" s="72"/>
    </row>
    <row r="188" spans="6:28">
      <c r="F188" s="48"/>
      <c r="G188" s="32"/>
      <c r="H188" s="68"/>
      <c r="I188" s="36"/>
      <c r="J188" s="27"/>
      <c r="K188" s="27"/>
      <c r="L188" s="27"/>
      <c r="M188" s="27"/>
      <c r="N188" s="27"/>
      <c r="O188" s="64"/>
      <c r="P188" s="64"/>
      <c r="Q188" s="27"/>
      <c r="R188" s="34"/>
      <c r="S188" s="36"/>
      <c r="T188" s="34"/>
      <c r="U188" s="71"/>
      <c r="V188" s="36"/>
      <c r="W188" s="36"/>
      <c r="X188" s="36"/>
      <c r="Y188" s="27"/>
      <c r="AA188" s="9"/>
      <c r="AB188" s="72"/>
    </row>
    <row r="189" spans="6:28">
      <c r="F189" s="48"/>
      <c r="G189" s="32"/>
      <c r="H189" s="68"/>
      <c r="I189" s="36"/>
      <c r="J189" s="27"/>
      <c r="K189" s="27"/>
      <c r="L189" s="27"/>
      <c r="M189" s="27"/>
      <c r="N189" s="27"/>
      <c r="O189" s="64"/>
      <c r="P189" s="64"/>
      <c r="Q189" s="27"/>
      <c r="R189" s="34"/>
      <c r="S189" s="36"/>
      <c r="T189" s="34"/>
      <c r="U189" s="71"/>
      <c r="V189" s="36"/>
      <c r="W189" s="36"/>
      <c r="X189" s="36"/>
      <c r="Y189" s="27"/>
      <c r="AA189" s="9"/>
      <c r="AB189" s="72"/>
    </row>
    <row r="190" spans="6:28">
      <c r="F190" s="48"/>
      <c r="G190" s="32"/>
      <c r="H190" s="68"/>
      <c r="I190" s="36"/>
      <c r="J190" s="27"/>
      <c r="K190" s="27"/>
      <c r="L190" s="27"/>
      <c r="M190" s="27"/>
      <c r="N190" s="27"/>
      <c r="O190" s="64"/>
      <c r="P190" s="64"/>
      <c r="Q190" s="27"/>
      <c r="R190" s="34"/>
      <c r="S190" s="36"/>
      <c r="T190" s="34"/>
      <c r="U190" s="71"/>
      <c r="V190" s="36"/>
      <c r="W190" s="36"/>
      <c r="X190" s="36"/>
      <c r="Y190" s="27"/>
      <c r="AA190" s="9"/>
      <c r="AB190" s="72"/>
    </row>
    <row r="191" spans="6:28">
      <c r="F191" s="48"/>
      <c r="G191" s="32"/>
      <c r="H191" s="68"/>
      <c r="I191" s="36"/>
      <c r="J191" s="27"/>
      <c r="K191" s="27"/>
      <c r="L191" s="27"/>
      <c r="M191" s="27"/>
      <c r="N191" s="27"/>
      <c r="O191" s="64"/>
      <c r="P191" s="64"/>
      <c r="Q191" s="27"/>
      <c r="R191" s="34"/>
      <c r="S191" s="36"/>
      <c r="T191" s="34"/>
      <c r="U191" s="71"/>
      <c r="V191" s="36"/>
      <c r="W191" s="36"/>
      <c r="X191" s="36"/>
      <c r="Y191" s="27"/>
      <c r="AA191" s="9"/>
      <c r="AB191" s="72"/>
    </row>
    <row r="192" spans="6:28">
      <c r="F192" s="48"/>
      <c r="G192" s="32"/>
      <c r="H192" s="68"/>
      <c r="I192" s="36"/>
      <c r="J192" s="27"/>
      <c r="K192" s="27"/>
      <c r="L192" s="27"/>
      <c r="M192" s="27"/>
      <c r="N192" s="27"/>
      <c r="O192" s="64"/>
      <c r="P192" s="64"/>
      <c r="Q192" s="27"/>
      <c r="R192" s="34"/>
      <c r="S192" s="36"/>
      <c r="T192" s="34"/>
      <c r="U192" s="71"/>
      <c r="V192" s="36"/>
      <c r="W192" s="36"/>
      <c r="X192" s="36"/>
      <c r="Y192" s="27"/>
      <c r="AA192" s="9"/>
      <c r="AB192" s="72"/>
    </row>
    <row r="193" spans="6:28">
      <c r="F193" s="48"/>
      <c r="G193" s="32"/>
      <c r="H193" s="68"/>
      <c r="I193" s="36"/>
      <c r="J193" s="27"/>
      <c r="K193" s="27"/>
      <c r="L193" s="27"/>
      <c r="M193" s="27"/>
      <c r="N193" s="27"/>
      <c r="O193" s="64"/>
      <c r="P193" s="64"/>
      <c r="Q193" s="27"/>
      <c r="R193" s="34"/>
      <c r="S193" s="36"/>
      <c r="T193" s="34"/>
      <c r="U193" s="71"/>
      <c r="V193" s="36"/>
      <c r="W193" s="36"/>
      <c r="X193" s="36"/>
      <c r="Y193" s="27"/>
      <c r="AA193" s="9"/>
      <c r="AB193" s="72"/>
    </row>
    <row r="194" spans="6:28">
      <c r="F194" s="48"/>
      <c r="G194" s="32"/>
      <c r="H194" s="68"/>
      <c r="I194" s="36"/>
      <c r="J194" s="27"/>
      <c r="K194" s="27"/>
      <c r="L194" s="27"/>
      <c r="M194" s="27"/>
      <c r="N194" s="27"/>
      <c r="O194" s="64"/>
      <c r="P194" s="64"/>
      <c r="Q194" s="27"/>
      <c r="R194" s="34"/>
      <c r="S194" s="36"/>
      <c r="T194" s="34"/>
      <c r="U194" s="71"/>
      <c r="V194" s="36"/>
      <c r="W194" s="36"/>
      <c r="X194" s="36"/>
      <c r="Y194" s="27"/>
      <c r="AA194" s="9"/>
      <c r="AB194" s="72"/>
    </row>
    <row r="195" spans="6:28">
      <c r="F195" s="48"/>
      <c r="G195" s="32"/>
      <c r="H195" s="68"/>
      <c r="I195" s="36"/>
      <c r="J195" s="27"/>
      <c r="K195" s="27"/>
      <c r="L195" s="27"/>
      <c r="M195" s="27"/>
      <c r="N195" s="27"/>
      <c r="O195" s="64"/>
      <c r="P195" s="64"/>
      <c r="Q195" s="27"/>
      <c r="R195" s="34"/>
      <c r="S195" s="36"/>
      <c r="T195" s="34"/>
      <c r="U195" s="71"/>
      <c r="V195" s="36"/>
      <c r="W195" s="36"/>
      <c r="X195" s="36"/>
      <c r="Y195" s="27"/>
      <c r="AA195" s="9"/>
      <c r="AB195" s="72"/>
    </row>
    <row r="196" spans="6:28">
      <c r="F196" s="48"/>
      <c r="G196" s="32"/>
      <c r="H196" s="68"/>
      <c r="I196" s="36"/>
      <c r="J196" s="27"/>
      <c r="K196" s="27"/>
      <c r="L196" s="27"/>
      <c r="M196" s="27"/>
      <c r="N196" s="27"/>
      <c r="O196" s="64"/>
      <c r="P196" s="64"/>
      <c r="Q196" s="27"/>
      <c r="R196" s="34"/>
      <c r="S196" s="36"/>
      <c r="T196" s="34"/>
      <c r="U196" s="71"/>
      <c r="V196" s="36"/>
      <c r="W196" s="36"/>
      <c r="X196" s="36"/>
      <c r="Y196" s="27"/>
      <c r="AA196" s="9"/>
      <c r="AB196" s="72"/>
    </row>
    <row r="197" spans="6:28">
      <c r="F197" s="48"/>
      <c r="G197" s="32"/>
      <c r="H197" s="68"/>
      <c r="I197" s="36"/>
      <c r="J197" s="27"/>
      <c r="K197" s="27"/>
      <c r="L197" s="27"/>
      <c r="M197" s="27"/>
      <c r="N197" s="27"/>
      <c r="O197" s="64"/>
      <c r="P197" s="64"/>
      <c r="Q197" s="27"/>
      <c r="R197" s="34"/>
      <c r="S197" s="36"/>
      <c r="T197" s="34"/>
      <c r="U197" s="71"/>
      <c r="V197" s="36"/>
      <c r="W197" s="36"/>
      <c r="X197" s="36"/>
      <c r="Y197" s="27"/>
      <c r="AA197" s="9"/>
      <c r="AB197" s="72"/>
    </row>
    <row r="198" spans="6:28">
      <c r="F198" s="48"/>
      <c r="G198" s="32"/>
      <c r="H198" s="68"/>
      <c r="I198" s="36"/>
      <c r="J198" s="27"/>
      <c r="K198" s="27"/>
      <c r="L198" s="27"/>
      <c r="M198" s="27"/>
      <c r="N198" s="27"/>
      <c r="O198" s="64"/>
      <c r="P198" s="64"/>
      <c r="Q198" s="27"/>
      <c r="R198" s="34"/>
      <c r="S198" s="36"/>
      <c r="T198" s="34"/>
      <c r="U198" s="71"/>
      <c r="V198" s="36"/>
      <c r="W198" s="36"/>
      <c r="X198" s="36"/>
      <c r="Y198" s="27"/>
      <c r="AA198" s="9"/>
      <c r="AB198" s="72"/>
    </row>
    <row r="199" spans="6:28">
      <c r="F199" s="48"/>
      <c r="G199" s="32"/>
      <c r="H199" s="68"/>
      <c r="I199" s="36"/>
      <c r="J199" s="27"/>
      <c r="K199" s="27"/>
      <c r="L199" s="27"/>
      <c r="M199" s="27"/>
      <c r="N199" s="27"/>
      <c r="O199" s="64"/>
      <c r="P199" s="64"/>
      <c r="Q199" s="27"/>
      <c r="R199" s="34"/>
      <c r="S199" s="36"/>
      <c r="T199" s="34"/>
      <c r="U199" s="71"/>
      <c r="V199" s="36"/>
      <c r="W199" s="36"/>
      <c r="X199" s="36"/>
      <c r="Y199" s="27"/>
      <c r="AA199" s="9"/>
      <c r="AB199" s="72"/>
    </row>
    <row r="200" spans="6:28">
      <c r="F200" s="48"/>
      <c r="G200" s="32"/>
      <c r="H200" s="68"/>
      <c r="I200" s="36"/>
      <c r="J200" s="27"/>
      <c r="K200" s="27"/>
      <c r="L200" s="27"/>
      <c r="M200" s="27"/>
      <c r="N200" s="27"/>
      <c r="O200" s="64"/>
      <c r="P200" s="64"/>
      <c r="Q200" s="27"/>
      <c r="R200" s="34"/>
      <c r="S200" s="36"/>
      <c r="T200" s="34"/>
      <c r="U200" s="71"/>
      <c r="V200" s="36"/>
      <c r="W200" s="36"/>
      <c r="X200" s="36"/>
      <c r="Y200" s="27"/>
      <c r="AA200" s="9"/>
      <c r="AB200" s="72"/>
    </row>
    <row r="201" spans="6:28">
      <c r="F201" s="48"/>
      <c r="G201" s="32"/>
      <c r="H201" s="68"/>
      <c r="I201" s="36"/>
      <c r="J201" s="27"/>
      <c r="K201" s="27"/>
      <c r="L201" s="27"/>
      <c r="M201" s="27"/>
      <c r="N201" s="27"/>
      <c r="O201" s="64"/>
      <c r="P201" s="64"/>
      <c r="Q201" s="27"/>
      <c r="R201" s="34"/>
      <c r="S201" s="36"/>
      <c r="T201" s="34"/>
      <c r="U201" s="71"/>
      <c r="V201" s="36"/>
      <c r="W201" s="36"/>
      <c r="X201" s="36"/>
      <c r="Y201" s="27"/>
      <c r="AA201" s="9"/>
      <c r="AB201" s="72"/>
    </row>
    <row r="202" spans="6:28">
      <c r="F202" s="48"/>
      <c r="G202" s="32"/>
      <c r="H202" s="68"/>
      <c r="I202" s="36"/>
      <c r="J202" s="27"/>
      <c r="K202" s="27"/>
      <c r="L202" s="27"/>
      <c r="M202" s="27"/>
      <c r="N202" s="27"/>
      <c r="O202" s="64"/>
      <c r="P202" s="64"/>
      <c r="Q202" s="27"/>
      <c r="R202" s="34"/>
      <c r="S202" s="36"/>
      <c r="T202" s="34"/>
      <c r="U202" s="71"/>
      <c r="V202" s="36"/>
      <c r="W202" s="36"/>
      <c r="X202" s="36"/>
      <c r="Y202" s="27"/>
      <c r="AA202" s="9"/>
      <c r="AB202" s="72"/>
    </row>
    <row r="203" spans="6:28">
      <c r="F203" s="48"/>
      <c r="G203" s="32"/>
      <c r="H203" s="68"/>
      <c r="I203" s="36"/>
      <c r="J203" s="27"/>
      <c r="K203" s="27"/>
      <c r="L203" s="27"/>
      <c r="M203" s="27"/>
      <c r="N203" s="27"/>
      <c r="O203" s="64"/>
      <c r="P203" s="64"/>
      <c r="Q203" s="27"/>
      <c r="R203" s="34"/>
      <c r="S203" s="36"/>
      <c r="T203" s="34"/>
      <c r="U203" s="71"/>
      <c r="V203" s="36"/>
      <c r="W203" s="36"/>
      <c r="X203" s="36"/>
      <c r="Y203" s="27"/>
      <c r="AA203" s="9"/>
      <c r="AB203" s="72"/>
    </row>
    <row r="204" spans="6:28">
      <c r="F204" s="48"/>
      <c r="G204" s="32"/>
      <c r="H204" s="68"/>
      <c r="I204" s="36"/>
      <c r="J204" s="27"/>
      <c r="K204" s="27"/>
      <c r="L204" s="27"/>
      <c r="M204" s="27"/>
      <c r="N204" s="27"/>
      <c r="O204" s="64"/>
      <c r="P204" s="64"/>
      <c r="Q204" s="27"/>
      <c r="R204" s="34"/>
      <c r="S204" s="36"/>
      <c r="T204" s="34"/>
      <c r="U204" s="71"/>
      <c r="V204" s="36"/>
      <c r="W204" s="36"/>
      <c r="X204" s="36"/>
      <c r="Y204" s="27"/>
      <c r="AA204" s="9"/>
      <c r="AB204" s="72"/>
    </row>
    <row r="205" spans="6:28">
      <c r="F205" s="48"/>
      <c r="G205" s="32"/>
      <c r="H205" s="68"/>
      <c r="I205" s="36"/>
      <c r="J205" s="27"/>
      <c r="K205" s="27"/>
      <c r="L205" s="27"/>
      <c r="M205" s="27"/>
      <c r="N205" s="27"/>
      <c r="O205" s="64"/>
      <c r="P205" s="64"/>
      <c r="Q205" s="27"/>
      <c r="R205" s="34"/>
      <c r="S205" s="36"/>
      <c r="T205" s="34"/>
      <c r="U205" s="71"/>
      <c r="V205" s="36"/>
      <c r="W205" s="36"/>
      <c r="X205" s="36"/>
      <c r="Y205" s="27"/>
      <c r="AA205" s="9"/>
      <c r="AB205" s="72"/>
    </row>
    <row r="206" spans="6:28">
      <c r="F206" s="48"/>
      <c r="G206" s="32"/>
      <c r="H206" s="68"/>
      <c r="I206" s="36"/>
      <c r="J206" s="27"/>
      <c r="K206" s="27"/>
      <c r="L206" s="27"/>
      <c r="M206" s="27"/>
      <c r="N206" s="27"/>
      <c r="O206" s="64"/>
      <c r="P206" s="64"/>
      <c r="Q206" s="27"/>
      <c r="R206" s="34"/>
      <c r="S206" s="36"/>
      <c r="T206" s="34"/>
      <c r="U206" s="71"/>
      <c r="V206" s="36"/>
      <c r="W206" s="36"/>
      <c r="X206" s="36"/>
      <c r="Y206" s="27"/>
      <c r="AA206" s="9"/>
      <c r="AB206" s="72"/>
    </row>
    <row r="207" spans="6:28">
      <c r="F207" s="48"/>
      <c r="G207" s="32"/>
      <c r="H207" s="68"/>
      <c r="I207" s="36"/>
      <c r="J207" s="27"/>
      <c r="K207" s="27"/>
      <c r="L207" s="27"/>
      <c r="M207" s="27"/>
      <c r="N207" s="27"/>
      <c r="O207" s="64"/>
      <c r="P207" s="64"/>
      <c r="Q207" s="27"/>
      <c r="R207" s="34"/>
      <c r="S207" s="36"/>
      <c r="T207" s="34"/>
      <c r="U207" s="71"/>
      <c r="V207" s="36"/>
      <c r="W207" s="36"/>
      <c r="X207" s="36"/>
      <c r="Y207" s="27"/>
      <c r="AA207" s="9"/>
      <c r="AB207" s="72"/>
    </row>
    <row r="208" spans="6:28">
      <c r="F208" s="48"/>
      <c r="G208" s="32"/>
      <c r="H208" s="68"/>
      <c r="I208" s="36"/>
      <c r="J208" s="27"/>
      <c r="K208" s="27"/>
      <c r="L208" s="27"/>
      <c r="M208" s="27"/>
      <c r="N208" s="27"/>
      <c r="O208" s="64"/>
      <c r="P208" s="64"/>
      <c r="Q208" s="27"/>
      <c r="R208" s="34"/>
      <c r="S208" s="36"/>
      <c r="T208" s="34"/>
      <c r="U208" s="71"/>
      <c r="V208" s="36"/>
      <c r="W208" s="36"/>
      <c r="X208" s="36"/>
      <c r="Y208" s="27"/>
      <c r="AA208" s="9"/>
      <c r="AB208" s="72"/>
    </row>
    <row r="209" spans="6:28">
      <c r="F209" s="48"/>
      <c r="G209" s="32"/>
      <c r="H209" s="68"/>
      <c r="I209" s="36"/>
      <c r="J209" s="27"/>
      <c r="K209" s="27"/>
      <c r="L209" s="27"/>
      <c r="M209" s="27"/>
      <c r="N209" s="27"/>
      <c r="O209" s="64"/>
      <c r="P209" s="64"/>
      <c r="Q209" s="27"/>
      <c r="R209" s="34"/>
      <c r="S209" s="36"/>
      <c r="T209" s="34"/>
      <c r="U209" s="71"/>
      <c r="V209" s="36"/>
      <c r="W209" s="36"/>
      <c r="X209" s="36"/>
      <c r="Y209" s="27"/>
      <c r="AA209" s="9"/>
      <c r="AB209" s="72"/>
    </row>
    <row r="210" spans="6:28">
      <c r="F210" s="48"/>
      <c r="G210" s="32"/>
      <c r="H210" s="68"/>
      <c r="I210" s="36"/>
      <c r="J210" s="27"/>
      <c r="K210" s="27"/>
      <c r="L210" s="27"/>
      <c r="M210" s="27"/>
      <c r="N210" s="27"/>
      <c r="O210" s="64"/>
      <c r="P210" s="64"/>
      <c r="Q210" s="27"/>
      <c r="R210" s="34"/>
      <c r="S210" s="36"/>
      <c r="T210" s="34"/>
      <c r="U210" s="71"/>
      <c r="V210" s="36"/>
      <c r="W210" s="36"/>
      <c r="X210" s="36"/>
      <c r="Y210" s="27"/>
      <c r="AA210" s="9"/>
      <c r="AB210" s="72"/>
    </row>
    <row r="211" spans="6:28">
      <c r="F211" s="48"/>
      <c r="G211" s="32"/>
      <c r="H211" s="68"/>
      <c r="I211" s="36"/>
      <c r="J211" s="27"/>
      <c r="K211" s="27"/>
      <c r="L211" s="27"/>
      <c r="M211" s="27"/>
      <c r="N211" s="27"/>
      <c r="O211" s="64"/>
      <c r="P211" s="64"/>
      <c r="Q211" s="27"/>
      <c r="R211" s="34"/>
      <c r="S211" s="36"/>
      <c r="T211" s="34"/>
      <c r="U211" s="71"/>
      <c r="V211" s="36"/>
      <c r="W211" s="36"/>
      <c r="X211" s="36"/>
      <c r="Y211" s="27"/>
      <c r="AA211" s="9"/>
      <c r="AB211" s="72"/>
    </row>
    <row r="212" spans="6:28">
      <c r="F212" s="48"/>
      <c r="G212" s="32"/>
      <c r="H212" s="68"/>
      <c r="I212" s="36"/>
      <c r="J212" s="27"/>
      <c r="K212" s="27"/>
      <c r="L212" s="27"/>
      <c r="M212" s="27"/>
      <c r="N212" s="27"/>
      <c r="O212" s="64"/>
      <c r="P212" s="64"/>
      <c r="Q212" s="27"/>
      <c r="R212" s="34"/>
      <c r="S212" s="36"/>
      <c r="T212" s="34"/>
      <c r="U212" s="71"/>
      <c r="V212" s="36"/>
      <c r="W212" s="36"/>
      <c r="X212" s="36"/>
      <c r="Y212" s="27"/>
      <c r="AA212" s="9"/>
      <c r="AB212" s="72"/>
    </row>
    <row r="213" spans="6:28">
      <c r="F213" s="48"/>
      <c r="G213" s="32"/>
      <c r="H213" s="68"/>
      <c r="I213" s="36"/>
      <c r="J213" s="27"/>
      <c r="K213" s="27"/>
      <c r="L213" s="27"/>
      <c r="M213" s="27"/>
      <c r="N213" s="27"/>
      <c r="O213" s="64"/>
      <c r="P213" s="64"/>
      <c r="Q213" s="27"/>
      <c r="R213" s="34"/>
      <c r="S213" s="36"/>
      <c r="T213" s="34"/>
      <c r="U213" s="71"/>
      <c r="V213" s="36"/>
      <c r="W213" s="36"/>
      <c r="X213" s="36"/>
      <c r="Y213" s="27"/>
      <c r="AA213" s="9"/>
      <c r="AB213" s="72"/>
    </row>
    <row r="214" spans="6:28">
      <c r="F214" s="48"/>
      <c r="G214" s="32"/>
      <c r="H214" s="68"/>
      <c r="I214" s="36"/>
      <c r="J214" s="27"/>
      <c r="K214" s="27"/>
      <c r="L214" s="27"/>
      <c r="M214" s="27"/>
      <c r="N214" s="27"/>
      <c r="O214" s="64"/>
      <c r="P214" s="64"/>
      <c r="Q214" s="27"/>
      <c r="R214" s="34"/>
      <c r="S214" s="36"/>
      <c r="T214" s="34"/>
      <c r="U214" s="71"/>
      <c r="V214" s="36"/>
      <c r="W214" s="36"/>
      <c r="X214" s="36"/>
      <c r="Y214" s="27"/>
      <c r="AA214" s="9"/>
      <c r="AB214" s="72"/>
    </row>
    <row r="215" spans="6:28">
      <c r="F215" s="48"/>
      <c r="G215" s="32"/>
      <c r="H215" s="68"/>
      <c r="I215" s="36"/>
      <c r="J215" s="27"/>
      <c r="K215" s="27"/>
      <c r="L215" s="27"/>
      <c r="M215" s="27"/>
      <c r="N215" s="27"/>
      <c r="O215" s="64"/>
      <c r="P215" s="64"/>
      <c r="Q215" s="27"/>
      <c r="R215" s="34"/>
      <c r="S215" s="36"/>
      <c r="T215" s="34"/>
      <c r="U215" s="71"/>
      <c r="V215" s="36"/>
      <c r="W215" s="36"/>
      <c r="X215" s="36"/>
      <c r="Y215" s="27"/>
      <c r="AA215" s="9"/>
      <c r="AB215" s="72"/>
    </row>
    <row r="216" spans="6:28">
      <c r="F216" s="48"/>
      <c r="G216" s="32"/>
      <c r="H216" s="68"/>
      <c r="I216" s="36"/>
      <c r="J216" s="27"/>
      <c r="K216" s="27"/>
      <c r="L216" s="27"/>
      <c r="M216" s="27"/>
      <c r="N216" s="27"/>
      <c r="O216" s="64"/>
      <c r="P216" s="64"/>
      <c r="Q216" s="27"/>
      <c r="R216" s="34"/>
      <c r="S216" s="36"/>
      <c r="T216" s="34"/>
      <c r="U216" s="71"/>
      <c r="V216" s="36"/>
      <c r="W216" s="36"/>
      <c r="X216" s="36"/>
      <c r="Y216" s="27"/>
      <c r="AA216" s="9"/>
      <c r="AB216" s="72"/>
    </row>
    <row r="217" spans="6:28">
      <c r="F217" s="48"/>
      <c r="G217" s="32"/>
      <c r="H217" s="68"/>
      <c r="I217" s="36"/>
      <c r="J217" s="27"/>
      <c r="K217" s="27"/>
      <c r="L217" s="27"/>
      <c r="M217" s="27"/>
      <c r="N217" s="27"/>
      <c r="O217" s="64"/>
      <c r="P217" s="64"/>
      <c r="Q217" s="27"/>
      <c r="R217" s="34"/>
      <c r="S217" s="36"/>
      <c r="T217" s="34"/>
      <c r="U217" s="71"/>
      <c r="V217" s="36"/>
      <c r="W217" s="36"/>
      <c r="X217" s="36"/>
      <c r="Y217" s="27"/>
      <c r="AA217" s="9"/>
      <c r="AB217" s="72"/>
    </row>
    <row r="218" spans="6:28">
      <c r="F218" s="48"/>
      <c r="G218" s="32"/>
      <c r="H218" s="68"/>
      <c r="I218" s="36"/>
      <c r="J218" s="27"/>
      <c r="K218" s="27"/>
      <c r="L218" s="27"/>
      <c r="M218" s="27"/>
      <c r="N218" s="27"/>
      <c r="O218" s="64"/>
      <c r="P218" s="64"/>
      <c r="Q218" s="27"/>
      <c r="R218" s="34"/>
      <c r="S218" s="36"/>
      <c r="T218" s="34"/>
      <c r="U218" s="71"/>
      <c r="V218" s="36"/>
      <c r="W218" s="36"/>
      <c r="X218" s="36"/>
      <c r="Y218" s="27"/>
      <c r="AA218" s="9"/>
      <c r="AB218" s="72"/>
    </row>
    <row r="219" spans="6:28">
      <c r="F219" s="48"/>
      <c r="G219" s="32"/>
      <c r="H219" s="68"/>
      <c r="I219" s="36"/>
      <c r="J219" s="27"/>
      <c r="K219" s="27"/>
      <c r="L219" s="27"/>
      <c r="M219" s="27"/>
      <c r="N219" s="27"/>
      <c r="O219" s="64"/>
      <c r="P219" s="64"/>
      <c r="Q219" s="27"/>
      <c r="R219" s="34"/>
      <c r="S219" s="36"/>
      <c r="T219" s="34"/>
      <c r="U219" s="71"/>
      <c r="V219" s="36"/>
      <c r="W219" s="36"/>
      <c r="X219" s="36"/>
      <c r="Y219" s="27"/>
      <c r="AA219" s="9"/>
      <c r="AB219" s="72"/>
    </row>
    <row r="220" spans="6:28">
      <c r="F220" s="48"/>
      <c r="G220" s="32"/>
      <c r="H220" s="68"/>
      <c r="I220" s="36"/>
      <c r="J220" s="27"/>
      <c r="K220" s="27"/>
      <c r="L220" s="27"/>
      <c r="M220" s="27"/>
      <c r="N220" s="27"/>
      <c r="O220" s="64"/>
      <c r="P220" s="64"/>
      <c r="Q220" s="27"/>
      <c r="R220" s="34"/>
      <c r="S220" s="36"/>
      <c r="T220" s="34"/>
      <c r="U220" s="71"/>
      <c r="V220" s="36"/>
      <c r="W220" s="36"/>
      <c r="X220" s="36"/>
      <c r="Y220" s="27"/>
      <c r="AA220" s="9"/>
      <c r="AB220" s="72"/>
    </row>
    <row r="221" spans="6:28">
      <c r="F221" s="48"/>
      <c r="G221" s="32"/>
      <c r="H221" s="68"/>
      <c r="I221" s="36"/>
      <c r="J221" s="27"/>
      <c r="K221" s="27"/>
      <c r="L221" s="27"/>
      <c r="M221" s="27"/>
      <c r="N221" s="27"/>
      <c r="O221" s="64"/>
      <c r="P221" s="64"/>
      <c r="Q221" s="27"/>
      <c r="R221" s="34"/>
      <c r="S221" s="36"/>
      <c r="T221" s="34"/>
      <c r="U221" s="71"/>
      <c r="V221" s="36"/>
      <c r="W221" s="36"/>
      <c r="X221" s="36"/>
      <c r="Y221" s="27"/>
      <c r="AA221" s="9"/>
      <c r="AB221" s="72"/>
    </row>
    <row r="222" spans="6:28">
      <c r="F222" s="48"/>
      <c r="G222" s="32"/>
      <c r="H222" s="68"/>
      <c r="I222" s="36"/>
      <c r="J222" s="27"/>
      <c r="K222" s="27"/>
      <c r="L222" s="27"/>
      <c r="M222" s="27"/>
      <c r="N222" s="27"/>
      <c r="O222" s="64"/>
      <c r="P222" s="64"/>
      <c r="Q222" s="27"/>
      <c r="R222" s="34"/>
      <c r="S222" s="36"/>
      <c r="T222" s="34"/>
      <c r="U222" s="71"/>
      <c r="V222" s="36"/>
      <c r="W222" s="36"/>
      <c r="X222" s="36"/>
      <c r="Y222" s="27"/>
      <c r="AA222" s="9"/>
      <c r="AB222" s="72"/>
    </row>
    <row r="223" spans="6:28">
      <c r="F223" s="48"/>
      <c r="G223" s="32"/>
      <c r="H223" s="68"/>
      <c r="I223" s="36"/>
      <c r="J223" s="27"/>
      <c r="K223" s="27"/>
      <c r="L223" s="27"/>
      <c r="M223" s="27"/>
      <c r="N223" s="27"/>
      <c r="O223" s="64"/>
      <c r="P223" s="64"/>
      <c r="Q223" s="27"/>
      <c r="R223" s="34"/>
      <c r="S223" s="36"/>
      <c r="T223" s="34"/>
      <c r="U223" s="71"/>
      <c r="V223" s="36"/>
      <c r="W223" s="36"/>
      <c r="X223" s="36"/>
      <c r="Y223" s="27"/>
      <c r="AA223" s="9"/>
      <c r="AB223" s="72"/>
    </row>
    <row r="224" spans="6:28">
      <c r="F224" s="48"/>
      <c r="G224" s="32"/>
      <c r="H224" s="68"/>
      <c r="I224" s="36"/>
      <c r="J224" s="27"/>
      <c r="K224" s="27"/>
      <c r="L224" s="27"/>
      <c r="M224" s="27"/>
      <c r="N224" s="27"/>
      <c r="O224" s="64"/>
      <c r="P224" s="64"/>
      <c r="Q224" s="27"/>
      <c r="R224" s="34"/>
      <c r="S224" s="36"/>
      <c r="T224" s="34"/>
      <c r="U224" s="71"/>
      <c r="V224" s="36"/>
      <c r="W224" s="36"/>
      <c r="X224" s="36"/>
      <c r="Y224" s="27"/>
      <c r="AA224" s="9"/>
      <c r="AB224" s="72"/>
    </row>
    <row r="225" spans="6:28">
      <c r="F225" s="48"/>
      <c r="G225" s="32"/>
      <c r="H225" s="68"/>
      <c r="I225" s="36"/>
      <c r="J225" s="27"/>
      <c r="K225" s="27"/>
      <c r="L225" s="27"/>
      <c r="M225" s="27"/>
      <c r="N225" s="27"/>
      <c r="O225" s="64"/>
      <c r="P225" s="64"/>
      <c r="Q225" s="27"/>
      <c r="R225" s="34"/>
      <c r="S225" s="36"/>
      <c r="T225" s="34"/>
      <c r="U225" s="71"/>
      <c r="V225" s="36"/>
      <c r="W225" s="36"/>
      <c r="X225" s="36"/>
      <c r="Y225" s="27"/>
      <c r="AA225" s="9"/>
      <c r="AB225" s="72"/>
    </row>
    <row r="226" spans="6:28">
      <c r="F226" s="48"/>
      <c r="G226" s="32"/>
      <c r="H226" s="68"/>
      <c r="I226" s="36"/>
      <c r="J226" s="27"/>
      <c r="K226" s="27"/>
      <c r="L226" s="27"/>
      <c r="M226" s="27"/>
      <c r="N226" s="27"/>
      <c r="O226" s="64"/>
      <c r="P226" s="64"/>
      <c r="Q226" s="27"/>
      <c r="R226" s="34"/>
      <c r="S226" s="36"/>
      <c r="T226" s="34"/>
      <c r="U226" s="71"/>
      <c r="V226" s="36"/>
      <c r="W226" s="36"/>
      <c r="X226" s="36"/>
      <c r="Y226" s="27"/>
      <c r="AA226" s="9"/>
      <c r="AB226" s="72"/>
    </row>
    <row r="227" spans="6:28">
      <c r="F227" s="48"/>
      <c r="G227" s="32"/>
      <c r="H227" s="68"/>
      <c r="I227" s="36"/>
      <c r="J227" s="27"/>
      <c r="K227" s="27"/>
      <c r="L227" s="27"/>
      <c r="M227" s="27"/>
      <c r="N227" s="27"/>
      <c r="O227" s="64"/>
      <c r="P227" s="64"/>
      <c r="Q227" s="27"/>
      <c r="R227" s="34"/>
      <c r="S227" s="36"/>
      <c r="T227" s="34"/>
      <c r="U227" s="71"/>
      <c r="V227" s="36"/>
      <c r="W227" s="36"/>
      <c r="X227" s="36"/>
      <c r="Y227" s="27"/>
      <c r="AA227" s="9"/>
      <c r="AB227" s="72"/>
    </row>
    <row r="228" spans="6:28">
      <c r="F228" s="48"/>
      <c r="G228" s="32"/>
      <c r="H228" s="68"/>
      <c r="I228" s="36"/>
      <c r="J228" s="27"/>
      <c r="K228" s="27"/>
      <c r="L228" s="27"/>
      <c r="M228" s="27"/>
      <c r="N228" s="27"/>
      <c r="O228" s="64"/>
      <c r="P228" s="64"/>
      <c r="Q228" s="27"/>
      <c r="R228" s="34"/>
      <c r="S228" s="36"/>
      <c r="T228" s="34"/>
      <c r="U228" s="71"/>
      <c r="V228" s="36"/>
      <c r="W228" s="36"/>
      <c r="X228" s="36"/>
      <c r="Y228" s="27"/>
      <c r="AA228" s="9"/>
      <c r="AB228" s="72"/>
    </row>
    <row r="229" spans="6:28">
      <c r="F229" s="48"/>
      <c r="G229" s="32"/>
      <c r="H229" s="68"/>
      <c r="I229" s="36"/>
      <c r="J229" s="27"/>
      <c r="K229" s="27"/>
      <c r="L229" s="27"/>
      <c r="M229" s="27"/>
      <c r="N229" s="27"/>
      <c r="O229" s="64"/>
      <c r="P229" s="64"/>
      <c r="Q229" s="27"/>
      <c r="R229" s="34"/>
      <c r="S229" s="36"/>
      <c r="T229" s="34"/>
      <c r="U229" s="71"/>
      <c r="V229" s="36"/>
      <c r="W229" s="36"/>
      <c r="X229" s="36"/>
      <c r="Y229" s="27"/>
      <c r="AA229" s="9"/>
      <c r="AB229" s="72"/>
    </row>
    <row r="230" spans="6:28">
      <c r="F230" s="48"/>
      <c r="G230" s="32"/>
      <c r="H230" s="68"/>
      <c r="I230" s="36"/>
      <c r="J230" s="27"/>
      <c r="K230" s="27"/>
      <c r="L230" s="27"/>
      <c r="M230" s="27"/>
      <c r="N230" s="27"/>
      <c r="O230" s="64"/>
      <c r="P230" s="64"/>
      <c r="Q230" s="27"/>
      <c r="R230" s="34"/>
      <c r="S230" s="36"/>
      <c r="T230" s="34"/>
      <c r="U230" s="71"/>
      <c r="V230" s="36"/>
      <c r="W230" s="36"/>
      <c r="X230" s="36"/>
      <c r="Y230" s="27"/>
      <c r="AA230" s="9"/>
      <c r="AB230" s="72"/>
    </row>
    <row r="231" spans="6:28">
      <c r="F231" s="48"/>
      <c r="G231" s="32"/>
      <c r="H231" s="68"/>
      <c r="I231" s="36"/>
      <c r="J231" s="27"/>
      <c r="K231" s="27"/>
      <c r="L231" s="27"/>
      <c r="M231" s="27"/>
      <c r="N231" s="27"/>
      <c r="O231" s="64"/>
      <c r="P231" s="64"/>
      <c r="Q231" s="27"/>
      <c r="R231" s="34"/>
      <c r="S231" s="36"/>
      <c r="T231" s="34"/>
      <c r="U231" s="71"/>
      <c r="V231" s="36"/>
      <c r="W231" s="36"/>
      <c r="X231" s="36"/>
      <c r="Y231" s="27"/>
      <c r="AA231" s="9"/>
      <c r="AB231" s="72"/>
    </row>
    <row r="232" spans="6:28">
      <c r="F232" s="48"/>
      <c r="G232" s="32"/>
      <c r="H232" s="68"/>
      <c r="I232" s="36"/>
      <c r="J232" s="27"/>
      <c r="K232" s="27"/>
      <c r="L232" s="27"/>
      <c r="M232" s="27"/>
      <c r="N232" s="27"/>
      <c r="O232" s="64"/>
      <c r="P232" s="64"/>
      <c r="Q232" s="27"/>
      <c r="R232" s="34"/>
      <c r="S232" s="36"/>
      <c r="T232" s="34"/>
      <c r="U232" s="71"/>
      <c r="V232" s="36"/>
      <c r="W232" s="36"/>
      <c r="X232" s="36"/>
      <c r="Y232" s="27"/>
      <c r="AA232" s="9"/>
      <c r="AB232" s="72"/>
    </row>
    <row r="233" spans="6:28">
      <c r="F233" s="48"/>
      <c r="G233" s="32"/>
      <c r="H233" s="68"/>
      <c r="I233" s="36"/>
      <c r="J233" s="27"/>
      <c r="K233" s="27"/>
      <c r="L233" s="27"/>
      <c r="M233" s="27"/>
      <c r="N233" s="27"/>
      <c r="O233" s="64"/>
      <c r="P233" s="64"/>
      <c r="Q233" s="27"/>
      <c r="R233" s="34"/>
      <c r="S233" s="36"/>
      <c r="T233" s="34"/>
      <c r="U233" s="71"/>
      <c r="V233" s="36"/>
      <c r="W233" s="36"/>
      <c r="X233" s="36"/>
      <c r="Y233" s="27"/>
      <c r="AA233" s="9"/>
      <c r="AB233" s="72"/>
    </row>
    <row r="234" spans="6:28">
      <c r="F234" s="48"/>
      <c r="G234" s="32"/>
      <c r="H234" s="68"/>
      <c r="I234" s="36"/>
      <c r="J234" s="27"/>
      <c r="K234" s="27"/>
      <c r="L234" s="27"/>
      <c r="M234" s="27"/>
      <c r="N234" s="27"/>
      <c r="O234" s="64"/>
      <c r="P234" s="64"/>
      <c r="Q234" s="27"/>
      <c r="R234" s="34"/>
      <c r="S234" s="36"/>
      <c r="T234" s="34"/>
      <c r="U234" s="71"/>
      <c r="V234" s="36"/>
      <c r="W234" s="36"/>
      <c r="X234" s="36"/>
      <c r="Y234" s="27"/>
      <c r="AA234" s="9"/>
      <c r="AB234" s="72"/>
    </row>
    <row r="235" spans="6:28">
      <c r="F235" s="48"/>
      <c r="G235" s="32"/>
      <c r="H235" s="68"/>
      <c r="I235" s="36"/>
      <c r="J235" s="27"/>
      <c r="K235" s="27"/>
      <c r="L235" s="27"/>
      <c r="M235" s="27"/>
      <c r="N235" s="27"/>
      <c r="O235" s="64"/>
      <c r="P235" s="64"/>
      <c r="Q235" s="27"/>
      <c r="R235" s="34"/>
      <c r="S235" s="36"/>
      <c r="T235" s="34"/>
      <c r="U235" s="71"/>
      <c r="V235" s="36"/>
      <c r="W235" s="36"/>
      <c r="X235" s="36"/>
      <c r="Y235" s="27"/>
      <c r="AA235" s="9"/>
      <c r="AB235" s="72"/>
    </row>
    <row r="236" spans="6:28">
      <c r="F236" s="48"/>
      <c r="G236" s="32"/>
      <c r="H236" s="68"/>
      <c r="I236" s="36"/>
      <c r="J236" s="27"/>
      <c r="K236" s="27"/>
      <c r="L236" s="27"/>
      <c r="M236" s="27"/>
      <c r="N236" s="27"/>
      <c r="O236" s="64"/>
      <c r="P236" s="64"/>
      <c r="Q236" s="27"/>
      <c r="R236" s="34"/>
      <c r="S236" s="36"/>
      <c r="T236" s="34"/>
      <c r="U236" s="71"/>
      <c r="V236" s="36"/>
      <c r="W236" s="36"/>
      <c r="X236" s="36"/>
      <c r="Y236" s="27"/>
      <c r="AA236" s="9"/>
      <c r="AB236" s="72"/>
    </row>
    <row r="237" spans="6:28">
      <c r="F237" s="48"/>
      <c r="G237" s="32"/>
      <c r="H237" s="68"/>
      <c r="I237" s="36"/>
      <c r="J237" s="27"/>
      <c r="K237" s="27"/>
      <c r="L237" s="27"/>
      <c r="M237" s="27"/>
      <c r="N237" s="27"/>
      <c r="O237" s="64"/>
      <c r="P237" s="64"/>
      <c r="Q237" s="27"/>
      <c r="R237" s="34"/>
      <c r="S237" s="36"/>
      <c r="T237" s="34"/>
      <c r="U237" s="71"/>
      <c r="V237" s="36"/>
      <c r="W237" s="36"/>
      <c r="X237" s="36"/>
      <c r="Y237" s="27"/>
      <c r="AA237" s="9"/>
      <c r="AB237" s="72"/>
    </row>
    <row r="238" spans="6:28">
      <c r="F238" s="48"/>
      <c r="G238" s="32"/>
      <c r="H238" s="68"/>
      <c r="I238" s="36"/>
      <c r="J238" s="27"/>
      <c r="K238" s="27"/>
      <c r="L238" s="27"/>
      <c r="M238" s="27"/>
      <c r="N238" s="27"/>
      <c r="O238" s="64"/>
      <c r="P238" s="64"/>
      <c r="Q238" s="27"/>
      <c r="R238" s="34"/>
      <c r="S238" s="36"/>
      <c r="T238" s="34"/>
      <c r="U238" s="71"/>
      <c r="V238" s="36"/>
      <c r="W238" s="36"/>
      <c r="X238" s="36"/>
      <c r="Y238" s="27"/>
      <c r="AA238" s="9"/>
      <c r="AB238" s="72"/>
    </row>
    <row r="239" spans="6:28">
      <c r="F239" s="48"/>
      <c r="G239" s="32"/>
      <c r="H239" s="68"/>
      <c r="I239" s="36"/>
      <c r="J239" s="27"/>
      <c r="K239" s="27"/>
      <c r="L239" s="27"/>
      <c r="M239" s="27"/>
      <c r="N239" s="27"/>
      <c r="O239" s="64"/>
      <c r="P239" s="64"/>
      <c r="Q239" s="27"/>
      <c r="R239" s="34"/>
      <c r="S239" s="36"/>
      <c r="T239" s="34"/>
      <c r="U239" s="71"/>
      <c r="V239" s="36"/>
      <c r="W239" s="36"/>
      <c r="X239" s="36"/>
      <c r="Y239" s="27"/>
      <c r="AA239" s="9"/>
      <c r="AB239" s="72"/>
    </row>
    <row r="240" spans="6:28">
      <c r="F240" s="48"/>
      <c r="G240" s="32"/>
      <c r="H240" s="68"/>
      <c r="I240" s="36"/>
      <c r="J240" s="27"/>
      <c r="K240" s="27"/>
      <c r="L240" s="27"/>
      <c r="M240" s="27"/>
      <c r="N240" s="27"/>
      <c r="O240" s="64"/>
      <c r="P240" s="64"/>
      <c r="Q240" s="27"/>
      <c r="R240" s="34"/>
      <c r="S240" s="36"/>
      <c r="T240" s="34"/>
      <c r="U240" s="71"/>
      <c r="V240" s="36"/>
      <c r="W240" s="36"/>
      <c r="X240" s="36"/>
      <c r="Y240" s="27"/>
      <c r="AA240" s="9"/>
      <c r="AB240" s="72"/>
    </row>
    <row r="241" spans="6:28">
      <c r="F241" s="48"/>
      <c r="G241" s="32"/>
      <c r="H241" s="68"/>
      <c r="I241" s="36"/>
      <c r="J241" s="27"/>
      <c r="K241" s="27"/>
      <c r="L241" s="27"/>
      <c r="M241" s="27"/>
      <c r="N241" s="27"/>
      <c r="O241" s="64"/>
      <c r="P241" s="64"/>
      <c r="Q241" s="27"/>
      <c r="R241" s="34"/>
      <c r="S241" s="36"/>
      <c r="T241" s="34"/>
      <c r="U241" s="71"/>
      <c r="V241" s="36"/>
      <c r="W241" s="36"/>
      <c r="X241" s="36"/>
      <c r="Y241" s="27"/>
      <c r="AA241" s="9"/>
      <c r="AB241" s="72"/>
    </row>
    <row r="242" spans="6:28">
      <c r="F242" s="48"/>
      <c r="G242" s="32"/>
      <c r="H242" s="68"/>
      <c r="I242" s="36"/>
      <c r="J242" s="27"/>
      <c r="K242" s="27"/>
      <c r="L242" s="27"/>
      <c r="M242" s="27"/>
      <c r="N242" s="27"/>
      <c r="O242" s="64"/>
      <c r="P242" s="64"/>
      <c r="Q242" s="27"/>
      <c r="R242" s="34"/>
      <c r="S242" s="36"/>
      <c r="T242" s="34"/>
      <c r="U242" s="71"/>
      <c r="V242" s="36"/>
      <c r="W242" s="36"/>
      <c r="X242" s="36"/>
      <c r="Y242" s="27"/>
      <c r="AA242" s="9"/>
      <c r="AB242" s="72"/>
    </row>
    <row r="243" spans="6:28">
      <c r="F243" s="48"/>
      <c r="G243" s="32"/>
      <c r="H243" s="68"/>
      <c r="I243" s="36"/>
      <c r="J243" s="27"/>
      <c r="K243" s="27"/>
      <c r="L243" s="27"/>
      <c r="M243" s="27"/>
      <c r="N243" s="27"/>
      <c r="O243" s="64"/>
      <c r="P243" s="64"/>
      <c r="Q243" s="27"/>
      <c r="R243" s="34"/>
      <c r="S243" s="36"/>
      <c r="T243" s="34"/>
      <c r="U243" s="71"/>
      <c r="V243" s="36"/>
      <c r="W243" s="36"/>
      <c r="X243" s="36"/>
      <c r="Y243" s="27"/>
      <c r="AA243" s="9"/>
      <c r="AB243" s="72"/>
    </row>
    <row r="244" spans="6:28">
      <c r="F244" s="48"/>
      <c r="G244" s="32"/>
      <c r="H244" s="68"/>
      <c r="I244" s="36"/>
      <c r="J244" s="27"/>
      <c r="K244" s="27"/>
      <c r="L244" s="27"/>
      <c r="M244" s="27"/>
      <c r="N244" s="27"/>
      <c r="O244" s="64"/>
      <c r="P244" s="64"/>
      <c r="Q244" s="27"/>
      <c r="R244" s="34"/>
      <c r="S244" s="36"/>
      <c r="T244" s="34"/>
      <c r="U244" s="71"/>
      <c r="V244" s="36"/>
      <c r="W244" s="36"/>
      <c r="X244" s="36"/>
      <c r="Y244" s="27"/>
      <c r="AA244" s="9"/>
      <c r="AB244" s="72"/>
    </row>
    <row r="245" spans="6:28">
      <c r="F245" s="48"/>
      <c r="G245" s="32"/>
      <c r="H245" s="68"/>
      <c r="I245" s="36"/>
      <c r="J245" s="27"/>
      <c r="K245" s="27"/>
      <c r="L245" s="27"/>
      <c r="M245" s="27"/>
      <c r="N245" s="27"/>
      <c r="O245" s="64"/>
      <c r="P245" s="64"/>
      <c r="Q245" s="27"/>
      <c r="R245" s="34"/>
      <c r="S245" s="36"/>
      <c r="T245" s="34"/>
      <c r="U245" s="71"/>
      <c r="V245" s="36"/>
      <c r="W245" s="36"/>
      <c r="X245" s="36"/>
      <c r="Y245" s="27"/>
      <c r="AA245" s="9"/>
      <c r="AB245" s="72"/>
    </row>
    <row r="246" spans="6:28">
      <c r="F246" s="48"/>
      <c r="G246" s="32"/>
      <c r="H246" s="68"/>
      <c r="I246" s="36"/>
      <c r="J246" s="27"/>
      <c r="K246" s="27"/>
      <c r="L246" s="27"/>
      <c r="M246" s="27"/>
      <c r="N246" s="27"/>
      <c r="O246" s="64"/>
      <c r="P246" s="64"/>
      <c r="Q246" s="27"/>
      <c r="R246" s="34"/>
      <c r="S246" s="36"/>
      <c r="T246" s="34"/>
      <c r="U246" s="71"/>
      <c r="V246" s="36"/>
      <c r="W246" s="36"/>
      <c r="X246" s="36"/>
      <c r="Y246" s="27"/>
      <c r="AA246" s="9"/>
      <c r="AB246" s="72"/>
    </row>
    <row r="247" spans="6:28">
      <c r="F247" s="48"/>
      <c r="G247" s="32"/>
      <c r="H247" s="68"/>
      <c r="I247" s="36"/>
      <c r="J247" s="27"/>
      <c r="K247" s="27"/>
      <c r="L247" s="27"/>
      <c r="M247" s="27"/>
      <c r="N247" s="27"/>
      <c r="O247" s="64"/>
      <c r="P247" s="64"/>
      <c r="Q247" s="27"/>
      <c r="R247" s="34"/>
      <c r="S247" s="36"/>
      <c r="T247" s="34"/>
      <c r="U247" s="71"/>
      <c r="V247" s="36"/>
      <c r="W247" s="36"/>
      <c r="X247" s="36"/>
      <c r="Y247" s="27"/>
      <c r="AA247" s="9"/>
      <c r="AB247" s="72"/>
    </row>
    <row r="248" spans="6:28">
      <c r="F248" s="48"/>
      <c r="G248" s="32"/>
      <c r="H248" s="68"/>
      <c r="I248" s="36"/>
      <c r="J248" s="27"/>
      <c r="K248" s="27"/>
      <c r="L248" s="27"/>
      <c r="M248" s="27"/>
      <c r="N248" s="27"/>
      <c r="O248" s="64"/>
      <c r="P248" s="64"/>
      <c r="Q248" s="27"/>
      <c r="R248" s="34"/>
      <c r="S248" s="36"/>
      <c r="T248" s="34"/>
      <c r="U248" s="71"/>
      <c r="V248" s="36"/>
      <c r="W248" s="36"/>
      <c r="X248" s="36"/>
      <c r="Y248" s="27"/>
      <c r="AA248" s="9"/>
      <c r="AB248" s="72"/>
    </row>
    <row r="249" spans="6:28">
      <c r="F249" s="48"/>
      <c r="G249" s="32"/>
      <c r="H249" s="68"/>
      <c r="I249" s="36"/>
      <c r="J249" s="27"/>
      <c r="K249" s="27"/>
      <c r="L249" s="27"/>
      <c r="M249" s="27"/>
      <c r="N249" s="27"/>
      <c r="O249" s="64"/>
      <c r="P249" s="64"/>
      <c r="Q249" s="27"/>
      <c r="R249" s="34"/>
      <c r="S249" s="36"/>
      <c r="T249" s="34"/>
      <c r="U249" s="71"/>
      <c r="V249" s="36"/>
      <c r="W249" s="36"/>
      <c r="X249" s="36"/>
      <c r="Y249" s="27"/>
      <c r="AA249" s="9"/>
      <c r="AB249" s="72"/>
    </row>
    <row r="250" spans="6:28">
      <c r="F250" s="48"/>
      <c r="G250" s="32"/>
      <c r="H250" s="68"/>
      <c r="I250" s="36"/>
      <c r="J250" s="27"/>
      <c r="K250" s="27"/>
      <c r="L250" s="27"/>
      <c r="M250" s="27"/>
      <c r="N250" s="27"/>
      <c r="O250" s="64"/>
      <c r="P250" s="64"/>
      <c r="Q250" s="27"/>
      <c r="R250" s="34"/>
      <c r="S250" s="36"/>
      <c r="T250" s="34"/>
      <c r="U250" s="71"/>
      <c r="V250" s="36"/>
      <c r="W250" s="36"/>
      <c r="X250" s="36"/>
      <c r="Y250" s="27"/>
      <c r="AA250" s="9"/>
      <c r="AB250" s="72"/>
    </row>
    <row r="251" spans="6:28">
      <c r="F251" s="48"/>
      <c r="G251" s="32"/>
      <c r="H251" s="68"/>
      <c r="I251" s="36"/>
      <c r="J251" s="27"/>
      <c r="K251" s="27"/>
      <c r="L251" s="27"/>
      <c r="M251" s="27"/>
      <c r="N251" s="27"/>
      <c r="O251" s="64"/>
      <c r="P251" s="64"/>
      <c r="Q251" s="27"/>
      <c r="R251" s="34"/>
      <c r="S251" s="36"/>
      <c r="T251" s="34"/>
      <c r="U251" s="71"/>
      <c r="V251" s="36"/>
      <c r="W251" s="36"/>
      <c r="X251" s="36"/>
      <c r="Y251" s="27"/>
      <c r="AA251" s="9"/>
      <c r="AB251" s="72"/>
    </row>
    <row r="252" spans="6:28">
      <c r="F252" s="48"/>
      <c r="G252" s="32"/>
      <c r="H252" s="68"/>
      <c r="I252" s="36"/>
      <c r="J252" s="27"/>
      <c r="K252" s="27"/>
      <c r="L252" s="27"/>
      <c r="M252" s="27"/>
      <c r="N252" s="27"/>
      <c r="O252" s="64"/>
      <c r="P252" s="64"/>
      <c r="Q252" s="27"/>
      <c r="R252" s="34"/>
      <c r="S252" s="36"/>
      <c r="T252" s="34"/>
      <c r="U252" s="71"/>
      <c r="V252" s="36"/>
      <c r="W252" s="36"/>
      <c r="X252" s="36"/>
      <c r="Y252" s="27"/>
      <c r="AA252" s="9"/>
      <c r="AB252" s="72"/>
    </row>
    <row r="253" spans="6:28">
      <c r="F253" s="48"/>
      <c r="G253" s="32"/>
      <c r="H253" s="68"/>
      <c r="I253" s="36"/>
      <c r="J253" s="27"/>
      <c r="K253" s="27"/>
      <c r="L253" s="27"/>
      <c r="M253" s="27"/>
      <c r="N253" s="27"/>
      <c r="O253" s="64"/>
      <c r="P253" s="64"/>
      <c r="Q253" s="27"/>
      <c r="R253" s="34"/>
      <c r="S253" s="36"/>
      <c r="T253" s="34"/>
      <c r="U253" s="71"/>
      <c r="V253" s="36"/>
      <c r="W253" s="36"/>
      <c r="X253" s="36"/>
      <c r="Y253" s="27"/>
      <c r="AA253" s="9"/>
      <c r="AB253" s="72"/>
    </row>
    <row r="254" spans="6:28">
      <c r="F254" s="48"/>
      <c r="G254" s="32"/>
      <c r="H254" s="68"/>
      <c r="I254" s="36"/>
      <c r="J254" s="27"/>
      <c r="K254" s="27"/>
      <c r="L254" s="27"/>
      <c r="M254" s="27"/>
      <c r="N254" s="27"/>
      <c r="O254" s="64"/>
      <c r="P254" s="64"/>
      <c r="Q254" s="27"/>
      <c r="R254" s="34"/>
      <c r="S254" s="36"/>
      <c r="T254" s="34"/>
      <c r="U254" s="71"/>
      <c r="V254" s="36"/>
      <c r="W254" s="36"/>
      <c r="X254" s="36"/>
      <c r="Y254" s="27"/>
      <c r="AA254" s="9"/>
      <c r="AB254" s="72"/>
    </row>
    <row r="255" spans="6:28">
      <c r="F255" s="48"/>
      <c r="G255" s="32"/>
      <c r="H255" s="68"/>
      <c r="I255" s="36"/>
      <c r="J255" s="27"/>
      <c r="K255" s="27"/>
      <c r="L255" s="27"/>
      <c r="M255" s="27"/>
      <c r="N255" s="27"/>
      <c r="O255" s="64"/>
      <c r="P255" s="64"/>
      <c r="Q255" s="27"/>
      <c r="R255" s="34"/>
      <c r="S255" s="36"/>
      <c r="T255" s="34"/>
      <c r="U255" s="71"/>
      <c r="V255" s="36"/>
      <c r="W255" s="36"/>
      <c r="X255" s="36"/>
      <c r="Y255" s="27"/>
      <c r="AA255" s="9"/>
      <c r="AB255" s="72"/>
    </row>
    <row r="256" spans="6:28">
      <c r="F256" s="48"/>
      <c r="G256" s="32"/>
      <c r="H256" s="68"/>
      <c r="I256" s="36"/>
      <c r="J256" s="27"/>
      <c r="K256" s="27"/>
      <c r="L256" s="27"/>
      <c r="M256" s="27"/>
      <c r="N256" s="27"/>
      <c r="O256" s="64"/>
      <c r="P256" s="64"/>
      <c r="Q256" s="27"/>
      <c r="R256" s="34"/>
      <c r="S256" s="36"/>
      <c r="T256" s="34"/>
      <c r="U256" s="71"/>
      <c r="V256" s="36"/>
      <c r="W256" s="36"/>
      <c r="X256" s="36"/>
      <c r="Y256" s="27"/>
      <c r="AA256" s="9"/>
      <c r="AB256" s="72"/>
    </row>
    <row r="257" spans="6:28">
      <c r="F257" s="48"/>
      <c r="G257" s="32"/>
      <c r="H257" s="68"/>
      <c r="I257" s="36"/>
      <c r="J257" s="27"/>
      <c r="K257" s="27"/>
      <c r="L257" s="27"/>
      <c r="M257" s="27"/>
      <c r="N257" s="27"/>
      <c r="O257" s="64"/>
      <c r="P257" s="64"/>
      <c r="Q257" s="27"/>
      <c r="R257" s="34"/>
      <c r="S257" s="36"/>
      <c r="T257" s="34"/>
      <c r="U257" s="71"/>
      <c r="V257" s="36"/>
      <c r="W257" s="36"/>
      <c r="X257" s="36"/>
      <c r="Y257" s="27"/>
      <c r="AA257" s="9"/>
      <c r="AB257" s="72"/>
    </row>
    <row r="258" spans="6:28">
      <c r="F258" s="48"/>
      <c r="G258" s="32"/>
      <c r="H258" s="68"/>
      <c r="I258" s="36"/>
      <c r="J258" s="27"/>
      <c r="K258" s="27"/>
      <c r="L258" s="27"/>
      <c r="M258" s="27"/>
      <c r="N258" s="27"/>
      <c r="O258" s="64"/>
      <c r="P258" s="64"/>
      <c r="Q258" s="27"/>
      <c r="R258" s="34"/>
      <c r="S258" s="36"/>
      <c r="T258" s="34"/>
      <c r="U258" s="71"/>
      <c r="V258" s="36"/>
      <c r="W258" s="36"/>
      <c r="X258" s="36"/>
      <c r="Y258" s="27"/>
      <c r="AA258" s="9"/>
      <c r="AB258" s="72"/>
    </row>
    <row r="259" spans="6:28">
      <c r="F259" s="48"/>
      <c r="G259" s="32"/>
      <c r="H259" s="68"/>
      <c r="I259" s="36"/>
      <c r="J259" s="27"/>
      <c r="K259" s="27"/>
      <c r="L259" s="27"/>
      <c r="M259" s="27"/>
      <c r="N259" s="27"/>
      <c r="O259" s="64"/>
      <c r="P259" s="64"/>
      <c r="Q259" s="27"/>
      <c r="R259" s="34"/>
      <c r="S259" s="36"/>
      <c r="T259" s="34"/>
      <c r="U259" s="71"/>
      <c r="V259" s="36"/>
      <c r="W259" s="36"/>
      <c r="X259" s="36"/>
      <c r="Y259" s="27"/>
      <c r="AA259" s="9"/>
      <c r="AB259" s="72"/>
    </row>
    <row r="260" spans="6:28">
      <c r="F260" s="48"/>
      <c r="G260" s="32"/>
      <c r="H260" s="68"/>
      <c r="I260" s="36"/>
      <c r="J260" s="27"/>
      <c r="K260" s="27"/>
      <c r="L260" s="27"/>
      <c r="M260" s="27"/>
      <c r="N260" s="27"/>
      <c r="O260" s="64"/>
      <c r="P260" s="64"/>
      <c r="Q260" s="27"/>
      <c r="R260" s="34"/>
      <c r="S260" s="36"/>
      <c r="T260" s="34"/>
      <c r="U260" s="71"/>
      <c r="V260" s="36"/>
      <c r="W260" s="36"/>
      <c r="X260" s="36"/>
      <c r="Y260" s="27"/>
      <c r="AA260" s="9"/>
      <c r="AB260" s="72"/>
    </row>
    <row r="261" spans="6:28">
      <c r="F261" s="48"/>
      <c r="G261" s="32"/>
      <c r="H261" s="68"/>
      <c r="I261" s="36"/>
      <c r="J261" s="27"/>
      <c r="K261" s="27"/>
      <c r="L261" s="27"/>
      <c r="M261" s="27"/>
      <c r="N261" s="27"/>
      <c r="O261" s="64"/>
      <c r="P261" s="64"/>
      <c r="Q261" s="27"/>
      <c r="R261" s="34"/>
      <c r="S261" s="36"/>
      <c r="T261" s="34"/>
      <c r="U261" s="71"/>
      <c r="V261" s="36"/>
      <c r="W261" s="36"/>
      <c r="X261" s="36"/>
      <c r="Y261" s="27"/>
      <c r="AA261" s="9"/>
      <c r="AB261" s="72"/>
    </row>
    <row r="262" spans="6:28">
      <c r="F262" s="48"/>
      <c r="G262" s="32"/>
      <c r="H262" s="68"/>
      <c r="I262" s="36"/>
      <c r="J262" s="27"/>
      <c r="K262" s="27"/>
      <c r="L262" s="27"/>
      <c r="M262" s="27"/>
      <c r="N262" s="27"/>
      <c r="O262" s="64"/>
      <c r="P262" s="64"/>
      <c r="Q262" s="27"/>
      <c r="R262" s="34"/>
      <c r="S262" s="36"/>
      <c r="T262" s="34"/>
      <c r="U262" s="71"/>
      <c r="V262" s="36"/>
      <c r="W262" s="36"/>
      <c r="X262" s="36"/>
      <c r="Y262" s="27"/>
      <c r="AA262" s="9"/>
      <c r="AB262" s="72"/>
    </row>
    <row r="263" spans="6:28">
      <c r="F263" s="48"/>
      <c r="G263" s="32"/>
      <c r="H263" s="68"/>
      <c r="I263" s="36"/>
      <c r="J263" s="27"/>
      <c r="K263" s="27"/>
      <c r="L263" s="27"/>
      <c r="M263" s="27"/>
      <c r="N263" s="27"/>
      <c r="O263" s="64"/>
      <c r="P263" s="64"/>
      <c r="Q263" s="27"/>
      <c r="R263" s="34"/>
      <c r="S263" s="36"/>
      <c r="T263" s="34"/>
      <c r="U263" s="71"/>
      <c r="V263" s="36"/>
      <c r="W263" s="36"/>
      <c r="X263" s="36"/>
      <c r="Y263" s="27"/>
      <c r="AA263" s="9"/>
      <c r="AB263" s="72"/>
    </row>
    <row r="264" spans="6:28">
      <c r="F264" s="48"/>
      <c r="G264" s="32"/>
      <c r="H264" s="68"/>
      <c r="I264" s="36"/>
      <c r="J264" s="27"/>
      <c r="K264" s="27"/>
      <c r="L264" s="27"/>
      <c r="M264" s="27"/>
      <c r="N264" s="27"/>
      <c r="O264" s="64"/>
      <c r="P264" s="64"/>
      <c r="Q264" s="27"/>
      <c r="R264" s="34"/>
      <c r="S264" s="36"/>
      <c r="T264" s="34"/>
      <c r="U264" s="71"/>
      <c r="V264" s="36"/>
      <c r="W264" s="36"/>
      <c r="X264" s="36"/>
      <c r="Y264" s="27"/>
      <c r="AA264" s="9"/>
      <c r="AB264" s="72"/>
    </row>
    <row r="265" spans="6:28">
      <c r="F265" s="48"/>
      <c r="G265" s="32"/>
      <c r="H265" s="68"/>
      <c r="I265" s="36"/>
      <c r="J265" s="27"/>
      <c r="K265" s="27"/>
      <c r="L265" s="27"/>
      <c r="M265" s="27"/>
      <c r="N265" s="27"/>
      <c r="O265" s="64"/>
      <c r="P265" s="64"/>
      <c r="Q265" s="27"/>
      <c r="R265" s="34"/>
      <c r="S265" s="36"/>
      <c r="T265" s="34"/>
      <c r="U265" s="71"/>
      <c r="V265" s="36"/>
      <c r="W265" s="36"/>
      <c r="X265" s="36"/>
      <c r="Y265" s="27"/>
      <c r="AA265" s="9"/>
      <c r="AB265" s="72"/>
    </row>
    <row r="266" spans="6:28">
      <c r="F266" s="48"/>
      <c r="G266" s="32"/>
      <c r="H266" s="68"/>
      <c r="I266" s="36"/>
      <c r="J266" s="27"/>
      <c r="K266" s="27"/>
      <c r="L266" s="27"/>
      <c r="M266" s="27"/>
      <c r="N266" s="27"/>
      <c r="O266" s="64"/>
      <c r="P266" s="64"/>
      <c r="Q266" s="27"/>
      <c r="R266" s="34"/>
      <c r="S266" s="36"/>
      <c r="T266" s="34"/>
      <c r="U266" s="71"/>
      <c r="V266" s="36"/>
      <c r="W266" s="36"/>
      <c r="X266" s="36"/>
      <c r="Y266" s="27"/>
      <c r="AA266" s="9"/>
      <c r="AB266" s="72"/>
    </row>
    <row r="267" spans="6:28">
      <c r="F267" s="48"/>
      <c r="G267" s="32"/>
      <c r="H267" s="68"/>
      <c r="I267" s="36"/>
      <c r="J267" s="27"/>
      <c r="K267" s="27"/>
      <c r="L267" s="27"/>
      <c r="M267" s="27"/>
      <c r="N267" s="27"/>
      <c r="O267" s="64"/>
      <c r="P267" s="64"/>
      <c r="Q267" s="27"/>
      <c r="R267" s="34"/>
      <c r="S267" s="36"/>
      <c r="T267" s="34"/>
      <c r="U267" s="71"/>
      <c r="V267" s="36"/>
      <c r="W267" s="36"/>
      <c r="X267" s="36"/>
      <c r="Y267" s="27"/>
      <c r="AA267" s="9"/>
      <c r="AB267" s="72"/>
    </row>
    <row r="268" spans="6:28">
      <c r="F268" s="48"/>
      <c r="G268" s="32"/>
      <c r="H268" s="68"/>
      <c r="I268" s="36"/>
      <c r="J268" s="27"/>
      <c r="K268" s="27"/>
      <c r="L268" s="27"/>
      <c r="M268" s="27"/>
      <c r="N268" s="27"/>
      <c r="O268" s="64"/>
      <c r="P268" s="64"/>
      <c r="Q268" s="27"/>
      <c r="R268" s="34"/>
      <c r="S268" s="36"/>
      <c r="T268" s="34"/>
      <c r="U268" s="71"/>
      <c r="V268" s="36"/>
      <c r="W268" s="36"/>
      <c r="X268" s="36"/>
      <c r="Y268" s="27"/>
      <c r="AA268" s="9"/>
      <c r="AB268" s="72"/>
    </row>
    <row r="269" spans="6:28">
      <c r="F269" s="48"/>
      <c r="G269" s="32"/>
      <c r="H269" s="68"/>
      <c r="I269" s="36"/>
      <c r="J269" s="27"/>
      <c r="K269" s="27"/>
      <c r="L269" s="27"/>
      <c r="M269" s="27"/>
      <c r="N269" s="27"/>
      <c r="O269" s="64"/>
      <c r="P269" s="64"/>
      <c r="Q269" s="27"/>
      <c r="R269" s="34"/>
      <c r="S269" s="36"/>
      <c r="T269" s="34"/>
      <c r="U269" s="71"/>
      <c r="V269" s="36"/>
      <c r="W269" s="36"/>
      <c r="X269" s="36"/>
      <c r="Y269" s="27"/>
      <c r="AA269" s="9"/>
      <c r="AB269" s="72"/>
    </row>
    <row r="270" spans="6:28">
      <c r="F270" s="48"/>
      <c r="G270" s="32"/>
      <c r="H270" s="68"/>
      <c r="I270" s="36"/>
      <c r="J270" s="27"/>
      <c r="K270" s="27"/>
      <c r="L270" s="27"/>
      <c r="M270" s="27"/>
      <c r="N270" s="27"/>
      <c r="O270" s="64"/>
      <c r="P270" s="64"/>
      <c r="Q270" s="27"/>
      <c r="R270" s="34"/>
      <c r="S270" s="36"/>
      <c r="T270" s="34"/>
      <c r="U270" s="71"/>
      <c r="V270" s="36"/>
      <c r="W270" s="36"/>
      <c r="X270" s="36"/>
      <c r="Y270" s="27"/>
      <c r="AA270" s="9"/>
      <c r="AB270" s="72"/>
    </row>
    <row r="271" spans="6:28">
      <c r="F271" s="48"/>
      <c r="G271" s="32"/>
      <c r="H271" s="68"/>
      <c r="I271" s="36"/>
      <c r="J271" s="27"/>
      <c r="K271" s="27"/>
      <c r="L271" s="27"/>
      <c r="M271" s="27"/>
      <c r="N271" s="27"/>
      <c r="O271" s="64"/>
      <c r="P271" s="64"/>
      <c r="Q271" s="27"/>
      <c r="R271" s="34"/>
      <c r="S271" s="36"/>
      <c r="T271" s="34"/>
      <c r="U271" s="71"/>
      <c r="V271" s="36"/>
      <c r="W271" s="36"/>
      <c r="X271" s="36"/>
      <c r="Y271" s="27"/>
      <c r="AA271" s="9"/>
      <c r="AB271" s="72"/>
    </row>
    <row r="272" spans="6:28">
      <c r="F272" s="48"/>
      <c r="G272" s="32"/>
      <c r="H272" s="68"/>
      <c r="I272" s="36"/>
      <c r="J272" s="27"/>
      <c r="K272" s="27"/>
      <c r="L272" s="27"/>
      <c r="M272" s="27"/>
      <c r="N272" s="27"/>
      <c r="O272" s="64"/>
      <c r="P272" s="64"/>
      <c r="Q272" s="27"/>
      <c r="R272" s="34"/>
      <c r="S272" s="36"/>
      <c r="T272" s="34"/>
      <c r="U272" s="71"/>
      <c r="V272" s="36"/>
      <c r="W272" s="36"/>
      <c r="X272" s="36"/>
      <c r="Y272" s="27"/>
      <c r="AA272" s="9"/>
      <c r="AB272" s="72"/>
    </row>
    <row r="273" spans="6:28">
      <c r="F273" s="48"/>
      <c r="G273" s="32"/>
      <c r="H273" s="68"/>
      <c r="I273" s="36"/>
      <c r="J273" s="27"/>
      <c r="K273" s="27"/>
      <c r="L273" s="27"/>
      <c r="M273" s="27"/>
      <c r="N273" s="27"/>
      <c r="O273" s="64"/>
      <c r="P273" s="64"/>
      <c r="Q273" s="27"/>
      <c r="R273" s="34"/>
      <c r="S273" s="36"/>
      <c r="T273" s="34"/>
      <c r="U273" s="71"/>
      <c r="V273" s="36"/>
      <c r="W273" s="36"/>
      <c r="X273" s="36"/>
      <c r="Y273" s="27"/>
      <c r="AA273" s="9"/>
      <c r="AB273" s="72"/>
    </row>
    <row r="274" spans="6:28">
      <c r="F274" s="48"/>
      <c r="G274" s="32"/>
      <c r="H274" s="68"/>
      <c r="I274" s="36"/>
      <c r="J274" s="27"/>
      <c r="K274" s="27"/>
      <c r="L274" s="27"/>
      <c r="M274" s="27"/>
      <c r="N274" s="27"/>
      <c r="O274" s="64"/>
      <c r="P274" s="64"/>
      <c r="Q274" s="27"/>
      <c r="R274" s="34"/>
      <c r="S274" s="36"/>
      <c r="T274" s="34"/>
      <c r="U274" s="71"/>
      <c r="V274" s="36"/>
      <c r="W274" s="36"/>
      <c r="X274" s="36"/>
      <c r="Y274" s="27"/>
      <c r="AA274" s="9"/>
      <c r="AB274" s="72"/>
    </row>
    <row r="275" spans="6:28">
      <c r="F275" s="48"/>
      <c r="G275" s="32"/>
      <c r="H275" s="68"/>
      <c r="I275" s="36"/>
      <c r="J275" s="27"/>
      <c r="K275" s="27"/>
      <c r="L275" s="27"/>
      <c r="M275" s="27"/>
      <c r="N275" s="27"/>
      <c r="O275" s="64"/>
      <c r="P275" s="64"/>
      <c r="Q275" s="27"/>
      <c r="R275" s="34"/>
      <c r="S275" s="36"/>
      <c r="T275" s="34"/>
      <c r="U275" s="71"/>
      <c r="V275" s="36"/>
      <c r="W275" s="36"/>
      <c r="X275" s="36"/>
      <c r="Y275" s="27"/>
      <c r="AA275" s="9"/>
      <c r="AB275" s="72"/>
    </row>
    <row r="276" spans="6:28">
      <c r="F276" s="48"/>
      <c r="G276" s="32"/>
      <c r="H276" s="68"/>
      <c r="I276" s="36"/>
      <c r="J276" s="27"/>
      <c r="K276" s="27"/>
      <c r="L276" s="27"/>
      <c r="M276" s="27"/>
      <c r="N276" s="27"/>
      <c r="O276" s="64"/>
      <c r="P276" s="64"/>
      <c r="Q276" s="27"/>
      <c r="R276" s="34"/>
      <c r="S276" s="36"/>
      <c r="T276" s="34"/>
      <c r="U276" s="71"/>
      <c r="V276" s="36"/>
      <c r="W276" s="36"/>
      <c r="X276" s="36"/>
      <c r="Y276" s="27"/>
      <c r="AA276" s="9"/>
      <c r="AB276" s="72"/>
    </row>
    <row r="277" spans="6:28">
      <c r="F277" s="48"/>
      <c r="G277" s="32"/>
      <c r="H277" s="68"/>
      <c r="I277" s="36"/>
      <c r="J277" s="27"/>
      <c r="K277" s="27"/>
      <c r="L277" s="27"/>
      <c r="M277" s="27"/>
      <c r="N277" s="27"/>
      <c r="O277" s="64"/>
      <c r="P277" s="64"/>
      <c r="Q277" s="27"/>
      <c r="R277" s="34"/>
      <c r="S277" s="36"/>
      <c r="T277" s="34"/>
      <c r="U277" s="71"/>
      <c r="V277" s="36"/>
      <c r="W277" s="36"/>
      <c r="X277" s="36"/>
      <c r="Y277" s="27"/>
      <c r="AA277" s="9"/>
      <c r="AB277" s="72"/>
    </row>
    <row r="278" spans="6:28">
      <c r="F278" s="48"/>
      <c r="G278" s="32"/>
      <c r="H278" s="68"/>
      <c r="I278" s="36"/>
      <c r="J278" s="27"/>
      <c r="K278" s="27"/>
      <c r="L278" s="27"/>
      <c r="M278" s="27"/>
      <c r="N278" s="27"/>
      <c r="O278" s="64"/>
      <c r="P278" s="64"/>
      <c r="Q278" s="27"/>
      <c r="R278" s="34"/>
      <c r="S278" s="36"/>
      <c r="T278" s="34"/>
      <c r="U278" s="71"/>
      <c r="V278" s="36"/>
      <c r="W278" s="36"/>
      <c r="X278" s="36"/>
      <c r="Y278" s="27"/>
      <c r="AA278" s="9"/>
      <c r="AB278" s="72"/>
    </row>
    <row r="279" spans="6:28">
      <c r="F279" s="48"/>
      <c r="G279" s="32"/>
      <c r="H279" s="68"/>
      <c r="I279" s="36"/>
      <c r="J279" s="27"/>
      <c r="K279" s="27"/>
      <c r="L279" s="27"/>
      <c r="M279" s="27"/>
      <c r="N279" s="27"/>
      <c r="O279" s="64"/>
      <c r="P279" s="64"/>
      <c r="Q279" s="27"/>
      <c r="R279" s="34"/>
      <c r="S279" s="36"/>
      <c r="T279" s="34"/>
      <c r="U279" s="71"/>
      <c r="V279" s="36"/>
      <c r="W279" s="36"/>
      <c r="X279" s="36"/>
      <c r="Y279" s="27"/>
      <c r="AA279" s="9"/>
      <c r="AB279" s="72"/>
    </row>
    <row r="280" spans="6:28">
      <c r="F280" s="48"/>
      <c r="G280" s="32"/>
      <c r="H280" s="68"/>
      <c r="I280" s="36"/>
      <c r="J280" s="27"/>
      <c r="K280" s="27"/>
      <c r="L280" s="27"/>
      <c r="M280" s="27"/>
      <c r="N280" s="27"/>
      <c r="O280" s="64"/>
      <c r="P280" s="64"/>
      <c r="Q280" s="27"/>
      <c r="R280" s="34"/>
      <c r="S280" s="36"/>
      <c r="T280" s="34"/>
      <c r="U280" s="71"/>
      <c r="V280" s="36"/>
      <c r="W280" s="36"/>
      <c r="X280" s="36"/>
      <c r="Y280" s="27"/>
      <c r="AA280" s="9"/>
      <c r="AB280" s="72"/>
    </row>
    <row r="281" spans="6:28">
      <c r="F281" s="48"/>
      <c r="G281" s="32"/>
      <c r="H281" s="68"/>
      <c r="I281" s="36"/>
      <c r="J281" s="27"/>
      <c r="K281" s="27"/>
      <c r="L281" s="27"/>
      <c r="M281" s="27"/>
      <c r="N281" s="27"/>
      <c r="O281" s="64"/>
      <c r="P281" s="64"/>
      <c r="Q281" s="27"/>
      <c r="R281" s="34"/>
      <c r="S281" s="36"/>
      <c r="T281" s="34"/>
      <c r="U281" s="71"/>
      <c r="V281" s="36"/>
      <c r="W281" s="36"/>
      <c r="X281" s="36"/>
      <c r="Y281" s="27"/>
      <c r="AA281" s="9"/>
      <c r="AB281" s="72"/>
    </row>
    <row r="282" spans="6:28">
      <c r="F282" s="48"/>
      <c r="G282" s="32"/>
      <c r="H282" s="68"/>
      <c r="I282" s="36"/>
      <c r="J282" s="27"/>
      <c r="K282" s="27"/>
      <c r="L282" s="27"/>
      <c r="M282" s="27"/>
      <c r="N282" s="27"/>
      <c r="O282" s="64"/>
      <c r="P282" s="64"/>
      <c r="Q282" s="27"/>
      <c r="R282" s="34"/>
      <c r="S282" s="36"/>
      <c r="T282" s="34"/>
      <c r="U282" s="71"/>
      <c r="V282" s="36"/>
      <c r="W282" s="36"/>
      <c r="X282" s="36"/>
      <c r="Y282" s="27"/>
      <c r="AA282" s="9"/>
      <c r="AB282" s="72"/>
    </row>
    <row r="283" spans="6:28">
      <c r="F283" s="48"/>
      <c r="G283" s="32"/>
      <c r="H283" s="68"/>
      <c r="I283" s="36"/>
      <c r="J283" s="27"/>
      <c r="K283" s="27"/>
      <c r="L283" s="27"/>
      <c r="M283" s="27"/>
      <c r="N283" s="27"/>
      <c r="O283" s="64"/>
      <c r="P283" s="64"/>
      <c r="Q283" s="27"/>
      <c r="R283" s="34"/>
      <c r="S283" s="36"/>
      <c r="T283" s="34"/>
      <c r="U283" s="71"/>
      <c r="V283" s="36"/>
      <c r="W283" s="36"/>
      <c r="X283" s="36"/>
      <c r="Y283" s="27"/>
      <c r="AA283" s="9"/>
      <c r="AB283" s="72"/>
    </row>
    <row r="284" spans="6:28">
      <c r="F284" s="48"/>
      <c r="G284" s="32"/>
      <c r="H284" s="68"/>
      <c r="I284" s="36"/>
      <c r="J284" s="27"/>
      <c r="K284" s="27"/>
      <c r="L284" s="27"/>
      <c r="M284" s="27"/>
      <c r="N284" s="27"/>
      <c r="O284" s="64"/>
      <c r="P284" s="64"/>
      <c r="Q284" s="27"/>
      <c r="R284" s="34"/>
      <c r="S284" s="36"/>
      <c r="T284" s="34"/>
      <c r="U284" s="71"/>
      <c r="V284" s="36"/>
      <c r="W284" s="36"/>
      <c r="X284" s="36"/>
      <c r="Y284" s="27"/>
      <c r="AA284" s="9"/>
      <c r="AB284" s="72"/>
    </row>
    <row r="285" spans="6:28">
      <c r="F285" s="48"/>
      <c r="G285" s="32"/>
      <c r="H285" s="68"/>
      <c r="I285" s="36"/>
      <c r="J285" s="27"/>
      <c r="K285" s="27"/>
      <c r="L285" s="27"/>
      <c r="M285" s="27"/>
      <c r="N285" s="27"/>
      <c r="O285" s="64"/>
      <c r="P285" s="64"/>
      <c r="Q285" s="27"/>
      <c r="R285" s="34"/>
      <c r="S285" s="36"/>
      <c r="T285" s="34"/>
      <c r="U285" s="71"/>
      <c r="V285" s="36"/>
      <c r="W285" s="36"/>
      <c r="X285" s="36"/>
      <c r="Y285" s="27"/>
      <c r="AA285" s="9"/>
      <c r="AB285" s="72"/>
    </row>
    <row r="286" spans="6:28">
      <c r="F286" s="48"/>
      <c r="G286" s="32"/>
      <c r="H286" s="68"/>
      <c r="I286" s="36"/>
      <c r="J286" s="27"/>
      <c r="K286" s="27"/>
      <c r="L286" s="27"/>
      <c r="M286" s="27"/>
      <c r="N286" s="27"/>
      <c r="O286" s="64"/>
      <c r="P286" s="64"/>
      <c r="Q286" s="27"/>
      <c r="R286" s="34"/>
      <c r="S286" s="36"/>
      <c r="T286" s="34"/>
      <c r="U286" s="71"/>
      <c r="V286" s="36"/>
      <c r="W286" s="36"/>
      <c r="X286" s="36"/>
      <c r="Y286" s="27"/>
      <c r="AA286" s="9"/>
      <c r="AB286" s="72"/>
    </row>
    <row r="287" spans="6:28">
      <c r="F287" s="48"/>
      <c r="G287" s="32"/>
      <c r="H287" s="68"/>
      <c r="I287" s="36"/>
      <c r="J287" s="27"/>
      <c r="K287" s="27"/>
      <c r="L287" s="27"/>
      <c r="M287" s="27"/>
      <c r="N287" s="27"/>
      <c r="O287" s="64"/>
      <c r="P287" s="64"/>
      <c r="Q287" s="27"/>
      <c r="R287" s="34"/>
      <c r="S287" s="36"/>
      <c r="T287" s="34"/>
      <c r="U287" s="71"/>
      <c r="V287" s="36"/>
      <c r="W287" s="36"/>
      <c r="X287" s="36"/>
      <c r="Y287" s="27"/>
      <c r="AA287" s="9"/>
      <c r="AB287" s="72"/>
    </row>
    <row r="288" spans="6:28">
      <c r="F288" s="48"/>
      <c r="G288" s="32"/>
      <c r="H288" s="68"/>
      <c r="I288" s="36"/>
      <c r="J288" s="27"/>
      <c r="K288" s="27"/>
      <c r="L288" s="27"/>
      <c r="M288" s="27"/>
      <c r="N288" s="27"/>
      <c r="O288" s="64"/>
      <c r="P288" s="64"/>
      <c r="Q288" s="27"/>
      <c r="R288" s="34"/>
      <c r="S288" s="36"/>
      <c r="T288" s="34"/>
      <c r="U288" s="71"/>
      <c r="V288" s="36"/>
      <c r="W288" s="36"/>
      <c r="X288" s="36"/>
      <c r="Y288" s="27"/>
      <c r="AA288" s="9"/>
      <c r="AB288" s="72"/>
    </row>
    <row r="289" spans="6:28">
      <c r="F289" s="48"/>
      <c r="G289" s="32"/>
      <c r="H289" s="68"/>
      <c r="I289" s="36"/>
      <c r="J289" s="27"/>
      <c r="K289" s="27"/>
      <c r="L289" s="27"/>
      <c r="M289" s="27"/>
      <c r="N289" s="27"/>
      <c r="O289" s="64"/>
      <c r="P289" s="64"/>
      <c r="Q289" s="27"/>
      <c r="R289" s="34"/>
      <c r="S289" s="36"/>
      <c r="T289" s="34"/>
      <c r="U289" s="71"/>
      <c r="V289" s="36"/>
      <c r="W289" s="36"/>
      <c r="X289" s="36"/>
      <c r="Y289" s="27"/>
      <c r="AA289" s="9"/>
      <c r="AB289" s="72"/>
    </row>
    <row r="290" spans="6:28">
      <c r="F290" s="48"/>
      <c r="G290" s="32"/>
      <c r="H290" s="68"/>
      <c r="I290" s="36"/>
      <c r="J290" s="27"/>
      <c r="K290" s="27"/>
      <c r="L290" s="27"/>
      <c r="M290" s="27"/>
      <c r="N290" s="27"/>
      <c r="O290" s="64"/>
      <c r="P290" s="64"/>
      <c r="Q290" s="27"/>
      <c r="R290" s="34"/>
      <c r="S290" s="36"/>
      <c r="T290" s="34"/>
      <c r="U290" s="71"/>
      <c r="V290" s="36"/>
      <c r="W290" s="36"/>
      <c r="X290" s="36"/>
      <c r="Y290" s="27"/>
      <c r="AA290" s="9"/>
      <c r="AB290" s="72"/>
    </row>
    <row r="291" spans="6:28">
      <c r="F291" s="48"/>
      <c r="G291" s="32"/>
      <c r="H291" s="68"/>
      <c r="I291" s="36"/>
      <c r="J291" s="27"/>
      <c r="K291" s="27"/>
      <c r="L291" s="27"/>
      <c r="M291" s="27"/>
      <c r="N291" s="27"/>
      <c r="O291" s="64"/>
      <c r="P291" s="64"/>
      <c r="Q291" s="27"/>
      <c r="R291" s="34"/>
      <c r="S291" s="36"/>
      <c r="T291" s="34"/>
      <c r="U291" s="71"/>
      <c r="V291" s="36"/>
      <c r="W291" s="36"/>
      <c r="X291" s="36"/>
      <c r="Y291" s="27"/>
      <c r="AA291" s="9"/>
      <c r="AB291" s="72"/>
    </row>
    <row r="292" spans="6:28">
      <c r="F292" s="48"/>
      <c r="G292" s="32"/>
      <c r="H292" s="68"/>
      <c r="I292" s="36"/>
      <c r="J292" s="27"/>
      <c r="K292" s="27"/>
      <c r="L292" s="27"/>
      <c r="M292" s="27"/>
      <c r="N292" s="27"/>
      <c r="O292" s="64"/>
      <c r="P292" s="64"/>
      <c r="Q292" s="27"/>
      <c r="R292" s="34"/>
      <c r="S292" s="36"/>
      <c r="T292" s="34"/>
      <c r="U292" s="71"/>
      <c r="V292" s="36"/>
      <c r="W292" s="36"/>
      <c r="X292" s="36"/>
      <c r="Y292" s="27"/>
      <c r="AA292" s="9"/>
      <c r="AB292" s="72"/>
    </row>
    <row r="293" spans="6:28">
      <c r="F293" s="48"/>
      <c r="G293" s="32"/>
      <c r="H293" s="68"/>
      <c r="I293" s="36"/>
      <c r="J293" s="27"/>
      <c r="K293" s="27"/>
      <c r="L293" s="27"/>
      <c r="M293" s="27"/>
      <c r="N293" s="27"/>
      <c r="O293" s="64"/>
      <c r="P293" s="64"/>
      <c r="Q293" s="27"/>
      <c r="R293" s="34"/>
      <c r="S293" s="36"/>
      <c r="T293" s="34"/>
      <c r="U293" s="71"/>
      <c r="V293" s="36"/>
      <c r="W293" s="36"/>
      <c r="X293" s="36"/>
      <c r="Y293" s="27"/>
      <c r="AA293" s="9"/>
      <c r="AB293" s="72"/>
    </row>
    <row r="294" spans="6:28">
      <c r="F294" s="48"/>
      <c r="G294" s="32"/>
      <c r="H294" s="68"/>
      <c r="I294" s="36"/>
      <c r="J294" s="27"/>
      <c r="K294" s="27"/>
      <c r="L294" s="27"/>
      <c r="M294" s="27"/>
      <c r="N294" s="27"/>
      <c r="O294" s="64"/>
      <c r="P294" s="64"/>
      <c r="Q294" s="27"/>
      <c r="R294" s="34"/>
      <c r="S294" s="36"/>
      <c r="T294" s="34"/>
      <c r="U294" s="71"/>
      <c r="V294" s="36"/>
      <c r="W294" s="36"/>
      <c r="X294" s="36"/>
      <c r="Y294" s="27"/>
      <c r="AA294" s="9"/>
      <c r="AB294" s="72"/>
    </row>
    <row r="295" spans="6:28">
      <c r="F295" s="48"/>
      <c r="G295" s="32"/>
      <c r="H295" s="68"/>
      <c r="I295" s="36"/>
      <c r="J295" s="27"/>
      <c r="K295" s="27"/>
      <c r="L295" s="27"/>
      <c r="M295" s="27"/>
      <c r="N295" s="27"/>
      <c r="O295" s="64"/>
      <c r="P295" s="64"/>
      <c r="Q295" s="27"/>
      <c r="R295" s="34"/>
      <c r="S295" s="36"/>
      <c r="T295" s="34"/>
      <c r="U295" s="71"/>
      <c r="V295" s="36"/>
      <c r="W295" s="36"/>
      <c r="X295" s="36"/>
      <c r="Y295" s="27"/>
      <c r="AA295" s="9"/>
      <c r="AB295" s="72"/>
    </row>
    <row r="296" spans="6:28">
      <c r="F296" s="48"/>
      <c r="G296" s="32"/>
      <c r="H296" s="68"/>
      <c r="I296" s="36"/>
      <c r="J296" s="27"/>
      <c r="K296" s="27"/>
      <c r="L296" s="27"/>
      <c r="M296" s="27"/>
      <c r="N296" s="27"/>
      <c r="O296" s="64"/>
      <c r="P296" s="64"/>
      <c r="Q296" s="27"/>
      <c r="R296" s="34"/>
      <c r="S296" s="36"/>
      <c r="T296" s="34"/>
      <c r="U296" s="71"/>
      <c r="V296" s="36"/>
      <c r="W296" s="36"/>
      <c r="X296" s="36"/>
      <c r="Y296" s="27"/>
      <c r="AA296" s="9"/>
      <c r="AB296" s="72"/>
    </row>
    <row r="297" spans="6:28">
      <c r="F297" s="48"/>
      <c r="G297" s="32"/>
      <c r="H297" s="68"/>
      <c r="I297" s="36"/>
      <c r="J297" s="27"/>
      <c r="K297" s="27"/>
      <c r="L297" s="27"/>
      <c r="M297" s="27"/>
      <c r="N297" s="27"/>
      <c r="O297" s="64"/>
      <c r="P297" s="64"/>
      <c r="Q297" s="27"/>
      <c r="R297" s="34"/>
      <c r="S297" s="36"/>
      <c r="T297" s="34"/>
      <c r="U297" s="71"/>
      <c r="V297" s="36"/>
      <c r="W297" s="36"/>
      <c r="X297" s="36"/>
      <c r="Y297" s="27"/>
      <c r="AA297" s="9"/>
      <c r="AB297" s="72"/>
    </row>
    <row r="298" spans="6:28">
      <c r="F298" s="48"/>
      <c r="G298" s="32"/>
      <c r="H298" s="68"/>
      <c r="I298" s="36"/>
      <c r="J298" s="27"/>
      <c r="K298" s="27"/>
      <c r="L298" s="27"/>
      <c r="M298" s="27"/>
      <c r="N298" s="27"/>
      <c r="O298" s="64"/>
      <c r="P298" s="64"/>
      <c r="Q298" s="27"/>
      <c r="R298" s="34"/>
      <c r="S298" s="36"/>
      <c r="T298" s="34"/>
      <c r="U298" s="71"/>
      <c r="V298" s="36"/>
      <c r="W298" s="36"/>
      <c r="X298" s="36"/>
      <c r="Y298" s="27"/>
      <c r="AA298" s="9"/>
      <c r="AB298" s="72"/>
    </row>
    <row r="299" spans="6:28">
      <c r="F299" s="48"/>
      <c r="G299" s="32"/>
      <c r="H299" s="68"/>
      <c r="I299" s="36"/>
      <c r="J299" s="27"/>
      <c r="K299" s="27"/>
      <c r="L299" s="27"/>
      <c r="M299" s="27"/>
      <c r="N299" s="27"/>
      <c r="O299" s="64"/>
      <c r="P299" s="64"/>
      <c r="Q299" s="27"/>
      <c r="R299" s="34"/>
      <c r="S299" s="36"/>
      <c r="T299" s="34"/>
      <c r="U299" s="71"/>
      <c r="V299" s="36"/>
      <c r="W299" s="36"/>
      <c r="X299" s="36"/>
      <c r="Y299" s="27"/>
      <c r="AA299" s="9"/>
      <c r="AB299" s="72"/>
    </row>
    <row r="300" spans="6:28">
      <c r="F300" s="48"/>
      <c r="G300" s="32"/>
      <c r="H300" s="68"/>
      <c r="I300" s="36"/>
      <c r="J300" s="27"/>
      <c r="K300" s="27"/>
      <c r="L300" s="27"/>
      <c r="M300" s="27"/>
      <c r="N300" s="27"/>
      <c r="O300" s="64"/>
      <c r="P300" s="64"/>
      <c r="Q300" s="27"/>
      <c r="R300" s="34"/>
      <c r="S300" s="36"/>
      <c r="T300" s="34"/>
      <c r="U300" s="71"/>
      <c r="V300" s="36"/>
      <c r="W300" s="36"/>
      <c r="X300" s="36"/>
      <c r="Y300" s="27"/>
      <c r="AA300" s="9"/>
      <c r="AB300" s="72"/>
    </row>
    <row r="301" spans="6:28">
      <c r="F301" s="48"/>
      <c r="G301" s="32"/>
      <c r="H301" s="68"/>
      <c r="I301" s="36"/>
      <c r="J301" s="27"/>
      <c r="K301" s="27"/>
      <c r="L301" s="27"/>
      <c r="M301" s="27"/>
      <c r="N301" s="27"/>
      <c r="O301" s="64"/>
      <c r="P301" s="64"/>
      <c r="Q301" s="27"/>
      <c r="R301" s="34"/>
      <c r="S301" s="36"/>
      <c r="T301" s="34"/>
      <c r="U301" s="71"/>
      <c r="V301" s="36"/>
      <c r="W301" s="36"/>
      <c r="X301" s="36"/>
      <c r="Y301" s="27"/>
      <c r="AA301" s="9"/>
      <c r="AB301" s="72"/>
    </row>
    <row r="302" spans="6:28">
      <c r="F302" s="48"/>
      <c r="G302" s="32"/>
      <c r="H302" s="68"/>
      <c r="I302" s="36"/>
      <c r="J302" s="27"/>
      <c r="K302" s="27"/>
      <c r="L302" s="27"/>
      <c r="M302" s="27"/>
      <c r="N302" s="27"/>
      <c r="O302" s="64"/>
      <c r="P302" s="64"/>
      <c r="Q302" s="27"/>
      <c r="R302" s="34"/>
      <c r="S302" s="36"/>
      <c r="T302" s="34"/>
      <c r="U302" s="71"/>
      <c r="V302" s="36"/>
      <c r="W302" s="36"/>
      <c r="X302" s="36"/>
      <c r="Y302" s="27"/>
      <c r="AA302" s="9"/>
      <c r="AB302" s="72"/>
    </row>
    <row r="303" spans="6:28">
      <c r="F303" s="48"/>
      <c r="G303" s="32"/>
      <c r="H303" s="68"/>
      <c r="I303" s="36"/>
      <c r="J303" s="27"/>
      <c r="K303" s="27"/>
      <c r="L303" s="27"/>
      <c r="M303" s="27"/>
      <c r="N303" s="27"/>
      <c r="O303" s="64"/>
      <c r="P303" s="64"/>
      <c r="Q303" s="27"/>
      <c r="R303" s="34"/>
      <c r="S303" s="36"/>
      <c r="T303" s="34"/>
      <c r="U303" s="71"/>
      <c r="V303" s="36"/>
      <c r="W303" s="36"/>
      <c r="X303" s="36"/>
      <c r="Y303" s="27"/>
      <c r="AA303" s="9"/>
      <c r="AB303" s="72"/>
    </row>
    <row r="304" spans="6:28">
      <c r="F304" s="48"/>
      <c r="G304" s="32"/>
      <c r="H304" s="68"/>
      <c r="I304" s="36"/>
      <c r="J304" s="27"/>
      <c r="K304" s="27"/>
      <c r="L304" s="27"/>
      <c r="M304" s="27"/>
      <c r="N304" s="27"/>
      <c r="O304" s="64"/>
      <c r="P304" s="64"/>
      <c r="Q304" s="27"/>
      <c r="R304" s="34"/>
      <c r="S304" s="36"/>
      <c r="T304" s="34"/>
      <c r="U304" s="71"/>
      <c r="V304" s="36"/>
      <c r="W304" s="36"/>
      <c r="X304" s="36"/>
      <c r="Y304" s="27"/>
      <c r="AA304" s="9"/>
      <c r="AB304" s="72"/>
    </row>
    <row r="305" spans="6:28">
      <c r="F305" s="48"/>
      <c r="G305" s="32"/>
      <c r="H305" s="68"/>
      <c r="I305" s="36"/>
      <c r="J305" s="27"/>
      <c r="K305" s="27"/>
      <c r="L305" s="27"/>
      <c r="M305" s="27"/>
      <c r="N305" s="27"/>
      <c r="O305" s="64"/>
      <c r="P305" s="64"/>
      <c r="Q305" s="27"/>
      <c r="R305" s="34"/>
      <c r="S305" s="36"/>
      <c r="T305" s="34"/>
      <c r="U305" s="71"/>
      <c r="V305" s="36"/>
      <c r="W305" s="36"/>
      <c r="X305" s="36"/>
      <c r="Y305" s="27"/>
      <c r="AA305" s="9"/>
      <c r="AB305" s="72"/>
    </row>
    <row r="306" spans="6:28">
      <c r="F306" s="48"/>
      <c r="G306" s="32"/>
      <c r="H306" s="68"/>
      <c r="I306" s="36"/>
      <c r="J306" s="27"/>
      <c r="K306" s="27"/>
      <c r="L306" s="27"/>
      <c r="M306" s="27"/>
      <c r="N306" s="27"/>
      <c r="O306" s="64"/>
      <c r="P306" s="64"/>
      <c r="Q306" s="27"/>
      <c r="R306" s="34"/>
      <c r="S306" s="36"/>
      <c r="T306" s="34"/>
      <c r="U306" s="71"/>
      <c r="V306" s="36"/>
      <c r="W306" s="36"/>
      <c r="X306" s="36"/>
      <c r="Y306" s="27"/>
      <c r="AA306" s="9"/>
      <c r="AB306" s="72"/>
    </row>
    <row r="307" spans="6:28">
      <c r="F307" s="48"/>
      <c r="G307" s="32"/>
      <c r="H307" s="68"/>
      <c r="I307" s="36"/>
      <c r="J307" s="27"/>
      <c r="K307" s="27"/>
      <c r="L307" s="27"/>
      <c r="M307" s="27"/>
      <c r="N307" s="27"/>
      <c r="O307" s="64"/>
      <c r="P307" s="64"/>
      <c r="Q307" s="27"/>
      <c r="R307" s="34"/>
      <c r="S307" s="36"/>
      <c r="T307" s="34"/>
      <c r="U307" s="71"/>
      <c r="V307" s="36"/>
      <c r="W307" s="36"/>
      <c r="X307" s="36"/>
      <c r="Y307" s="27"/>
      <c r="AA307" s="9"/>
      <c r="AB307" s="72"/>
    </row>
    <row r="308" spans="6:28">
      <c r="F308" s="48"/>
      <c r="G308" s="32"/>
      <c r="H308" s="68"/>
      <c r="I308" s="36"/>
      <c r="J308" s="27"/>
      <c r="K308" s="27"/>
      <c r="L308" s="27"/>
      <c r="M308" s="27"/>
      <c r="N308" s="27"/>
      <c r="O308" s="64"/>
      <c r="P308" s="64"/>
      <c r="Q308" s="27"/>
      <c r="R308" s="34"/>
      <c r="S308" s="36"/>
      <c r="T308" s="34"/>
      <c r="U308" s="71"/>
      <c r="V308" s="36"/>
      <c r="W308" s="36"/>
      <c r="X308" s="36"/>
      <c r="Y308" s="27"/>
      <c r="AA308" s="9"/>
      <c r="AB308" s="72"/>
    </row>
    <row r="309" spans="6:28">
      <c r="F309" s="48"/>
      <c r="G309" s="32"/>
      <c r="H309" s="68"/>
      <c r="I309" s="36"/>
      <c r="J309" s="27"/>
      <c r="K309" s="27"/>
      <c r="L309" s="27"/>
      <c r="M309" s="27"/>
      <c r="N309" s="27"/>
      <c r="O309" s="64"/>
      <c r="P309" s="64"/>
      <c r="Q309" s="27"/>
      <c r="R309" s="34"/>
      <c r="S309" s="36"/>
      <c r="T309" s="34"/>
      <c r="U309" s="71"/>
      <c r="V309" s="36"/>
      <c r="W309" s="36"/>
      <c r="X309" s="36"/>
      <c r="Y309" s="27"/>
      <c r="AA309" s="9"/>
      <c r="AB309" s="72"/>
    </row>
    <row r="310" spans="6:28">
      <c r="F310" s="48"/>
      <c r="G310" s="32"/>
      <c r="H310" s="68"/>
      <c r="I310" s="36"/>
      <c r="J310" s="27"/>
      <c r="K310" s="27"/>
      <c r="L310" s="27"/>
      <c r="M310" s="27"/>
      <c r="N310" s="27"/>
      <c r="O310" s="64"/>
      <c r="P310" s="64"/>
      <c r="Q310" s="27"/>
      <c r="R310" s="34"/>
      <c r="S310" s="36"/>
      <c r="T310" s="34"/>
      <c r="U310" s="71"/>
      <c r="V310" s="36"/>
      <c r="W310" s="36"/>
      <c r="X310" s="36"/>
      <c r="Y310" s="27"/>
      <c r="AA310" s="9"/>
      <c r="AB310" s="72"/>
    </row>
    <row r="311" spans="6:28">
      <c r="F311" s="48"/>
      <c r="G311" s="32"/>
      <c r="H311" s="68"/>
      <c r="I311" s="36"/>
      <c r="J311" s="27"/>
      <c r="K311" s="27"/>
      <c r="L311" s="27"/>
      <c r="M311" s="27"/>
      <c r="N311" s="27"/>
      <c r="O311" s="64"/>
      <c r="P311" s="64"/>
      <c r="Q311" s="27"/>
      <c r="R311" s="34"/>
      <c r="S311" s="36"/>
      <c r="T311" s="34"/>
      <c r="U311" s="71"/>
      <c r="V311" s="36"/>
      <c r="W311" s="36"/>
      <c r="X311" s="36"/>
      <c r="Y311" s="27"/>
      <c r="AA311" s="9"/>
      <c r="AB311" s="72"/>
    </row>
    <row r="312" spans="6:28">
      <c r="F312" s="48"/>
      <c r="G312" s="32"/>
      <c r="H312" s="68"/>
      <c r="I312" s="36"/>
      <c r="J312" s="27"/>
      <c r="K312" s="27"/>
      <c r="L312" s="27"/>
      <c r="M312" s="27"/>
      <c r="N312" s="27"/>
      <c r="O312" s="64"/>
      <c r="P312" s="64"/>
      <c r="Q312" s="27"/>
      <c r="R312" s="34"/>
      <c r="S312" s="36"/>
      <c r="T312" s="34"/>
      <c r="U312" s="71"/>
      <c r="V312" s="36"/>
      <c r="W312" s="36"/>
      <c r="X312" s="36"/>
      <c r="Y312" s="27"/>
      <c r="AA312" s="9"/>
      <c r="AB312" s="72"/>
    </row>
    <row r="313" spans="6:28">
      <c r="F313" s="48"/>
      <c r="G313" s="32"/>
      <c r="H313" s="68"/>
      <c r="I313" s="36"/>
      <c r="J313" s="27"/>
      <c r="K313" s="27"/>
      <c r="L313" s="27"/>
      <c r="M313" s="27"/>
      <c r="N313" s="27"/>
      <c r="O313" s="64"/>
      <c r="P313" s="64"/>
      <c r="Q313" s="27"/>
      <c r="R313" s="34"/>
      <c r="S313" s="36"/>
      <c r="T313" s="34"/>
      <c r="U313" s="71"/>
      <c r="V313" s="36"/>
      <c r="W313" s="36"/>
      <c r="X313" s="36"/>
      <c r="Y313" s="27"/>
      <c r="AA313" s="9"/>
      <c r="AB313" s="72"/>
    </row>
    <row r="314" spans="6:28">
      <c r="F314" s="48"/>
      <c r="G314" s="32"/>
      <c r="H314" s="68"/>
      <c r="I314" s="36"/>
      <c r="J314" s="27"/>
      <c r="K314" s="27"/>
      <c r="L314" s="27"/>
      <c r="M314" s="27"/>
      <c r="N314" s="27"/>
      <c r="O314" s="64"/>
      <c r="P314" s="64"/>
      <c r="Q314" s="27"/>
      <c r="R314" s="34"/>
      <c r="S314" s="36"/>
      <c r="T314" s="34"/>
      <c r="U314" s="71"/>
      <c r="V314" s="36"/>
      <c r="W314" s="36"/>
      <c r="X314" s="36"/>
      <c r="Y314" s="27"/>
      <c r="AA314" s="9"/>
      <c r="AB314" s="72"/>
    </row>
    <row r="315" spans="6:28">
      <c r="F315" s="48"/>
      <c r="G315" s="32"/>
      <c r="H315" s="68"/>
      <c r="I315" s="36"/>
      <c r="J315" s="27"/>
      <c r="K315" s="27"/>
      <c r="L315" s="27"/>
      <c r="M315" s="27"/>
      <c r="N315" s="27"/>
      <c r="O315" s="64"/>
      <c r="P315" s="64"/>
      <c r="Q315" s="27"/>
      <c r="R315" s="34"/>
      <c r="S315" s="36"/>
      <c r="T315" s="34"/>
      <c r="U315" s="71"/>
      <c r="V315" s="36"/>
      <c r="W315" s="36"/>
      <c r="X315" s="36"/>
      <c r="Y315" s="27"/>
      <c r="AA315" s="9"/>
      <c r="AB315" s="72"/>
    </row>
    <row r="316" spans="6:28">
      <c r="F316" s="48"/>
      <c r="G316" s="32"/>
      <c r="H316" s="68"/>
      <c r="I316" s="36"/>
      <c r="J316" s="27"/>
      <c r="K316" s="27"/>
      <c r="L316" s="27"/>
      <c r="M316" s="27"/>
      <c r="N316" s="27"/>
      <c r="O316" s="64"/>
      <c r="P316" s="64"/>
      <c r="Q316" s="27"/>
      <c r="R316" s="34"/>
      <c r="S316" s="36"/>
      <c r="T316" s="34"/>
      <c r="U316" s="71"/>
      <c r="V316" s="36"/>
      <c r="W316" s="36"/>
      <c r="X316" s="36"/>
      <c r="Y316" s="27"/>
      <c r="AA316" s="9"/>
      <c r="AB316" s="72"/>
    </row>
    <row r="317" spans="6:28">
      <c r="F317" s="48"/>
      <c r="G317" s="32"/>
      <c r="H317" s="68"/>
      <c r="I317" s="36"/>
      <c r="J317" s="27"/>
      <c r="K317" s="27"/>
      <c r="L317" s="27"/>
      <c r="M317" s="27"/>
      <c r="N317" s="27"/>
      <c r="O317" s="64"/>
      <c r="P317" s="64"/>
      <c r="Q317" s="27"/>
      <c r="R317" s="34"/>
      <c r="S317" s="36"/>
      <c r="T317" s="34"/>
      <c r="U317" s="71"/>
      <c r="V317" s="36"/>
      <c r="W317" s="36"/>
      <c r="X317" s="36"/>
      <c r="Y317" s="27"/>
      <c r="AA317" s="9"/>
      <c r="AB317" s="72"/>
    </row>
    <row r="318" spans="6:28">
      <c r="F318" s="48"/>
      <c r="G318" s="32"/>
      <c r="H318" s="68"/>
      <c r="I318" s="36"/>
      <c r="J318" s="27"/>
      <c r="K318" s="27"/>
      <c r="L318" s="27"/>
      <c r="M318" s="27"/>
      <c r="N318" s="27"/>
      <c r="O318" s="64"/>
      <c r="P318" s="64"/>
      <c r="Q318" s="27"/>
      <c r="R318" s="34"/>
      <c r="S318" s="36"/>
      <c r="T318" s="34"/>
      <c r="U318" s="71"/>
      <c r="V318" s="36"/>
      <c r="W318" s="36"/>
      <c r="X318" s="36"/>
      <c r="Y318" s="27"/>
      <c r="AA318" s="9"/>
      <c r="AB318" s="72"/>
    </row>
    <row r="319" spans="6:28">
      <c r="F319" s="48"/>
      <c r="G319" s="32"/>
      <c r="H319" s="68"/>
      <c r="I319" s="36"/>
      <c r="J319" s="27"/>
      <c r="K319" s="27"/>
      <c r="L319" s="27"/>
      <c r="M319" s="27"/>
      <c r="N319" s="27"/>
      <c r="O319" s="64"/>
      <c r="P319" s="64"/>
      <c r="Q319" s="27"/>
      <c r="R319" s="34"/>
      <c r="S319" s="36"/>
      <c r="T319" s="34"/>
      <c r="U319" s="71"/>
      <c r="V319" s="36"/>
      <c r="W319" s="36"/>
      <c r="X319" s="36"/>
      <c r="Y319" s="27"/>
      <c r="AA319" s="9"/>
      <c r="AB319" s="72"/>
    </row>
    <row r="320" spans="6:28">
      <c r="F320" s="48"/>
      <c r="G320" s="32"/>
      <c r="H320" s="68"/>
      <c r="I320" s="36"/>
      <c r="J320" s="27"/>
      <c r="K320" s="27"/>
      <c r="L320" s="27"/>
      <c r="M320" s="27"/>
      <c r="N320" s="27"/>
      <c r="O320" s="64"/>
      <c r="P320" s="64"/>
      <c r="Q320" s="27"/>
      <c r="R320" s="34"/>
      <c r="S320" s="36"/>
      <c r="T320" s="34"/>
      <c r="U320" s="71"/>
      <c r="V320" s="36"/>
      <c r="W320" s="36"/>
      <c r="X320" s="36"/>
      <c r="Y320" s="27"/>
      <c r="AA320" s="9"/>
      <c r="AB320" s="72"/>
    </row>
    <row r="321" spans="6:28">
      <c r="F321" s="48"/>
      <c r="G321" s="32"/>
      <c r="H321" s="68"/>
      <c r="I321" s="36"/>
      <c r="J321" s="27"/>
      <c r="K321" s="27"/>
      <c r="L321" s="27"/>
      <c r="M321" s="27"/>
      <c r="N321" s="27"/>
      <c r="O321" s="64"/>
      <c r="P321" s="64"/>
      <c r="Q321" s="27"/>
      <c r="R321" s="34"/>
      <c r="S321" s="36"/>
      <c r="T321" s="34"/>
      <c r="U321" s="71"/>
      <c r="V321" s="36"/>
      <c r="W321" s="36"/>
      <c r="X321" s="36"/>
      <c r="Y321" s="27"/>
      <c r="AA321" s="9"/>
      <c r="AB321" s="72"/>
    </row>
    <row r="322" spans="6:28">
      <c r="F322" s="48"/>
      <c r="G322" s="32"/>
      <c r="H322" s="68"/>
      <c r="I322" s="36"/>
      <c r="J322" s="27"/>
      <c r="K322" s="27"/>
      <c r="L322" s="27"/>
      <c r="M322" s="27"/>
      <c r="N322" s="27"/>
      <c r="O322" s="64"/>
      <c r="P322" s="64"/>
      <c r="Q322" s="27"/>
      <c r="R322" s="34"/>
      <c r="S322" s="36"/>
      <c r="T322" s="34"/>
      <c r="U322" s="71"/>
      <c r="V322" s="36"/>
      <c r="W322" s="36"/>
      <c r="X322" s="36"/>
      <c r="Y322" s="27"/>
      <c r="AA322" s="9"/>
      <c r="AB322" s="72"/>
    </row>
    <row r="323" spans="6:28">
      <c r="F323" s="48"/>
      <c r="G323" s="32"/>
      <c r="H323" s="68"/>
      <c r="I323" s="36"/>
      <c r="J323" s="27"/>
      <c r="K323" s="27"/>
      <c r="L323" s="27"/>
      <c r="M323" s="27"/>
      <c r="N323" s="27"/>
      <c r="O323" s="64"/>
      <c r="P323" s="64"/>
      <c r="Q323" s="27"/>
      <c r="R323" s="34"/>
      <c r="S323" s="36"/>
      <c r="T323" s="34"/>
      <c r="U323" s="71"/>
      <c r="V323" s="36"/>
      <c r="W323" s="36"/>
      <c r="X323" s="36"/>
      <c r="Y323" s="27"/>
      <c r="AA323" s="9"/>
      <c r="AB323" s="72"/>
    </row>
    <row r="324" spans="6:28">
      <c r="F324" s="48"/>
      <c r="G324" s="32"/>
      <c r="H324" s="68"/>
      <c r="I324" s="36"/>
      <c r="J324" s="27"/>
      <c r="K324" s="27"/>
      <c r="L324" s="27"/>
      <c r="M324" s="27"/>
      <c r="N324" s="27"/>
      <c r="O324" s="64"/>
      <c r="P324" s="64"/>
      <c r="Q324" s="27"/>
      <c r="R324" s="34"/>
      <c r="S324" s="36"/>
      <c r="T324" s="34"/>
      <c r="U324" s="71"/>
      <c r="V324" s="36"/>
      <c r="W324" s="36"/>
      <c r="X324" s="36"/>
      <c r="Y324" s="27"/>
      <c r="AA324" s="9"/>
      <c r="AB324" s="72"/>
    </row>
    <row r="325" spans="6:28">
      <c r="F325" s="48"/>
      <c r="G325" s="32"/>
      <c r="H325" s="68"/>
      <c r="I325" s="36"/>
      <c r="J325" s="27"/>
      <c r="K325" s="27"/>
      <c r="L325" s="27"/>
      <c r="M325" s="27"/>
      <c r="N325" s="27"/>
      <c r="O325" s="64"/>
      <c r="P325" s="64"/>
      <c r="Q325" s="27"/>
      <c r="R325" s="34"/>
      <c r="S325" s="36"/>
      <c r="T325" s="34"/>
      <c r="U325" s="71"/>
      <c r="V325" s="36"/>
      <c r="W325" s="36"/>
      <c r="X325" s="36"/>
      <c r="Y325" s="27"/>
      <c r="AA325" s="9"/>
      <c r="AB325" s="72"/>
    </row>
    <row r="326" spans="6:28">
      <c r="F326" s="48"/>
      <c r="G326" s="32"/>
      <c r="H326" s="68"/>
      <c r="I326" s="36"/>
      <c r="J326" s="27"/>
      <c r="K326" s="27"/>
      <c r="L326" s="27"/>
      <c r="M326" s="27"/>
      <c r="N326" s="27"/>
      <c r="O326" s="64"/>
      <c r="P326" s="64"/>
      <c r="Q326" s="27"/>
      <c r="R326" s="34"/>
      <c r="S326" s="36"/>
      <c r="T326" s="34"/>
      <c r="U326" s="71"/>
      <c r="V326" s="36"/>
      <c r="W326" s="36"/>
      <c r="X326" s="36"/>
      <c r="Y326" s="27"/>
      <c r="AA326" s="9"/>
      <c r="AB326" s="72"/>
    </row>
    <row r="327" spans="6:28">
      <c r="F327" s="48"/>
      <c r="G327" s="32"/>
      <c r="H327" s="68"/>
      <c r="I327" s="36"/>
      <c r="J327" s="27"/>
      <c r="K327" s="27"/>
      <c r="L327" s="27"/>
      <c r="M327" s="27"/>
      <c r="N327" s="27"/>
      <c r="O327" s="64"/>
      <c r="P327" s="64"/>
      <c r="Q327" s="27"/>
      <c r="R327" s="34"/>
      <c r="S327" s="36"/>
      <c r="T327" s="34"/>
      <c r="U327" s="71"/>
      <c r="V327" s="36"/>
      <c r="W327" s="36"/>
      <c r="X327" s="36"/>
      <c r="Y327" s="27"/>
      <c r="AA327" s="9"/>
      <c r="AB327" s="72"/>
    </row>
    <row r="328" spans="6:28">
      <c r="F328" s="48"/>
      <c r="G328" s="32"/>
      <c r="H328" s="68"/>
      <c r="I328" s="36"/>
      <c r="J328" s="27"/>
      <c r="K328" s="27"/>
      <c r="L328" s="27"/>
      <c r="M328" s="27"/>
      <c r="N328" s="27"/>
      <c r="O328" s="64"/>
      <c r="P328" s="64"/>
      <c r="Q328" s="27"/>
      <c r="R328" s="34"/>
      <c r="S328" s="36"/>
      <c r="T328" s="34"/>
      <c r="U328" s="71"/>
      <c r="V328" s="36"/>
      <c r="W328" s="36"/>
      <c r="X328" s="36"/>
      <c r="Y328" s="27"/>
      <c r="AA328" s="9"/>
      <c r="AB328" s="72"/>
    </row>
    <row r="329" spans="6:28">
      <c r="F329" s="48"/>
      <c r="G329" s="32"/>
      <c r="H329" s="68"/>
      <c r="I329" s="36"/>
      <c r="J329" s="27"/>
      <c r="K329" s="27"/>
      <c r="L329" s="27"/>
      <c r="M329" s="27"/>
      <c r="N329" s="27"/>
      <c r="O329" s="64"/>
      <c r="P329" s="64"/>
      <c r="Q329" s="27"/>
      <c r="R329" s="34"/>
      <c r="S329" s="36"/>
      <c r="T329" s="34"/>
      <c r="U329" s="71"/>
      <c r="V329" s="36"/>
      <c r="W329" s="36"/>
      <c r="X329" s="36"/>
      <c r="Y329" s="27"/>
      <c r="AA329" s="9"/>
      <c r="AB329" s="72"/>
    </row>
    <row r="330" spans="6:28">
      <c r="F330" s="48"/>
      <c r="G330" s="32"/>
      <c r="H330" s="68"/>
      <c r="I330" s="36"/>
      <c r="J330" s="27"/>
      <c r="K330" s="27"/>
      <c r="L330" s="27"/>
      <c r="M330" s="27"/>
      <c r="N330" s="27"/>
      <c r="O330" s="64"/>
      <c r="P330" s="64"/>
      <c r="Q330" s="27"/>
      <c r="R330" s="34"/>
      <c r="S330" s="36"/>
      <c r="T330" s="34"/>
      <c r="U330" s="71"/>
      <c r="V330" s="36"/>
      <c r="W330" s="36"/>
      <c r="X330" s="36"/>
      <c r="Y330" s="27"/>
      <c r="AA330" s="9"/>
      <c r="AB330" s="72"/>
    </row>
    <row r="331" spans="6:28">
      <c r="F331" s="48"/>
      <c r="G331" s="32"/>
      <c r="H331" s="68"/>
      <c r="I331" s="36"/>
      <c r="J331" s="27"/>
      <c r="K331" s="27"/>
      <c r="L331" s="27"/>
      <c r="M331" s="27"/>
      <c r="N331" s="27"/>
      <c r="O331" s="64"/>
      <c r="P331" s="64"/>
      <c r="Q331" s="27"/>
      <c r="R331" s="34"/>
      <c r="S331" s="36"/>
      <c r="T331" s="34"/>
      <c r="U331" s="71"/>
      <c r="V331" s="36"/>
      <c r="W331" s="36"/>
      <c r="X331" s="36"/>
      <c r="Y331" s="27"/>
      <c r="AA331" s="9"/>
      <c r="AB331" s="72"/>
    </row>
    <row r="332" spans="6:28">
      <c r="F332" s="48"/>
      <c r="G332" s="32"/>
      <c r="H332" s="68"/>
      <c r="I332" s="36"/>
      <c r="J332" s="27"/>
      <c r="K332" s="27"/>
      <c r="L332" s="27"/>
      <c r="M332" s="27"/>
      <c r="N332" s="27"/>
      <c r="O332" s="64"/>
      <c r="P332" s="64"/>
      <c r="Q332" s="27"/>
      <c r="R332" s="34"/>
      <c r="S332" s="36"/>
      <c r="T332" s="34"/>
      <c r="U332" s="71"/>
      <c r="V332" s="36"/>
      <c r="W332" s="36"/>
      <c r="X332" s="36"/>
      <c r="Y332" s="27"/>
      <c r="AA332" s="9"/>
      <c r="AB332" s="72"/>
    </row>
    <row r="333" spans="6:28">
      <c r="F333" s="48"/>
      <c r="G333" s="32"/>
      <c r="H333" s="68"/>
      <c r="I333" s="36"/>
      <c r="J333" s="27"/>
      <c r="K333" s="27"/>
      <c r="L333" s="27"/>
      <c r="M333" s="27"/>
      <c r="N333" s="27"/>
      <c r="O333" s="64"/>
      <c r="P333" s="64"/>
      <c r="Q333" s="27"/>
      <c r="R333" s="34"/>
      <c r="S333" s="36"/>
      <c r="T333" s="34"/>
      <c r="U333" s="71"/>
      <c r="V333" s="36"/>
      <c r="W333" s="36"/>
      <c r="X333" s="36"/>
      <c r="Y333" s="27"/>
      <c r="AA333" s="9"/>
      <c r="AB333" s="72"/>
    </row>
    <row r="334" spans="6:28">
      <c r="F334" s="48"/>
      <c r="G334" s="32"/>
      <c r="H334" s="68"/>
      <c r="I334" s="36"/>
      <c r="J334" s="27"/>
      <c r="K334" s="27"/>
      <c r="L334" s="27"/>
      <c r="M334" s="27"/>
      <c r="N334" s="27"/>
      <c r="O334" s="64"/>
      <c r="P334" s="64"/>
      <c r="Q334" s="27"/>
      <c r="R334" s="34"/>
      <c r="S334" s="36"/>
      <c r="T334" s="34"/>
      <c r="U334" s="71"/>
      <c r="V334" s="36"/>
      <c r="W334" s="36"/>
      <c r="X334" s="36"/>
      <c r="Y334" s="27"/>
      <c r="AA334" s="9"/>
      <c r="AB334" s="72"/>
    </row>
    <row r="335" spans="6:28">
      <c r="F335" s="48"/>
      <c r="G335" s="32"/>
      <c r="H335" s="68"/>
      <c r="I335" s="36"/>
      <c r="J335" s="27"/>
      <c r="K335" s="27"/>
      <c r="L335" s="27"/>
      <c r="M335" s="27"/>
      <c r="N335" s="27"/>
      <c r="O335" s="64"/>
      <c r="P335" s="64"/>
      <c r="Q335" s="27"/>
      <c r="R335" s="34"/>
      <c r="S335" s="36"/>
      <c r="T335" s="34"/>
      <c r="U335" s="71"/>
      <c r="V335" s="36"/>
      <c r="W335" s="36"/>
      <c r="X335" s="36"/>
      <c r="Y335" s="27"/>
      <c r="AA335" s="9"/>
      <c r="AB335" s="72"/>
    </row>
    <row r="336" spans="6:28">
      <c r="F336" s="48"/>
      <c r="G336" s="32"/>
      <c r="H336" s="68"/>
      <c r="I336" s="36"/>
      <c r="J336" s="27"/>
      <c r="K336" s="27"/>
      <c r="L336" s="27"/>
      <c r="M336" s="27"/>
      <c r="N336" s="27"/>
      <c r="O336" s="64"/>
      <c r="P336" s="64"/>
      <c r="Q336" s="27"/>
      <c r="R336" s="34"/>
      <c r="S336" s="36"/>
      <c r="T336" s="34"/>
      <c r="U336" s="71"/>
      <c r="V336" s="36"/>
      <c r="W336" s="36"/>
      <c r="X336" s="36"/>
      <c r="Y336" s="27"/>
      <c r="AA336" s="9"/>
      <c r="AB336" s="72"/>
    </row>
    <row r="337" spans="6:28">
      <c r="F337" s="48"/>
      <c r="G337" s="32"/>
      <c r="H337" s="68"/>
      <c r="I337" s="36"/>
      <c r="J337" s="27"/>
      <c r="K337" s="27"/>
      <c r="L337" s="27"/>
      <c r="M337" s="27"/>
      <c r="N337" s="27"/>
      <c r="O337" s="64"/>
      <c r="P337" s="64"/>
      <c r="Q337" s="27"/>
      <c r="R337" s="34"/>
      <c r="S337" s="36"/>
      <c r="T337" s="34"/>
      <c r="U337" s="71"/>
      <c r="V337" s="36"/>
      <c r="W337" s="36"/>
      <c r="X337" s="36"/>
      <c r="Y337" s="27"/>
      <c r="AA337" s="9"/>
      <c r="AB337" s="72"/>
    </row>
    <row r="338" spans="6:28">
      <c r="F338" s="48"/>
      <c r="G338" s="32"/>
      <c r="H338" s="68"/>
      <c r="I338" s="36"/>
      <c r="J338" s="27"/>
      <c r="K338" s="27"/>
      <c r="L338" s="27"/>
      <c r="M338" s="27"/>
      <c r="N338" s="27"/>
      <c r="O338" s="64"/>
      <c r="P338" s="64"/>
      <c r="Q338" s="27"/>
      <c r="R338" s="34"/>
      <c r="S338" s="36"/>
      <c r="T338" s="34"/>
      <c r="U338" s="71"/>
      <c r="V338" s="36"/>
      <c r="W338" s="36"/>
      <c r="X338" s="36"/>
      <c r="Y338" s="27"/>
      <c r="AA338" s="9"/>
      <c r="AB338" s="72"/>
    </row>
    <row r="339" spans="6:28">
      <c r="F339" s="48"/>
      <c r="G339" s="32"/>
      <c r="H339" s="68"/>
      <c r="I339" s="36"/>
      <c r="J339" s="27"/>
      <c r="K339" s="27"/>
      <c r="L339" s="27"/>
      <c r="M339" s="27"/>
      <c r="N339" s="27"/>
      <c r="O339" s="64"/>
      <c r="P339" s="64"/>
      <c r="Q339" s="27"/>
      <c r="R339" s="34"/>
      <c r="S339" s="36"/>
      <c r="T339" s="34"/>
      <c r="U339" s="71"/>
      <c r="V339" s="36"/>
      <c r="W339" s="36"/>
      <c r="X339" s="36"/>
      <c r="Y339" s="27"/>
      <c r="AA339" s="9"/>
      <c r="AB339" s="72"/>
    </row>
    <row r="340" spans="6:28">
      <c r="F340" s="48"/>
      <c r="G340" s="32"/>
      <c r="H340" s="68"/>
      <c r="I340" s="36"/>
      <c r="J340" s="27"/>
      <c r="K340" s="27"/>
      <c r="L340" s="27"/>
      <c r="M340" s="27"/>
      <c r="N340" s="27"/>
      <c r="O340" s="64"/>
      <c r="P340" s="64"/>
      <c r="Q340" s="27"/>
      <c r="R340" s="34"/>
      <c r="S340" s="36"/>
      <c r="T340" s="34"/>
      <c r="U340" s="71"/>
      <c r="V340" s="36"/>
      <c r="W340" s="36"/>
      <c r="X340" s="36"/>
      <c r="Y340" s="27"/>
      <c r="AA340" s="9"/>
      <c r="AB340" s="72"/>
    </row>
    <row r="341" spans="6:28">
      <c r="F341" s="48"/>
      <c r="G341" s="32"/>
      <c r="H341" s="68"/>
      <c r="I341" s="36"/>
      <c r="J341" s="27"/>
      <c r="K341" s="27"/>
      <c r="L341" s="27"/>
      <c r="M341" s="27"/>
      <c r="N341" s="27"/>
      <c r="O341" s="64"/>
      <c r="P341" s="64"/>
      <c r="Q341" s="27"/>
      <c r="R341" s="34"/>
      <c r="S341" s="36"/>
      <c r="T341" s="34"/>
      <c r="U341" s="71"/>
      <c r="V341" s="36"/>
      <c r="W341" s="36"/>
      <c r="X341" s="36"/>
      <c r="Y341" s="27"/>
      <c r="AA341" s="9"/>
      <c r="AB341" s="72"/>
    </row>
    <row r="342" spans="6:28">
      <c r="F342" s="48"/>
      <c r="G342" s="32"/>
      <c r="H342" s="68"/>
      <c r="I342" s="36"/>
      <c r="J342" s="27"/>
      <c r="K342" s="27"/>
      <c r="L342" s="27"/>
      <c r="M342" s="27"/>
      <c r="N342" s="27"/>
      <c r="O342" s="64"/>
      <c r="P342" s="64"/>
      <c r="Q342" s="27"/>
      <c r="R342" s="34"/>
      <c r="S342" s="36"/>
      <c r="T342" s="34"/>
      <c r="U342" s="71"/>
      <c r="V342" s="36"/>
      <c r="W342" s="36"/>
      <c r="X342" s="36"/>
      <c r="Y342" s="27"/>
      <c r="AA342" s="9"/>
      <c r="AB342" s="72"/>
    </row>
    <row r="343" spans="6:28">
      <c r="F343" s="48"/>
      <c r="G343" s="32"/>
      <c r="H343" s="68"/>
      <c r="I343" s="36"/>
      <c r="J343" s="27"/>
      <c r="K343" s="27"/>
      <c r="L343" s="27"/>
      <c r="M343" s="27"/>
      <c r="N343" s="27"/>
      <c r="O343" s="64"/>
      <c r="P343" s="64"/>
      <c r="Q343" s="27"/>
      <c r="R343" s="34"/>
      <c r="S343" s="36"/>
      <c r="T343" s="34"/>
      <c r="U343" s="71"/>
      <c r="V343" s="36"/>
      <c r="W343" s="36"/>
      <c r="X343" s="36"/>
      <c r="Y343" s="27"/>
      <c r="AA343" s="9"/>
      <c r="AB343" s="72"/>
    </row>
    <row r="344" spans="6:28">
      <c r="F344" s="48"/>
      <c r="G344" s="32"/>
      <c r="H344" s="68"/>
      <c r="I344" s="36"/>
      <c r="J344" s="27"/>
      <c r="K344" s="27"/>
      <c r="L344" s="27"/>
      <c r="M344" s="27"/>
      <c r="N344" s="27"/>
      <c r="O344" s="64"/>
      <c r="P344" s="64"/>
      <c r="Q344" s="27"/>
      <c r="R344" s="34"/>
      <c r="S344" s="36"/>
      <c r="T344" s="34"/>
      <c r="U344" s="71"/>
      <c r="V344" s="36"/>
      <c r="W344" s="36"/>
      <c r="X344" s="36"/>
      <c r="Y344" s="27"/>
      <c r="AA344" s="9"/>
      <c r="AB344" s="72"/>
    </row>
    <row r="345" spans="6:28">
      <c r="F345" s="48"/>
      <c r="G345" s="32"/>
      <c r="H345" s="68"/>
      <c r="I345" s="36"/>
      <c r="J345" s="27"/>
      <c r="K345" s="27"/>
      <c r="L345" s="27"/>
      <c r="M345" s="27"/>
      <c r="N345" s="27"/>
      <c r="O345" s="64"/>
      <c r="P345" s="64"/>
      <c r="Q345" s="27"/>
      <c r="R345" s="34"/>
      <c r="S345" s="36"/>
      <c r="T345" s="34"/>
      <c r="U345" s="71"/>
      <c r="V345" s="36"/>
      <c r="W345" s="36"/>
      <c r="X345" s="36"/>
      <c r="Y345" s="27"/>
      <c r="AA345" s="9"/>
      <c r="AB345" s="72"/>
    </row>
    <row r="346" spans="6:28">
      <c r="F346" s="48"/>
      <c r="G346" s="32"/>
      <c r="H346" s="68"/>
      <c r="I346" s="36"/>
      <c r="J346" s="27"/>
      <c r="K346" s="27"/>
      <c r="L346" s="27"/>
      <c r="M346" s="27"/>
      <c r="N346" s="27"/>
      <c r="O346" s="64"/>
      <c r="P346" s="64"/>
      <c r="Q346" s="27"/>
      <c r="R346" s="34"/>
      <c r="S346" s="36"/>
      <c r="T346" s="34"/>
      <c r="U346" s="71"/>
      <c r="V346" s="36"/>
      <c r="W346" s="36"/>
      <c r="X346" s="36"/>
      <c r="Y346" s="27"/>
      <c r="AA346" s="9"/>
      <c r="AB346" s="72"/>
    </row>
    <row r="347" spans="6:28">
      <c r="F347" s="48"/>
      <c r="G347" s="32"/>
      <c r="H347" s="68"/>
      <c r="I347" s="36"/>
      <c r="J347" s="27"/>
      <c r="K347" s="27"/>
      <c r="L347" s="27"/>
      <c r="M347" s="27"/>
      <c r="N347" s="27"/>
      <c r="O347" s="64"/>
      <c r="P347" s="64"/>
      <c r="Q347" s="27"/>
      <c r="R347" s="34"/>
      <c r="S347" s="36"/>
      <c r="T347" s="34"/>
      <c r="U347" s="71"/>
      <c r="V347" s="36"/>
      <c r="W347" s="36"/>
      <c r="X347" s="36"/>
      <c r="Y347" s="27"/>
      <c r="AA347" s="9"/>
      <c r="AB347" s="72"/>
    </row>
    <row r="348" spans="6:28">
      <c r="F348" s="48"/>
      <c r="G348" s="32"/>
      <c r="H348" s="68"/>
      <c r="I348" s="36"/>
      <c r="J348" s="27"/>
      <c r="K348" s="27"/>
      <c r="L348" s="27"/>
      <c r="M348" s="27"/>
      <c r="N348" s="27"/>
      <c r="O348" s="64"/>
      <c r="P348" s="64"/>
      <c r="Q348" s="27"/>
      <c r="R348" s="34"/>
      <c r="S348" s="36"/>
      <c r="T348" s="34"/>
      <c r="U348" s="71"/>
      <c r="V348" s="36"/>
      <c r="W348" s="36"/>
      <c r="X348" s="36"/>
      <c r="Y348" s="27"/>
      <c r="AA348" s="9"/>
      <c r="AB348" s="72"/>
    </row>
    <row r="349" spans="6:28">
      <c r="F349" s="48"/>
      <c r="G349" s="32"/>
      <c r="H349" s="68"/>
      <c r="I349" s="36"/>
      <c r="J349" s="27"/>
      <c r="K349" s="27"/>
      <c r="L349" s="27"/>
      <c r="M349" s="27"/>
      <c r="N349" s="27"/>
      <c r="O349" s="64"/>
      <c r="P349" s="64"/>
      <c r="Q349" s="27"/>
      <c r="R349" s="34"/>
      <c r="S349" s="36"/>
      <c r="T349" s="34"/>
      <c r="U349" s="71"/>
      <c r="V349" s="36"/>
      <c r="W349" s="36"/>
      <c r="X349" s="36"/>
      <c r="Y349" s="27"/>
      <c r="AA349" s="9"/>
      <c r="AB349" s="72"/>
    </row>
    <row r="350" spans="6:28">
      <c r="F350" s="48"/>
      <c r="G350" s="32"/>
      <c r="H350" s="68"/>
      <c r="I350" s="36"/>
      <c r="J350" s="27"/>
      <c r="K350" s="27"/>
      <c r="L350" s="27"/>
      <c r="M350" s="27"/>
      <c r="N350" s="27"/>
      <c r="O350" s="64"/>
      <c r="P350" s="64"/>
      <c r="Q350" s="27"/>
      <c r="R350" s="34"/>
      <c r="S350" s="36"/>
      <c r="T350" s="34"/>
      <c r="U350" s="71"/>
      <c r="V350" s="36"/>
      <c r="W350" s="36"/>
      <c r="X350" s="36"/>
      <c r="Y350" s="27"/>
      <c r="AA350" s="9"/>
      <c r="AB350" s="72"/>
    </row>
    <row r="351" spans="6:28">
      <c r="F351" s="48"/>
      <c r="G351" s="32"/>
      <c r="H351" s="68"/>
      <c r="I351" s="36"/>
      <c r="J351" s="27"/>
      <c r="K351" s="27"/>
      <c r="L351" s="27"/>
      <c r="M351" s="27"/>
      <c r="N351" s="27"/>
      <c r="O351" s="64"/>
      <c r="P351" s="64"/>
      <c r="Q351" s="27"/>
      <c r="R351" s="34"/>
      <c r="S351" s="36"/>
      <c r="T351" s="34"/>
      <c r="U351" s="71"/>
      <c r="V351" s="36"/>
      <c r="W351" s="36"/>
      <c r="X351" s="36"/>
      <c r="Y351" s="27"/>
      <c r="AA351" s="9"/>
      <c r="AB351" s="72"/>
    </row>
    <row r="352" spans="6:28">
      <c r="F352" s="48"/>
      <c r="G352" s="32"/>
      <c r="H352" s="68"/>
      <c r="I352" s="36"/>
      <c r="J352" s="27"/>
      <c r="K352" s="27"/>
      <c r="L352" s="27"/>
      <c r="M352" s="27"/>
      <c r="N352" s="27"/>
      <c r="O352" s="64"/>
      <c r="P352" s="64"/>
      <c r="Q352" s="27"/>
      <c r="R352" s="34"/>
      <c r="S352" s="36"/>
      <c r="T352" s="34"/>
      <c r="U352" s="71"/>
      <c r="V352" s="36"/>
      <c r="W352" s="36"/>
      <c r="X352" s="36"/>
      <c r="Y352" s="27"/>
      <c r="AA352" s="9"/>
      <c r="AB352" s="72"/>
    </row>
    <row r="353" spans="6:28">
      <c r="F353" s="48"/>
      <c r="G353" s="32"/>
      <c r="H353" s="68"/>
      <c r="I353" s="36"/>
      <c r="J353" s="27"/>
      <c r="K353" s="27"/>
      <c r="L353" s="27"/>
      <c r="M353" s="27"/>
      <c r="N353" s="27"/>
      <c r="O353" s="64"/>
      <c r="P353" s="64"/>
      <c r="Q353" s="27"/>
      <c r="R353" s="34"/>
      <c r="S353" s="36"/>
      <c r="T353" s="34"/>
      <c r="U353" s="71"/>
      <c r="V353" s="36"/>
      <c r="W353" s="36"/>
      <c r="X353" s="36"/>
      <c r="Y353" s="27"/>
      <c r="AA353" s="9"/>
      <c r="AB353" s="72"/>
    </row>
    <row r="354" spans="6:28">
      <c r="F354" s="48"/>
      <c r="G354" s="32"/>
      <c r="H354" s="68"/>
      <c r="I354" s="36"/>
      <c r="J354" s="27"/>
      <c r="K354" s="27"/>
      <c r="L354" s="27"/>
      <c r="M354" s="27"/>
      <c r="N354" s="27"/>
      <c r="O354" s="64"/>
      <c r="P354" s="64"/>
      <c r="Q354" s="27"/>
      <c r="R354" s="34"/>
      <c r="S354" s="36"/>
      <c r="T354" s="34"/>
      <c r="U354" s="71"/>
      <c r="V354" s="36"/>
      <c r="W354" s="36"/>
      <c r="X354" s="36"/>
      <c r="Y354" s="27"/>
      <c r="AA354" s="9"/>
      <c r="AB354" s="72"/>
    </row>
    <row r="355" spans="6:28">
      <c r="F355" s="48"/>
      <c r="G355" s="32"/>
      <c r="H355" s="68"/>
      <c r="I355" s="36"/>
      <c r="J355" s="27"/>
      <c r="K355" s="27"/>
      <c r="L355" s="27"/>
      <c r="M355" s="27"/>
      <c r="N355" s="27"/>
      <c r="O355" s="64"/>
      <c r="P355" s="64"/>
      <c r="Q355" s="27"/>
      <c r="R355" s="34"/>
      <c r="S355" s="36"/>
      <c r="T355" s="34"/>
      <c r="U355" s="71"/>
      <c r="V355" s="36"/>
      <c r="W355" s="36"/>
      <c r="X355" s="36"/>
      <c r="Y355" s="27"/>
      <c r="AA355" s="9"/>
      <c r="AB355" s="72"/>
    </row>
    <row r="356" spans="6:28">
      <c r="F356" s="48"/>
      <c r="G356" s="32"/>
      <c r="H356" s="68"/>
      <c r="I356" s="36"/>
      <c r="J356" s="27"/>
      <c r="K356" s="27"/>
      <c r="L356" s="27"/>
      <c r="M356" s="27"/>
      <c r="N356" s="27"/>
      <c r="O356" s="64"/>
      <c r="P356" s="64"/>
      <c r="Q356" s="27"/>
      <c r="R356" s="34"/>
      <c r="S356" s="36"/>
      <c r="T356" s="34"/>
      <c r="U356" s="71"/>
      <c r="V356" s="36"/>
      <c r="W356" s="36"/>
      <c r="X356" s="36"/>
      <c r="Y356" s="27"/>
      <c r="AA356" s="9"/>
      <c r="AB356" s="72"/>
    </row>
    <row r="357" spans="6:28">
      <c r="F357" s="48"/>
      <c r="G357" s="32"/>
      <c r="H357" s="68"/>
      <c r="I357" s="36"/>
      <c r="J357" s="27"/>
      <c r="K357" s="27"/>
      <c r="L357" s="27"/>
      <c r="M357" s="27"/>
      <c r="N357" s="27"/>
      <c r="O357" s="64"/>
      <c r="P357" s="64"/>
      <c r="Q357" s="27"/>
      <c r="R357" s="34"/>
      <c r="S357" s="36"/>
      <c r="T357" s="34"/>
      <c r="U357" s="71"/>
      <c r="V357" s="36"/>
      <c r="W357" s="36"/>
      <c r="X357" s="36"/>
      <c r="Y357" s="27"/>
      <c r="AA357" s="9"/>
      <c r="AB357" s="72"/>
    </row>
    <row r="358" spans="6:28">
      <c r="F358" s="48"/>
      <c r="G358" s="32"/>
      <c r="H358" s="68"/>
      <c r="I358" s="36"/>
      <c r="J358" s="27"/>
      <c r="K358" s="27"/>
      <c r="L358" s="27"/>
      <c r="M358" s="27"/>
      <c r="N358" s="27"/>
      <c r="O358" s="64"/>
      <c r="P358" s="64"/>
      <c r="Q358" s="27"/>
      <c r="R358" s="34"/>
      <c r="S358" s="36"/>
      <c r="T358" s="34"/>
      <c r="U358" s="71"/>
      <c r="V358" s="36"/>
      <c r="W358" s="36"/>
      <c r="X358" s="36"/>
      <c r="Y358" s="27"/>
      <c r="AA358" s="9"/>
      <c r="AB358" s="72"/>
    </row>
    <row r="359" spans="6:28">
      <c r="F359" s="48"/>
      <c r="G359" s="32"/>
      <c r="H359" s="68"/>
      <c r="I359" s="36"/>
      <c r="J359" s="27"/>
      <c r="K359" s="27"/>
      <c r="L359" s="27"/>
      <c r="M359" s="27"/>
      <c r="N359" s="27"/>
      <c r="O359" s="64"/>
      <c r="P359" s="64"/>
      <c r="Q359" s="27"/>
      <c r="R359" s="34"/>
      <c r="S359" s="36"/>
      <c r="T359" s="34"/>
      <c r="U359" s="71"/>
      <c r="V359" s="36"/>
      <c r="W359" s="36"/>
      <c r="X359" s="36"/>
      <c r="Y359" s="27"/>
      <c r="AA359" s="9"/>
      <c r="AB359" s="72"/>
    </row>
    <row r="360" spans="6:28">
      <c r="F360" s="48"/>
      <c r="G360" s="32"/>
      <c r="H360" s="68"/>
      <c r="I360" s="36"/>
      <c r="J360" s="27"/>
      <c r="K360" s="27"/>
      <c r="L360" s="27"/>
      <c r="M360" s="27"/>
      <c r="N360" s="27"/>
      <c r="O360" s="64"/>
      <c r="P360" s="64"/>
      <c r="Q360" s="27"/>
      <c r="R360" s="34"/>
      <c r="S360" s="36"/>
      <c r="T360" s="34"/>
      <c r="U360" s="71"/>
      <c r="V360" s="36"/>
      <c r="W360" s="36"/>
      <c r="X360" s="36"/>
      <c r="Y360" s="27"/>
      <c r="AA360" s="9"/>
      <c r="AB360" s="72"/>
    </row>
    <row r="361" spans="6:28">
      <c r="F361" s="48"/>
      <c r="G361" s="32"/>
      <c r="H361" s="68"/>
      <c r="I361" s="36"/>
      <c r="J361" s="27"/>
      <c r="K361" s="27"/>
      <c r="L361" s="27"/>
      <c r="M361" s="27"/>
      <c r="N361" s="27"/>
      <c r="O361" s="64"/>
      <c r="P361" s="64"/>
      <c r="Q361" s="27"/>
      <c r="R361" s="34"/>
      <c r="S361" s="36"/>
      <c r="T361" s="34"/>
      <c r="U361" s="71"/>
      <c r="V361" s="36"/>
      <c r="W361" s="36"/>
      <c r="X361" s="36"/>
      <c r="Y361" s="27"/>
      <c r="AA361" s="9"/>
      <c r="AB361" s="72"/>
    </row>
    <row r="362" spans="6:28">
      <c r="F362" s="48"/>
      <c r="G362" s="32"/>
      <c r="H362" s="68"/>
      <c r="I362" s="36"/>
      <c r="J362" s="27"/>
      <c r="K362" s="27"/>
      <c r="L362" s="27"/>
      <c r="M362" s="27"/>
      <c r="N362" s="27"/>
      <c r="O362" s="64"/>
      <c r="P362" s="64"/>
      <c r="Q362" s="27"/>
      <c r="R362" s="34"/>
      <c r="S362" s="36"/>
      <c r="T362" s="34"/>
      <c r="U362" s="71"/>
      <c r="V362" s="36"/>
      <c r="W362" s="36"/>
      <c r="X362" s="36"/>
      <c r="Y362" s="27"/>
      <c r="AA362" s="9"/>
      <c r="AB362" s="72"/>
    </row>
    <row r="363" spans="6:28">
      <c r="F363" s="48"/>
      <c r="G363" s="32"/>
      <c r="H363" s="68"/>
      <c r="I363" s="36"/>
      <c r="J363" s="27"/>
      <c r="K363" s="27"/>
      <c r="L363" s="27"/>
      <c r="M363" s="27"/>
      <c r="N363" s="27"/>
      <c r="O363" s="64"/>
      <c r="P363" s="64"/>
      <c r="Q363" s="27"/>
      <c r="R363" s="34"/>
      <c r="S363" s="36"/>
      <c r="T363" s="34"/>
      <c r="U363" s="71"/>
      <c r="V363" s="36"/>
      <c r="W363" s="36"/>
      <c r="X363" s="36"/>
      <c r="Y363" s="27"/>
      <c r="AA363" s="9"/>
      <c r="AB363" s="72"/>
    </row>
    <row r="364" spans="6:28">
      <c r="F364" s="48"/>
      <c r="G364" s="32"/>
      <c r="H364" s="68"/>
      <c r="I364" s="36"/>
      <c r="J364" s="27"/>
      <c r="K364" s="27"/>
      <c r="L364" s="27"/>
      <c r="M364" s="27"/>
      <c r="N364" s="27"/>
      <c r="O364" s="64"/>
      <c r="P364" s="64"/>
      <c r="Q364" s="27"/>
      <c r="R364" s="34"/>
      <c r="S364" s="36"/>
      <c r="T364" s="34"/>
      <c r="U364" s="71"/>
      <c r="V364" s="36"/>
      <c r="W364" s="36"/>
      <c r="X364" s="36"/>
      <c r="Y364" s="27"/>
      <c r="AA364" s="9"/>
      <c r="AB364" s="72"/>
    </row>
    <row r="365" spans="6:28">
      <c r="F365" s="48"/>
      <c r="G365" s="32"/>
      <c r="H365" s="68"/>
      <c r="I365" s="36"/>
      <c r="J365" s="27"/>
      <c r="K365" s="27"/>
      <c r="L365" s="27"/>
      <c r="M365" s="27"/>
      <c r="N365" s="27"/>
      <c r="O365" s="64"/>
      <c r="P365" s="64"/>
      <c r="Q365" s="27"/>
      <c r="R365" s="34"/>
      <c r="S365" s="36"/>
      <c r="T365" s="34"/>
      <c r="U365" s="71"/>
      <c r="V365" s="36"/>
      <c r="W365" s="36"/>
      <c r="X365" s="36"/>
      <c r="Y365" s="27"/>
      <c r="AA365" s="9"/>
      <c r="AB365" s="72"/>
    </row>
    <row r="366" spans="6:28">
      <c r="F366" s="48"/>
      <c r="G366" s="32"/>
      <c r="H366" s="68"/>
      <c r="I366" s="36"/>
      <c r="J366" s="27"/>
      <c r="K366" s="27"/>
      <c r="L366" s="27"/>
      <c r="M366" s="27"/>
      <c r="N366" s="27"/>
      <c r="O366" s="64"/>
      <c r="P366" s="64"/>
      <c r="Q366" s="27"/>
      <c r="R366" s="34"/>
      <c r="S366" s="36"/>
      <c r="T366" s="34"/>
      <c r="U366" s="71"/>
      <c r="V366" s="36"/>
      <c r="W366" s="36"/>
      <c r="X366" s="36"/>
      <c r="Y366" s="27"/>
      <c r="AA366" s="9"/>
      <c r="AB366" s="72"/>
    </row>
    <row r="367" spans="6:28">
      <c r="F367" s="48"/>
      <c r="G367" s="32"/>
      <c r="H367" s="68"/>
      <c r="I367" s="36"/>
      <c r="J367" s="27"/>
      <c r="K367" s="27"/>
      <c r="L367" s="27"/>
      <c r="M367" s="27"/>
      <c r="N367" s="27"/>
      <c r="O367" s="64"/>
      <c r="P367" s="64"/>
      <c r="Q367" s="27"/>
      <c r="R367" s="34"/>
      <c r="S367" s="36"/>
      <c r="T367" s="34"/>
      <c r="U367" s="71"/>
      <c r="V367" s="36"/>
      <c r="W367" s="36"/>
      <c r="X367" s="36"/>
      <c r="Y367" s="27"/>
      <c r="AA367" s="9"/>
      <c r="AB367" s="72"/>
    </row>
    <row r="368" spans="6:28">
      <c r="F368" s="48"/>
      <c r="G368" s="32"/>
      <c r="H368" s="68"/>
      <c r="I368" s="36"/>
      <c r="J368" s="27"/>
      <c r="K368" s="27"/>
      <c r="L368" s="27"/>
      <c r="M368" s="27"/>
      <c r="N368" s="27"/>
      <c r="O368" s="64"/>
      <c r="P368" s="64"/>
      <c r="Q368" s="27"/>
      <c r="R368" s="34"/>
      <c r="S368" s="36"/>
      <c r="T368" s="34"/>
      <c r="U368" s="71"/>
      <c r="V368" s="36"/>
      <c r="W368" s="36"/>
      <c r="X368" s="36"/>
      <c r="Y368" s="27"/>
      <c r="AA368" s="9"/>
      <c r="AB368" s="72"/>
    </row>
    <row r="369" spans="6:28">
      <c r="F369" s="48"/>
      <c r="G369" s="32"/>
      <c r="H369" s="68"/>
      <c r="I369" s="36"/>
      <c r="J369" s="27"/>
      <c r="K369" s="27"/>
      <c r="L369" s="27"/>
      <c r="M369" s="27"/>
      <c r="N369" s="27"/>
      <c r="O369" s="64"/>
      <c r="P369" s="64"/>
      <c r="Q369" s="27"/>
      <c r="R369" s="34"/>
      <c r="S369" s="36"/>
      <c r="T369" s="34"/>
      <c r="U369" s="71"/>
      <c r="V369" s="36"/>
      <c r="W369" s="36"/>
      <c r="X369" s="36"/>
      <c r="Y369" s="27"/>
      <c r="AA369" s="9"/>
      <c r="AB369" s="72"/>
    </row>
    <row r="370" spans="6:28">
      <c r="F370" s="48"/>
      <c r="G370" s="32"/>
      <c r="H370" s="68"/>
      <c r="I370" s="36"/>
      <c r="J370" s="27"/>
      <c r="K370" s="27"/>
      <c r="L370" s="27"/>
      <c r="M370" s="27"/>
      <c r="N370" s="27"/>
      <c r="O370" s="64"/>
      <c r="P370" s="64"/>
      <c r="Q370" s="27"/>
      <c r="R370" s="34"/>
      <c r="S370" s="36"/>
      <c r="T370" s="34"/>
      <c r="U370" s="71"/>
      <c r="V370" s="36"/>
      <c r="W370" s="36"/>
      <c r="X370" s="36"/>
      <c r="Y370" s="27"/>
      <c r="AA370" s="9"/>
      <c r="AB370" s="72"/>
    </row>
    <row r="371" spans="6:28">
      <c r="F371" s="48"/>
      <c r="G371" s="32"/>
      <c r="H371" s="68"/>
      <c r="I371" s="36"/>
      <c r="J371" s="27"/>
      <c r="K371" s="27"/>
      <c r="L371" s="27"/>
      <c r="M371" s="27"/>
      <c r="N371" s="27"/>
      <c r="O371" s="64"/>
      <c r="P371" s="64"/>
      <c r="Q371" s="27"/>
      <c r="R371" s="34"/>
      <c r="S371" s="36"/>
      <c r="T371" s="34"/>
      <c r="U371" s="71"/>
      <c r="V371" s="36"/>
      <c r="W371" s="36"/>
      <c r="X371" s="36"/>
      <c r="Y371" s="27"/>
      <c r="AA371" s="9"/>
      <c r="AB371" s="72"/>
    </row>
    <row r="372" spans="6:28">
      <c r="F372" s="48"/>
      <c r="G372" s="32"/>
      <c r="H372" s="68"/>
      <c r="I372" s="36"/>
      <c r="J372" s="27"/>
      <c r="K372" s="27"/>
      <c r="L372" s="27"/>
      <c r="M372" s="27"/>
      <c r="N372" s="27"/>
      <c r="O372" s="64"/>
      <c r="P372" s="64"/>
      <c r="Q372" s="27"/>
      <c r="R372" s="34"/>
      <c r="S372" s="36"/>
      <c r="T372" s="34"/>
      <c r="U372" s="71"/>
      <c r="V372" s="36"/>
      <c r="W372" s="36"/>
      <c r="X372" s="36"/>
      <c r="Y372" s="27"/>
      <c r="AA372" s="9"/>
      <c r="AB372" s="72"/>
    </row>
    <row r="373" spans="6:28">
      <c r="F373" s="48"/>
      <c r="G373" s="32"/>
      <c r="H373" s="68"/>
      <c r="I373" s="36"/>
      <c r="J373" s="27"/>
      <c r="K373" s="27"/>
      <c r="L373" s="27"/>
      <c r="M373" s="27"/>
      <c r="N373" s="27"/>
      <c r="O373" s="64"/>
      <c r="P373" s="64"/>
      <c r="Q373" s="27"/>
      <c r="R373" s="34"/>
      <c r="S373" s="36"/>
      <c r="T373" s="34"/>
      <c r="U373" s="71"/>
      <c r="V373" s="36"/>
      <c r="W373" s="36"/>
      <c r="X373" s="36"/>
      <c r="Y373" s="27"/>
      <c r="AA373" s="9"/>
      <c r="AB373" s="72"/>
    </row>
    <row r="374" spans="6:28">
      <c r="F374" s="48"/>
      <c r="G374" s="32"/>
      <c r="H374" s="68"/>
      <c r="I374" s="36"/>
      <c r="J374" s="27"/>
      <c r="K374" s="27"/>
      <c r="L374" s="27"/>
      <c r="M374" s="27"/>
      <c r="N374" s="27"/>
      <c r="O374" s="64"/>
      <c r="P374" s="64"/>
      <c r="Q374" s="27"/>
      <c r="R374" s="34"/>
      <c r="S374" s="36"/>
      <c r="T374" s="34"/>
      <c r="U374" s="71"/>
      <c r="V374" s="36"/>
      <c r="W374" s="36"/>
      <c r="X374" s="36"/>
      <c r="Y374" s="27"/>
      <c r="AA374" s="9"/>
      <c r="AB374" s="72"/>
    </row>
    <row r="375" spans="6:28">
      <c r="F375" s="48"/>
      <c r="G375" s="32"/>
      <c r="H375" s="68"/>
      <c r="I375" s="36"/>
      <c r="J375" s="27"/>
      <c r="K375" s="27"/>
      <c r="L375" s="27"/>
      <c r="M375" s="27"/>
      <c r="N375" s="27"/>
      <c r="O375" s="64"/>
      <c r="P375" s="64"/>
      <c r="Q375" s="27"/>
      <c r="R375" s="34"/>
      <c r="S375" s="36"/>
      <c r="T375" s="34"/>
      <c r="U375" s="71"/>
      <c r="V375" s="36"/>
      <c r="W375" s="36"/>
      <c r="X375" s="36"/>
      <c r="Y375" s="27"/>
      <c r="AA375" s="9"/>
      <c r="AB375" s="72"/>
    </row>
    <row r="376" spans="6:28">
      <c r="F376" s="48"/>
      <c r="G376" s="32"/>
      <c r="H376" s="68"/>
      <c r="I376" s="36"/>
      <c r="J376" s="27"/>
      <c r="K376" s="27"/>
      <c r="L376" s="27"/>
      <c r="M376" s="27"/>
      <c r="N376" s="27"/>
      <c r="O376" s="64"/>
      <c r="P376" s="64"/>
      <c r="Q376" s="27"/>
      <c r="R376" s="34"/>
      <c r="S376" s="36"/>
      <c r="T376" s="34"/>
      <c r="U376" s="71"/>
      <c r="V376" s="36"/>
      <c r="W376" s="36"/>
      <c r="X376" s="36"/>
      <c r="Y376" s="27"/>
      <c r="AA376" s="9"/>
      <c r="AB376" s="72"/>
    </row>
    <row r="377" spans="6:28">
      <c r="F377" s="48"/>
      <c r="G377" s="32"/>
      <c r="H377" s="68"/>
      <c r="I377" s="36"/>
      <c r="J377" s="27"/>
      <c r="K377" s="27"/>
      <c r="L377" s="27"/>
      <c r="M377" s="27"/>
      <c r="N377" s="27"/>
      <c r="O377" s="64"/>
      <c r="P377" s="64"/>
      <c r="Q377" s="27"/>
      <c r="R377" s="34"/>
      <c r="S377" s="36"/>
      <c r="T377" s="34"/>
      <c r="U377" s="71"/>
      <c r="V377" s="36"/>
      <c r="W377" s="36"/>
      <c r="X377" s="36"/>
      <c r="Y377" s="27"/>
      <c r="AA377" s="9"/>
      <c r="AB377" s="72"/>
    </row>
    <row r="378" spans="6:28">
      <c r="F378" s="48"/>
      <c r="G378" s="32"/>
      <c r="H378" s="68"/>
      <c r="I378" s="36"/>
      <c r="J378" s="27"/>
      <c r="K378" s="27"/>
      <c r="L378" s="27"/>
      <c r="M378" s="27"/>
      <c r="N378" s="27"/>
      <c r="O378" s="64"/>
      <c r="P378" s="64"/>
      <c r="Q378" s="27"/>
      <c r="R378" s="34"/>
      <c r="S378" s="36"/>
      <c r="T378" s="34"/>
      <c r="U378" s="71"/>
      <c r="V378" s="36"/>
      <c r="W378" s="36"/>
      <c r="X378" s="36"/>
      <c r="Y378" s="27"/>
      <c r="AA378" s="9"/>
      <c r="AB378" s="72"/>
    </row>
    <row r="379" spans="6:28">
      <c r="F379" s="48"/>
      <c r="G379" s="32"/>
      <c r="H379" s="68"/>
      <c r="I379" s="36"/>
      <c r="J379" s="27"/>
      <c r="K379" s="27"/>
      <c r="L379" s="27"/>
      <c r="M379" s="27"/>
      <c r="N379" s="27"/>
      <c r="O379" s="64"/>
      <c r="P379" s="64"/>
      <c r="Q379" s="27"/>
      <c r="R379" s="34"/>
      <c r="S379" s="36"/>
      <c r="T379" s="34"/>
      <c r="U379" s="71"/>
      <c r="V379" s="36"/>
      <c r="W379" s="36"/>
      <c r="X379" s="36"/>
      <c r="Y379" s="27"/>
      <c r="AA379" s="9"/>
      <c r="AB379" s="72"/>
    </row>
    <row r="380" spans="6:28">
      <c r="F380" s="48"/>
      <c r="G380" s="32"/>
      <c r="H380" s="68"/>
      <c r="I380" s="36"/>
      <c r="J380" s="27"/>
      <c r="K380" s="27"/>
      <c r="L380" s="27"/>
      <c r="M380" s="27"/>
      <c r="N380" s="27"/>
      <c r="O380" s="64"/>
      <c r="P380" s="64"/>
      <c r="Q380" s="27"/>
      <c r="R380" s="34"/>
      <c r="S380" s="36"/>
      <c r="T380" s="34"/>
      <c r="U380" s="71"/>
      <c r="V380" s="36"/>
      <c r="W380" s="36"/>
      <c r="X380" s="36"/>
      <c r="Y380" s="27"/>
      <c r="AA380" s="9"/>
      <c r="AB380" s="72"/>
    </row>
    <row r="381" spans="6:28">
      <c r="F381" s="48"/>
      <c r="G381" s="32"/>
      <c r="H381" s="68"/>
      <c r="I381" s="36"/>
      <c r="J381" s="27"/>
      <c r="K381" s="27"/>
      <c r="L381" s="27"/>
      <c r="M381" s="27"/>
      <c r="N381" s="27"/>
      <c r="O381" s="64"/>
      <c r="P381" s="64"/>
      <c r="Q381" s="27"/>
      <c r="R381" s="34"/>
      <c r="S381" s="36"/>
      <c r="T381" s="34"/>
      <c r="U381" s="71"/>
      <c r="V381" s="36"/>
      <c r="W381" s="36"/>
      <c r="X381" s="36"/>
      <c r="Y381" s="27"/>
      <c r="AA381" s="9"/>
      <c r="AB381" s="72"/>
    </row>
    <row r="382" spans="6:28">
      <c r="F382" s="48"/>
      <c r="G382" s="32"/>
      <c r="H382" s="68"/>
      <c r="I382" s="36"/>
      <c r="J382" s="27"/>
      <c r="K382" s="27"/>
      <c r="L382" s="27"/>
      <c r="M382" s="27"/>
      <c r="N382" s="27"/>
      <c r="O382" s="64"/>
      <c r="P382" s="64"/>
      <c r="Q382" s="27"/>
      <c r="R382" s="34"/>
      <c r="S382" s="36"/>
      <c r="T382" s="34"/>
      <c r="U382" s="71"/>
      <c r="V382" s="36"/>
      <c r="W382" s="36"/>
      <c r="X382" s="36"/>
      <c r="Y382" s="27"/>
      <c r="AA382" s="9"/>
      <c r="AB382" s="72"/>
    </row>
    <row r="383" spans="6:28">
      <c r="F383" s="48"/>
      <c r="G383" s="32"/>
      <c r="H383" s="68"/>
      <c r="I383" s="36"/>
      <c r="J383" s="27"/>
      <c r="K383" s="27"/>
      <c r="L383" s="27"/>
      <c r="M383" s="27"/>
      <c r="N383" s="27"/>
      <c r="O383" s="64"/>
      <c r="P383" s="64"/>
      <c r="Q383" s="27"/>
      <c r="R383" s="34"/>
      <c r="S383" s="36"/>
      <c r="T383" s="34"/>
      <c r="U383" s="71"/>
      <c r="V383" s="36"/>
      <c r="W383" s="36"/>
      <c r="X383" s="36"/>
      <c r="Y383" s="27"/>
      <c r="AA383" s="9"/>
      <c r="AB383" s="72"/>
    </row>
    <row r="384" spans="6:28">
      <c r="F384" s="48"/>
      <c r="G384" s="32"/>
      <c r="H384" s="68"/>
      <c r="I384" s="36"/>
      <c r="J384" s="27"/>
      <c r="K384" s="27"/>
      <c r="L384" s="27"/>
      <c r="M384" s="27"/>
      <c r="N384" s="27"/>
      <c r="O384" s="64"/>
      <c r="P384" s="64"/>
      <c r="Q384" s="27"/>
      <c r="R384" s="34"/>
      <c r="S384" s="36"/>
      <c r="T384" s="34"/>
      <c r="U384" s="71"/>
      <c r="V384" s="36"/>
      <c r="W384" s="36"/>
      <c r="X384" s="36"/>
      <c r="Y384" s="27"/>
      <c r="AA384" s="9"/>
      <c r="AB384" s="72"/>
    </row>
    <row r="385" spans="6:28">
      <c r="F385" s="48"/>
      <c r="G385" s="32"/>
      <c r="H385" s="68"/>
      <c r="I385" s="36"/>
      <c r="J385" s="27"/>
      <c r="K385" s="27"/>
      <c r="L385" s="27"/>
      <c r="M385" s="27"/>
      <c r="N385" s="27"/>
      <c r="O385" s="64"/>
      <c r="P385" s="64"/>
      <c r="Q385" s="27"/>
      <c r="R385" s="34"/>
      <c r="S385" s="36"/>
      <c r="T385" s="34"/>
      <c r="U385" s="71"/>
      <c r="V385" s="36"/>
      <c r="W385" s="36"/>
      <c r="X385" s="36"/>
      <c r="Y385" s="27"/>
      <c r="AA385" s="9"/>
      <c r="AB385" s="72"/>
    </row>
    <row r="386" spans="6:28">
      <c r="F386" s="48"/>
      <c r="G386" s="32"/>
      <c r="H386" s="68"/>
      <c r="I386" s="36"/>
      <c r="J386" s="27"/>
      <c r="K386" s="27"/>
      <c r="L386" s="27"/>
      <c r="M386" s="27"/>
      <c r="N386" s="27"/>
      <c r="O386" s="64"/>
      <c r="P386" s="64"/>
      <c r="Q386" s="27"/>
      <c r="R386" s="34"/>
      <c r="S386" s="36"/>
      <c r="T386" s="34"/>
      <c r="U386" s="71"/>
      <c r="V386" s="36"/>
      <c r="W386" s="36"/>
      <c r="X386" s="36"/>
      <c r="Y386" s="27"/>
      <c r="AA386" s="9"/>
      <c r="AB386" s="72"/>
    </row>
    <row r="387" spans="6:28">
      <c r="F387" s="48"/>
      <c r="G387" s="32"/>
      <c r="H387" s="68"/>
      <c r="I387" s="36"/>
      <c r="J387" s="27"/>
      <c r="K387" s="27"/>
      <c r="L387" s="27"/>
      <c r="M387" s="27"/>
      <c r="N387" s="27"/>
      <c r="O387" s="64"/>
      <c r="P387" s="64"/>
      <c r="Q387" s="27"/>
      <c r="R387" s="34"/>
      <c r="S387" s="36"/>
      <c r="T387" s="34"/>
      <c r="U387" s="71"/>
      <c r="V387" s="36"/>
      <c r="W387" s="36"/>
      <c r="X387" s="36"/>
      <c r="Y387" s="27"/>
      <c r="AA387" s="9"/>
      <c r="AB387" s="72"/>
    </row>
    <row r="388" spans="6:28">
      <c r="F388" s="48"/>
      <c r="G388" s="32"/>
      <c r="H388" s="68"/>
      <c r="I388" s="36"/>
      <c r="J388" s="27"/>
      <c r="K388" s="27"/>
      <c r="L388" s="27"/>
      <c r="M388" s="27"/>
      <c r="N388" s="27"/>
      <c r="O388" s="64"/>
      <c r="P388" s="64"/>
      <c r="Q388" s="27"/>
      <c r="R388" s="34"/>
      <c r="S388" s="36"/>
      <c r="T388" s="34"/>
      <c r="U388" s="71"/>
      <c r="V388" s="36"/>
      <c r="W388" s="36"/>
      <c r="X388" s="36"/>
      <c r="Y388" s="27"/>
      <c r="AA388" s="9"/>
      <c r="AB388" s="72"/>
    </row>
    <row r="389" spans="6:28">
      <c r="F389" s="48"/>
      <c r="G389" s="32"/>
      <c r="H389" s="68"/>
      <c r="I389" s="36"/>
      <c r="J389" s="27"/>
      <c r="K389" s="27"/>
      <c r="L389" s="27"/>
      <c r="M389" s="27"/>
      <c r="N389" s="27"/>
      <c r="O389" s="64"/>
      <c r="P389" s="64"/>
      <c r="Q389" s="27"/>
      <c r="R389" s="34"/>
      <c r="S389" s="36"/>
      <c r="T389" s="34"/>
      <c r="U389" s="71"/>
      <c r="V389" s="36"/>
      <c r="W389" s="36"/>
      <c r="X389" s="36"/>
      <c r="Y389" s="27"/>
      <c r="AA389" s="9"/>
      <c r="AB389" s="72"/>
    </row>
    <row r="390" spans="6:28">
      <c r="F390" s="48"/>
      <c r="G390" s="32"/>
      <c r="H390" s="68"/>
      <c r="I390" s="36"/>
      <c r="J390" s="27"/>
      <c r="K390" s="27"/>
      <c r="L390" s="27"/>
      <c r="M390" s="27"/>
      <c r="N390" s="27"/>
      <c r="O390" s="64"/>
      <c r="P390" s="64"/>
      <c r="Q390" s="27"/>
      <c r="R390" s="34"/>
      <c r="S390" s="36"/>
      <c r="T390" s="34"/>
      <c r="U390" s="71"/>
      <c r="V390" s="36"/>
      <c r="W390" s="36"/>
      <c r="X390" s="36"/>
      <c r="Y390" s="27"/>
      <c r="AA390" s="9"/>
      <c r="AB390" s="72"/>
    </row>
    <row r="391" spans="6:28">
      <c r="F391" s="48"/>
      <c r="G391" s="32"/>
      <c r="H391" s="68"/>
      <c r="I391" s="36"/>
      <c r="J391" s="27"/>
      <c r="K391" s="27"/>
      <c r="L391" s="27"/>
      <c r="M391" s="27"/>
      <c r="N391" s="27"/>
      <c r="O391" s="64"/>
      <c r="P391" s="64"/>
      <c r="Q391" s="27"/>
      <c r="R391" s="34"/>
      <c r="S391" s="36"/>
      <c r="T391" s="34"/>
      <c r="U391" s="71"/>
      <c r="V391" s="36"/>
      <c r="W391" s="36"/>
      <c r="X391" s="36"/>
      <c r="Y391" s="27"/>
      <c r="AA391" s="9"/>
      <c r="AB391" s="72"/>
    </row>
    <row r="392" spans="6:28">
      <c r="F392" s="48"/>
      <c r="G392" s="32"/>
      <c r="H392" s="68"/>
      <c r="I392" s="36"/>
      <c r="J392" s="27"/>
      <c r="K392" s="27"/>
      <c r="L392" s="27"/>
      <c r="M392" s="27"/>
      <c r="N392" s="27"/>
      <c r="O392" s="64"/>
      <c r="P392" s="64"/>
      <c r="Q392" s="27"/>
      <c r="R392" s="34"/>
      <c r="S392" s="36"/>
      <c r="T392" s="34"/>
      <c r="U392" s="71"/>
      <c r="V392" s="36"/>
      <c r="W392" s="36"/>
      <c r="X392" s="36"/>
      <c r="Y392" s="27"/>
      <c r="AA392" s="9"/>
      <c r="AB392" s="72"/>
    </row>
    <row r="393" spans="6:28">
      <c r="F393" s="48"/>
      <c r="G393" s="32"/>
      <c r="H393" s="68"/>
      <c r="I393" s="36"/>
      <c r="J393" s="27"/>
      <c r="K393" s="27"/>
      <c r="L393" s="27"/>
      <c r="M393" s="27"/>
      <c r="N393" s="27"/>
      <c r="O393" s="64"/>
      <c r="P393" s="64"/>
      <c r="Q393" s="27"/>
      <c r="R393" s="34"/>
      <c r="S393" s="36"/>
      <c r="T393" s="34"/>
      <c r="U393" s="71"/>
      <c r="V393" s="36"/>
      <c r="W393" s="36"/>
      <c r="X393" s="36"/>
      <c r="Y393" s="27"/>
      <c r="AA393" s="9"/>
      <c r="AB393" s="72"/>
    </row>
    <row r="394" spans="6:28">
      <c r="F394" s="48"/>
      <c r="G394" s="32"/>
      <c r="H394" s="68"/>
      <c r="I394" s="36"/>
      <c r="J394" s="27"/>
      <c r="K394" s="27"/>
      <c r="L394" s="27"/>
      <c r="M394" s="27"/>
      <c r="N394" s="27"/>
      <c r="O394" s="64"/>
      <c r="P394" s="64"/>
      <c r="Q394" s="27"/>
      <c r="R394" s="34"/>
      <c r="S394" s="36"/>
      <c r="T394" s="34"/>
      <c r="U394" s="71"/>
      <c r="V394" s="36"/>
      <c r="W394" s="36"/>
      <c r="X394" s="36"/>
      <c r="Y394" s="27"/>
      <c r="AA394" s="9"/>
      <c r="AB394" s="72"/>
    </row>
    <row r="395" spans="6:28">
      <c r="F395" s="48"/>
      <c r="G395" s="32"/>
      <c r="H395" s="68"/>
      <c r="I395" s="36"/>
      <c r="J395" s="27"/>
      <c r="K395" s="27"/>
      <c r="L395" s="27"/>
      <c r="M395" s="27"/>
      <c r="N395" s="27"/>
      <c r="O395" s="64"/>
      <c r="P395" s="64"/>
      <c r="Q395" s="27"/>
      <c r="R395" s="34"/>
      <c r="S395" s="36"/>
      <c r="T395" s="34"/>
      <c r="U395" s="71"/>
      <c r="V395" s="36"/>
      <c r="W395" s="36"/>
      <c r="X395" s="36"/>
      <c r="Y395" s="27"/>
      <c r="AA395" s="9"/>
      <c r="AB395" s="72"/>
    </row>
    <row r="396" spans="6:28">
      <c r="F396" s="48"/>
      <c r="G396" s="32"/>
      <c r="H396" s="68"/>
      <c r="I396" s="36"/>
      <c r="J396" s="27"/>
      <c r="K396" s="27"/>
      <c r="L396" s="27"/>
      <c r="M396" s="27"/>
      <c r="N396" s="27"/>
      <c r="O396" s="64"/>
      <c r="P396" s="64"/>
      <c r="Q396" s="27"/>
      <c r="R396" s="34"/>
      <c r="S396" s="36"/>
      <c r="T396" s="34"/>
      <c r="U396" s="71"/>
      <c r="V396" s="36"/>
      <c r="W396" s="36"/>
      <c r="X396" s="36"/>
      <c r="Y396" s="27"/>
      <c r="AA396" s="9"/>
      <c r="AB396" s="72"/>
    </row>
    <row r="397" spans="6:28">
      <c r="F397" s="48"/>
      <c r="G397" s="32"/>
      <c r="H397" s="68"/>
      <c r="I397" s="36"/>
      <c r="J397" s="27"/>
      <c r="K397" s="27"/>
      <c r="L397" s="27"/>
      <c r="M397" s="27"/>
      <c r="N397" s="27"/>
      <c r="O397" s="64"/>
      <c r="P397" s="64"/>
      <c r="Q397" s="27"/>
      <c r="R397" s="34"/>
      <c r="S397" s="36"/>
      <c r="T397" s="34"/>
      <c r="U397" s="71"/>
      <c r="V397" s="36"/>
      <c r="W397" s="36"/>
      <c r="X397" s="36"/>
      <c r="Y397" s="27"/>
      <c r="AA397" s="9"/>
      <c r="AB397" s="72"/>
    </row>
    <row r="398" spans="6:28">
      <c r="F398" s="48"/>
      <c r="G398" s="32"/>
      <c r="H398" s="68"/>
      <c r="I398" s="36"/>
      <c r="J398" s="27"/>
      <c r="K398" s="27"/>
      <c r="L398" s="27"/>
      <c r="M398" s="27"/>
      <c r="N398" s="27"/>
      <c r="O398" s="64"/>
      <c r="P398" s="64"/>
      <c r="Q398" s="27"/>
      <c r="R398" s="34"/>
      <c r="S398" s="36"/>
      <c r="T398" s="34"/>
      <c r="U398" s="71"/>
      <c r="V398" s="36"/>
      <c r="W398" s="36"/>
      <c r="X398" s="36"/>
      <c r="Y398" s="27"/>
      <c r="AA398" s="9"/>
      <c r="AB398" s="72"/>
    </row>
    <row r="399" spans="6:28">
      <c r="F399" s="48"/>
      <c r="G399" s="32"/>
      <c r="H399" s="68"/>
      <c r="I399" s="36"/>
      <c r="J399" s="27"/>
      <c r="K399" s="27"/>
      <c r="L399" s="27"/>
      <c r="M399" s="27"/>
      <c r="N399" s="27"/>
      <c r="O399" s="64"/>
      <c r="P399" s="64"/>
      <c r="Q399" s="27"/>
      <c r="R399" s="34"/>
      <c r="S399" s="36"/>
      <c r="T399" s="34"/>
      <c r="U399" s="71"/>
      <c r="V399" s="36"/>
      <c r="W399" s="36"/>
      <c r="X399" s="36"/>
      <c r="Y399" s="27"/>
      <c r="AA399" s="9"/>
      <c r="AB399" s="72"/>
    </row>
    <row r="400" spans="6:28">
      <c r="F400" s="48"/>
      <c r="G400" s="32"/>
      <c r="H400" s="68"/>
      <c r="I400" s="36"/>
      <c r="J400" s="27"/>
      <c r="K400" s="27"/>
      <c r="L400" s="27"/>
      <c r="M400" s="27"/>
      <c r="N400" s="27"/>
      <c r="O400" s="64"/>
      <c r="P400" s="64"/>
      <c r="Q400" s="27"/>
      <c r="R400" s="34"/>
      <c r="S400" s="36"/>
      <c r="T400" s="34"/>
      <c r="U400" s="71"/>
      <c r="V400" s="36"/>
      <c r="W400" s="36"/>
      <c r="X400" s="36"/>
      <c r="Y400" s="27"/>
      <c r="AA400" s="9"/>
      <c r="AB400" s="72"/>
    </row>
    <row r="401" spans="6:28">
      <c r="F401" s="48"/>
      <c r="G401" s="32"/>
      <c r="H401" s="68"/>
      <c r="I401" s="36"/>
      <c r="J401" s="27"/>
      <c r="K401" s="27"/>
      <c r="L401" s="27"/>
      <c r="M401" s="27"/>
      <c r="N401" s="27"/>
      <c r="O401" s="64"/>
      <c r="P401" s="64"/>
      <c r="Q401" s="27"/>
      <c r="R401" s="34"/>
      <c r="S401" s="36"/>
      <c r="T401" s="34"/>
      <c r="U401" s="71"/>
      <c r="V401" s="36"/>
      <c r="W401" s="36"/>
      <c r="X401" s="36"/>
      <c r="Y401" s="27"/>
      <c r="AA401" s="9"/>
      <c r="AB401" s="72"/>
    </row>
    <row r="402" spans="6:28">
      <c r="F402" s="48"/>
      <c r="G402" s="32"/>
      <c r="H402" s="68"/>
      <c r="I402" s="36"/>
      <c r="J402" s="27"/>
      <c r="K402" s="27"/>
      <c r="L402" s="27"/>
      <c r="M402" s="27"/>
      <c r="N402" s="27"/>
      <c r="O402" s="64"/>
      <c r="P402" s="64"/>
      <c r="Q402" s="27"/>
      <c r="R402" s="34"/>
      <c r="S402" s="36"/>
      <c r="T402" s="34"/>
      <c r="U402" s="71"/>
      <c r="V402" s="36"/>
      <c r="W402" s="36"/>
      <c r="X402" s="36"/>
      <c r="Y402" s="27"/>
      <c r="AA402" s="9"/>
      <c r="AB402" s="72"/>
    </row>
    <row r="403" spans="6:28">
      <c r="F403" s="48"/>
      <c r="G403" s="32"/>
      <c r="H403" s="68"/>
      <c r="I403" s="36"/>
      <c r="J403" s="27"/>
      <c r="K403" s="27"/>
      <c r="L403" s="27"/>
      <c r="M403" s="27"/>
      <c r="N403" s="27"/>
      <c r="O403" s="64"/>
      <c r="P403" s="64"/>
      <c r="Q403" s="27"/>
      <c r="R403" s="34"/>
      <c r="S403" s="36"/>
      <c r="T403" s="34"/>
      <c r="U403" s="71"/>
      <c r="V403" s="36"/>
      <c r="W403" s="36"/>
      <c r="X403" s="36"/>
      <c r="Y403" s="27"/>
      <c r="AA403" s="9"/>
      <c r="AB403" s="72"/>
    </row>
    <row r="404" spans="6:28">
      <c r="F404" s="48"/>
      <c r="G404" s="32"/>
      <c r="H404" s="68"/>
      <c r="I404" s="36"/>
      <c r="J404" s="27"/>
      <c r="K404" s="27"/>
      <c r="L404" s="27"/>
      <c r="M404" s="27"/>
      <c r="N404" s="27"/>
      <c r="O404" s="64"/>
      <c r="P404" s="64"/>
      <c r="Q404" s="27"/>
      <c r="R404" s="34"/>
      <c r="S404" s="36"/>
      <c r="T404" s="34"/>
      <c r="U404" s="71"/>
      <c r="V404" s="36"/>
      <c r="W404" s="36"/>
      <c r="X404" s="36"/>
      <c r="Y404" s="27"/>
      <c r="AA404" s="9"/>
      <c r="AB404" s="72"/>
    </row>
    <row r="405" spans="6:28">
      <c r="F405" s="48"/>
      <c r="G405" s="32"/>
      <c r="H405" s="68"/>
      <c r="I405" s="36"/>
      <c r="J405" s="27"/>
      <c r="K405" s="27"/>
      <c r="L405" s="27"/>
      <c r="M405" s="27"/>
      <c r="N405" s="27"/>
      <c r="O405" s="64"/>
      <c r="P405" s="64"/>
      <c r="Q405" s="27"/>
      <c r="R405" s="34"/>
      <c r="S405" s="36"/>
      <c r="T405" s="34"/>
      <c r="U405" s="71"/>
      <c r="V405" s="36"/>
      <c r="W405" s="36"/>
      <c r="X405" s="36"/>
      <c r="Y405" s="27"/>
      <c r="AA405" s="9"/>
      <c r="AB405" s="72"/>
    </row>
    <row r="406" spans="6:28">
      <c r="F406" s="48"/>
      <c r="G406" s="32"/>
      <c r="H406" s="68"/>
      <c r="I406" s="36"/>
      <c r="J406" s="27"/>
      <c r="K406" s="27"/>
      <c r="L406" s="27"/>
      <c r="M406" s="27"/>
      <c r="N406" s="27"/>
      <c r="O406" s="64"/>
      <c r="P406" s="64"/>
      <c r="Q406" s="27"/>
      <c r="R406" s="34"/>
      <c r="S406" s="36"/>
      <c r="T406" s="34"/>
      <c r="U406" s="71"/>
      <c r="V406" s="36"/>
      <c r="W406" s="36"/>
      <c r="X406" s="36"/>
      <c r="Y406" s="27"/>
      <c r="AA406" s="9"/>
      <c r="AB406" s="72"/>
    </row>
    <row r="407" spans="6:28">
      <c r="F407" s="48"/>
      <c r="G407" s="32"/>
      <c r="H407" s="68"/>
      <c r="I407" s="36"/>
      <c r="J407" s="27"/>
      <c r="K407" s="27"/>
      <c r="L407" s="27"/>
      <c r="M407" s="27"/>
      <c r="N407" s="27"/>
      <c r="O407" s="64"/>
      <c r="P407" s="64"/>
      <c r="Q407" s="27"/>
      <c r="R407" s="34"/>
      <c r="S407" s="36"/>
      <c r="T407" s="34"/>
      <c r="U407" s="71"/>
      <c r="V407" s="36"/>
      <c r="W407" s="36"/>
      <c r="X407" s="36"/>
      <c r="Y407" s="27"/>
      <c r="AA407" s="9"/>
      <c r="AB407" s="72"/>
    </row>
    <row r="408" spans="6:28">
      <c r="F408" s="48"/>
      <c r="G408" s="32"/>
      <c r="H408" s="68"/>
      <c r="I408" s="36"/>
      <c r="J408" s="27"/>
      <c r="K408" s="27"/>
      <c r="L408" s="27"/>
      <c r="M408" s="27"/>
      <c r="N408" s="27"/>
      <c r="O408" s="64"/>
      <c r="P408" s="64"/>
      <c r="Q408" s="27"/>
      <c r="R408" s="34"/>
      <c r="S408" s="36"/>
      <c r="T408" s="34"/>
      <c r="U408" s="71"/>
      <c r="V408" s="36"/>
      <c r="W408" s="36"/>
      <c r="X408" s="36"/>
      <c r="Y408" s="27"/>
      <c r="AA408" s="9"/>
      <c r="AB408" s="72"/>
    </row>
    <row r="409" spans="6:28">
      <c r="F409" s="48"/>
      <c r="G409" s="32"/>
      <c r="H409" s="68"/>
      <c r="I409" s="36"/>
      <c r="J409" s="27"/>
      <c r="K409" s="27"/>
      <c r="L409" s="27"/>
      <c r="M409" s="27"/>
      <c r="N409" s="27"/>
      <c r="O409" s="64"/>
      <c r="P409" s="64"/>
      <c r="Q409" s="27"/>
      <c r="R409" s="34"/>
      <c r="S409" s="36"/>
      <c r="T409" s="34"/>
      <c r="U409" s="71"/>
      <c r="V409" s="36"/>
      <c r="W409" s="36"/>
      <c r="X409" s="36"/>
      <c r="Y409" s="27"/>
      <c r="AA409" s="9"/>
      <c r="AB409" s="72"/>
    </row>
    <row r="410" spans="6:28">
      <c r="F410" s="48"/>
      <c r="G410" s="32"/>
      <c r="H410" s="68"/>
      <c r="I410" s="36"/>
      <c r="J410" s="27"/>
      <c r="K410" s="27"/>
      <c r="L410" s="27"/>
      <c r="M410" s="27"/>
      <c r="N410" s="27"/>
      <c r="O410" s="64"/>
      <c r="P410" s="64"/>
      <c r="Q410" s="27"/>
      <c r="R410" s="34"/>
      <c r="S410" s="36"/>
      <c r="T410" s="34"/>
      <c r="U410" s="71"/>
      <c r="V410" s="36"/>
      <c r="W410" s="36"/>
      <c r="X410" s="36"/>
      <c r="Y410" s="27"/>
      <c r="AA410" s="9"/>
      <c r="AB410" s="72"/>
    </row>
    <row r="411" spans="6:28">
      <c r="F411" s="48"/>
      <c r="G411" s="32"/>
      <c r="H411" s="68"/>
      <c r="I411" s="36"/>
      <c r="J411" s="27"/>
      <c r="K411" s="27"/>
      <c r="L411" s="27"/>
      <c r="M411" s="27"/>
      <c r="N411" s="27"/>
      <c r="O411" s="64"/>
      <c r="P411" s="64"/>
      <c r="Q411" s="27"/>
      <c r="R411" s="34"/>
      <c r="S411" s="36"/>
      <c r="T411" s="34"/>
      <c r="U411" s="71"/>
      <c r="V411" s="36"/>
      <c r="W411" s="36"/>
      <c r="X411" s="36"/>
      <c r="Y411" s="27"/>
      <c r="AA411" s="9"/>
      <c r="AB411" s="72"/>
    </row>
    <row r="412" spans="6:28">
      <c r="F412" s="48"/>
      <c r="G412" s="32"/>
      <c r="H412" s="68"/>
      <c r="I412" s="36"/>
      <c r="J412" s="27"/>
      <c r="K412" s="27"/>
      <c r="L412" s="27"/>
      <c r="M412" s="27"/>
      <c r="N412" s="27"/>
      <c r="O412" s="64"/>
      <c r="P412" s="64"/>
      <c r="Q412" s="27"/>
      <c r="R412" s="34"/>
      <c r="S412" s="36"/>
      <c r="T412" s="34"/>
      <c r="U412" s="71"/>
      <c r="V412" s="36"/>
      <c r="W412" s="36"/>
      <c r="X412" s="36"/>
      <c r="Y412" s="27"/>
      <c r="AA412" s="9"/>
      <c r="AB412" s="72"/>
    </row>
    <row r="413" spans="6:28">
      <c r="F413" s="48"/>
      <c r="G413" s="32"/>
      <c r="H413" s="68"/>
      <c r="I413" s="36"/>
      <c r="J413" s="27"/>
      <c r="K413" s="27"/>
      <c r="L413" s="27"/>
      <c r="M413" s="27"/>
      <c r="N413" s="27"/>
      <c r="O413" s="64"/>
      <c r="P413" s="64"/>
      <c r="Q413" s="27"/>
      <c r="R413" s="34"/>
      <c r="S413" s="36"/>
      <c r="T413" s="34"/>
      <c r="U413" s="71"/>
      <c r="V413" s="36"/>
      <c r="W413" s="36"/>
      <c r="X413" s="36"/>
      <c r="Y413" s="27"/>
      <c r="AA413" s="9"/>
      <c r="AB413" s="72"/>
    </row>
    <row r="414" spans="6:28">
      <c r="F414" s="48"/>
      <c r="G414" s="32"/>
      <c r="H414" s="68"/>
      <c r="I414" s="36"/>
      <c r="J414" s="27"/>
      <c r="K414" s="27"/>
      <c r="L414" s="27"/>
      <c r="M414" s="27"/>
      <c r="N414" s="27"/>
      <c r="O414" s="64"/>
      <c r="P414" s="64"/>
      <c r="Q414" s="27"/>
      <c r="R414" s="34"/>
      <c r="S414" s="36"/>
      <c r="T414" s="34"/>
      <c r="U414" s="71"/>
      <c r="V414" s="36"/>
      <c r="W414" s="36"/>
      <c r="X414" s="36"/>
      <c r="Y414" s="27"/>
      <c r="AA414" s="9"/>
      <c r="AB414" s="72"/>
    </row>
    <row r="415" spans="6:28">
      <c r="F415" s="48"/>
      <c r="G415" s="32"/>
      <c r="H415" s="68"/>
      <c r="I415" s="36"/>
      <c r="J415" s="27"/>
      <c r="K415" s="27"/>
      <c r="L415" s="27"/>
      <c r="M415" s="27"/>
      <c r="N415" s="27"/>
      <c r="O415" s="64"/>
      <c r="P415" s="64"/>
      <c r="Q415" s="27"/>
      <c r="R415" s="34"/>
      <c r="S415" s="36"/>
      <c r="T415" s="34"/>
      <c r="U415" s="71"/>
      <c r="V415" s="36"/>
      <c r="W415" s="36"/>
      <c r="X415" s="36"/>
      <c r="Y415" s="27"/>
      <c r="AA415" s="9"/>
      <c r="AB415" s="72"/>
    </row>
    <row r="416" spans="6:28">
      <c r="F416" s="48"/>
      <c r="G416" s="32"/>
      <c r="H416" s="68"/>
      <c r="I416" s="36"/>
      <c r="J416" s="27"/>
      <c r="K416" s="27"/>
      <c r="L416" s="27"/>
      <c r="M416" s="27"/>
      <c r="N416" s="27"/>
      <c r="O416" s="64"/>
      <c r="P416" s="64"/>
      <c r="Q416" s="27"/>
      <c r="R416" s="34"/>
      <c r="S416" s="36"/>
      <c r="T416" s="34"/>
      <c r="U416" s="71"/>
      <c r="V416" s="36"/>
      <c r="W416" s="36"/>
      <c r="X416" s="36"/>
      <c r="Y416" s="27"/>
      <c r="AA416" s="9"/>
      <c r="AB416" s="72"/>
    </row>
    <row r="417" spans="6:28">
      <c r="F417" s="48"/>
      <c r="G417" s="32"/>
      <c r="H417" s="68"/>
      <c r="I417" s="36"/>
      <c r="J417" s="27"/>
      <c r="K417" s="27"/>
      <c r="L417" s="27"/>
      <c r="M417" s="27"/>
      <c r="N417" s="27"/>
      <c r="O417" s="64"/>
      <c r="P417" s="64"/>
      <c r="Q417" s="27"/>
      <c r="R417" s="34"/>
      <c r="S417" s="36"/>
      <c r="T417" s="34"/>
      <c r="U417" s="71"/>
      <c r="V417" s="36"/>
      <c r="W417" s="36"/>
      <c r="X417" s="36"/>
      <c r="Y417" s="27"/>
      <c r="AA417" s="9"/>
      <c r="AB417" s="72"/>
    </row>
    <row r="418" spans="6:28">
      <c r="F418" s="48"/>
      <c r="G418" s="32"/>
      <c r="H418" s="68"/>
      <c r="I418" s="36"/>
      <c r="J418" s="27"/>
      <c r="K418" s="27"/>
      <c r="L418" s="27"/>
      <c r="M418" s="27"/>
      <c r="N418" s="27"/>
      <c r="O418" s="64"/>
      <c r="P418" s="64"/>
      <c r="Q418" s="27"/>
      <c r="R418" s="34"/>
      <c r="S418" s="36"/>
      <c r="T418" s="34"/>
      <c r="U418" s="71"/>
      <c r="V418" s="36"/>
      <c r="W418" s="36"/>
      <c r="X418" s="36"/>
      <c r="Y418" s="27"/>
      <c r="AA418" s="9"/>
      <c r="AB418" s="72"/>
    </row>
    <row r="419" spans="6:28">
      <c r="F419" s="48"/>
      <c r="G419" s="32"/>
      <c r="H419" s="68"/>
      <c r="I419" s="36"/>
      <c r="J419" s="27"/>
      <c r="K419" s="27"/>
      <c r="L419" s="27"/>
      <c r="M419" s="27"/>
      <c r="N419" s="27"/>
      <c r="O419" s="64"/>
      <c r="P419" s="64"/>
      <c r="Q419" s="27"/>
      <c r="R419" s="34"/>
      <c r="S419" s="36"/>
      <c r="T419" s="34"/>
      <c r="U419" s="71"/>
      <c r="V419" s="36"/>
      <c r="W419" s="36"/>
      <c r="X419" s="36"/>
      <c r="Y419" s="27"/>
      <c r="AA419" s="9"/>
      <c r="AB419" s="72"/>
    </row>
    <row r="420" spans="6:28">
      <c r="F420" s="48"/>
      <c r="G420" s="32"/>
      <c r="H420" s="68"/>
      <c r="I420" s="36"/>
      <c r="J420" s="27"/>
      <c r="K420" s="27"/>
      <c r="L420" s="27"/>
      <c r="M420" s="27"/>
      <c r="N420" s="27"/>
      <c r="O420" s="64"/>
      <c r="P420" s="64"/>
      <c r="Q420" s="27"/>
      <c r="R420" s="34"/>
      <c r="S420" s="36"/>
      <c r="T420" s="34"/>
      <c r="U420" s="71"/>
      <c r="V420" s="36"/>
      <c r="W420" s="36"/>
      <c r="X420" s="36"/>
      <c r="Y420" s="27"/>
      <c r="AA420" s="9"/>
      <c r="AB420" s="72"/>
    </row>
    <row r="421" spans="6:28">
      <c r="F421" s="48"/>
      <c r="G421" s="32"/>
      <c r="H421" s="68"/>
      <c r="I421" s="36"/>
      <c r="J421" s="27"/>
      <c r="K421" s="27"/>
      <c r="L421" s="27"/>
      <c r="M421" s="27"/>
      <c r="N421" s="27"/>
      <c r="O421" s="64"/>
      <c r="P421" s="64"/>
      <c r="Q421" s="27"/>
      <c r="R421" s="34"/>
      <c r="S421" s="36"/>
      <c r="T421" s="34"/>
      <c r="U421" s="71"/>
      <c r="V421" s="36"/>
      <c r="W421" s="36"/>
      <c r="X421" s="36"/>
      <c r="Y421" s="27"/>
      <c r="AA421" s="9"/>
      <c r="AB421" s="72"/>
    </row>
    <row r="422" spans="6:28">
      <c r="F422" s="48"/>
      <c r="G422" s="32"/>
      <c r="H422" s="68"/>
      <c r="I422" s="36"/>
      <c r="J422" s="27"/>
      <c r="K422" s="27"/>
      <c r="L422" s="27"/>
      <c r="M422" s="27"/>
      <c r="N422" s="27"/>
      <c r="O422" s="64"/>
      <c r="P422" s="64"/>
      <c r="Q422" s="27"/>
      <c r="R422" s="34"/>
      <c r="S422" s="36"/>
      <c r="T422" s="34"/>
      <c r="U422" s="71"/>
      <c r="V422" s="36"/>
      <c r="W422" s="36"/>
      <c r="X422" s="36"/>
      <c r="Y422" s="27"/>
      <c r="AA422" s="9"/>
      <c r="AB422" s="72"/>
    </row>
    <row r="423" spans="6:28">
      <c r="F423" s="48"/>
      <c r="G423" s="32"/>
      <c r="H423" s="68"/>
      <c r="I423" s="36"/>
      <c r="J423" s="27"/>
      <c r="K423" s="27"/>
      <c r="L423" s="27"/>
      <c r="M423" s="27"/>
      <c r="N423" s="27"/>
      <c r="O423" s="64"/>
      <c r="P423" s="64"/>
      <c r="Q423" s="27"/>
      <c r="R423" s="34"/>
      <c r="S423" s="36"/>
      <c r="T423" s="34"/>
      <c r="U423" s="71"/>
      <c r="V423" s="36"/>
      <c r="W423" s="36"/>
      <c r="X423" s="36"/>
      <c r="Y423" s="27"/>
      <c r="AA423" s="9"/>
      <c r="AB423" s="72"/>
    </row>
    <row r="424" spans="6:28">
      <c r="F424" s="48"/>
      <c r="G424" s="32"/>
      <c r="H424" s="68"/>
      <c r="I424" s="36"/>
      <c r="J424" s="27"/>
      <c r="K424" s="27"/>
      <c r="L424" s="27"/>
      <c r="M424" s="27"/>
      <c r="N424" s="27"/>
      <c r="O424" s="64"/>
      <c r="P424" s="64"/>
      <c r="Q424" s="27"/>
      <c r="R424" s="34"/>
      <c r="S424" s="36"/>
      <c r="T424" s="34"/>
      <c r="U424" s="71"/>
      <c r="V424" s="36"/>
      <c r="W424" s="36"/>
      <c r="X424" s="36"/>
      <c r="Y424" s="27"/>
      <c r="AA424" s="9"/>
      <c r="AB424" s="72"/>
    </row>
    <row r="425" spans="6:28">
      <c r="F425" s="48"/>
      <c r="G425" s="32"/>
      <c r="H425" s="68"/>
      <c r="I425" s="36"/>
      <c r="J425" s="27"/>
      <c r="K425" s="27"/>
      <c r="L425" s="27"/>
      <c r="M425" s="27"/>
      <c r="N425" s="27"/>
      <c r="O425" s="64"/>
      <c r="P425" s="64"/>
      <c r="Q425" s="27"/>
      <c r="R425" s="34"/>
      <c r="S425" s="36"/>
      <c r="T425" s="34"/>
      <c r="U425" s="71"/>
      <c r="V425" s="36"/>
      <c r="W425" s="36"/>
      <c r="X425" s="36"/>
      <c r="Y425" s="27"/>
      <c r="AA425" s="9"/>
      <c r="AB425" s="72"/>
    </row>
    <row r="426" spans="6:28">
      <c r="F426" s="48"/>
      <c r="G426" s="32"/>
      <c r="H426" s="68"/>
      <c r="I426" s="36"/>
      <c r="J426" s="27"/>
      <c r="K426" s="27"/>
      <c r="L426" s="27"/>
      <c r="M426" s="27"/>
      <c r="N426" s="27"/>
      <c r="O426" s="64"/>
      <c r="P426" s="64"/>
      <c r="Q426" s="27"/>
      <c r="R426" s="34"/>
      <c r="S426" s="36"/>
      <c r="T426" s="34"/>
      <c r="U426" s="71"/>
      <c r="V426" s="36"/>
      <c r="W426" s="36"/>
      <c r="X426" s="36"/>
      <c r="Y426" s="27"/>
      <c r="AA426" s="9"/>
      <c r="AB426" s="72"/>
    </row>
    <row r="427" spans="6:28">
      <c r="F427" s="48"/>
      <c r="G427" s="32"/>
      <c r="H427" s="68"/>
      <c r="I427" s="36"/>
      <c r="J427" s="27"/>
      <c r="K427" s="27"/>
      <c r="L427" s="27"/>
      <c r="M427" s="27"/>
      <c r="N427" s="27"/>
      <c r="O427" s="64"/>
      <c r="P427" s="64"/>
      <c r="Q427" s="27"/>
      <c r="R427" s="34"/>
      <c r="S427" s="36"/>
      <c r="T427" s="34"/>
      <c r="U427" s="71"/>
      <c r="V427" s="36"/>
      <c r="W427" s="36"/>
      <c r="X427" s="36"/>
      <c r="Y427" s="27"/>
      <c r="AA427" s="9"/>
      <c r="AB427" s="72"/>
    </row>
    <row r="428" spans="6:28">
      <c r="F428" s="48"/>
      <c r="G428" s="32"/>
      <c r="H428" s="68"/>
      <c r="I428" s="36"/>
      <c r="J428" s="27"/>
      <c r="K428" s="27"/>
      <c r="L428" s="27"/>
      <c r="M428" s="27"/>
      <c r="N428" s="27"/>
      <c r="O428" s="64"/>
      <c r="P428" s="64"/>
      <c r="Q428" s="27"/>
      <c r="R428" s="34"/>
      <c r="S428" s="36"/>
      <c r="T428" s="34"/>
      <c r="U428" s="71"/>
      <c r="V428" s="36"/>
      <c r="W428" s="36"/>
      <c r="X428" s="36"/>
      <c r="Y428" s="27"/>
      <c r="AA428" s="9"/>
      <c r="AB428" s="72"/>
    </row>
    <row r="429" spans="6:28">
      <c r="F429" s="48"/>
      <c r="G429" s="32"/>
      <c r="H429" s="68"/>
      <c r="I429" s="36"/>
      <c r="J429" s="27"/>
      <c r="K429" s="27"/>
      <c r="L429" s="27"/>
      <c r="M429" s="27"/>
      <c r="N429" s="27"/>
      <c r="O429" s="64"/>
      <c r="P429" s="64"/>
      <c r="Q429" s="27"/>
      <c r="R429" s="34"/>
      <c r="S429" s="36"/>
      <c r="T429" s="34"/>
      <c r="U429" s="71"/>
      <c r="V429" s="36"/>
      <c r="W429" s="36"/>
      <c r="X429" s="36"/>
      <c r="Y429" s="27"/>
      <c r="AA429" s="9"/>
      <c r="AB429" s="72"/>
    </row>
    <row r="430" spans="6:28">
      <c r="F430" s="48"/>
      <c r="G430" s="32"/>
      <c r="H430" s="68"/>
      <c r="I430" s="36"/>
      <c r="J430" s="27"/>
      <c r="K430" s="27"/>
      <c r="L430" s="27"/>
      <c r="M430" s="27"/>
      <c r="N430" s="27"/>
      <c r="O430" s="64"/>
      <c r="P430" s="64"/>
      <c r="Q430" s="27"/>
      <c r="R430" s="34"/>
      <c r="S430" s="36"/>
      <c r="T430" s="34"/>
      <c r="U430" s="71"/>
      <c r="V430" s="36"/>
      <c r="W430" s="36"/>
      <c r="X430" s="36"/>
      <c r="Y430" s="27"/>
      <c r="AA430" s="9"/>
      <c r="AB430" s="72"/>
    </row>
    <row r="431" spans="6:28">
      <c r="F431" s="48"/>
      <c r="G431" s="32"/>
      <c r="H431" s="68"/>
      <c r="I431" s="36"/>
      <c r="J431" s="27"/>
      <c r="K431" s="27"/>
      <c r="L431" s="27"/>
      <c r="M431" s="27"/>
      <c r="N431" s="27"/>
      <c r="O431" s="64"/>
      <c r="P431" s="64"/>
      <c r="Q431" s="27"/>
      <c r="R431" s="34"/>
      <c r="S431" s="36"/>
      <c r="T431" s="34"/>
      <c r="U431" s="71"/>
      <c r="V431" s="36"/>
      <c r="W431" s="36"/>
      <c r="X431" s="36"/>
      <c r="Y431" s="27"/>
      <c r="AA431" s="9"/>
      <c r="AB431" s="72"/>
    </row>
    <row r="432" spans="6:28">
      <c r="F432" s="48"/>
      <c r="G432" s="32"/>
      <c r="H432" s="68"/>
      <c r="I432" s="36"/>
      <c r="J432" s="27"/>
      <c r="K432" s="27"/>
      <c r="L432" s="27"/>
      <c r="M432" s="27"/>
      <c r="N432" s="27"/>
      <c r="O432" s="64"/>
      <c r="P432" s="64"/>
      <c r="Q432" s="27"/>
      <c r="R432" s="34"/>
      <c r="S432" s="36"/>
      <c r="T432" s="34"/>
      <c r="U432" s="71"/>
      <c r="V432" s="36"/>
      <c r="W432" s="36"/>
      <c r="X432" s="36"/>
      <c r="Y432" s="27"/>
      <c r="AA432" s="9"/>
      <c r="AB432" s="72"/>
    </row>
    <row r="433" spans="6:28">
      <c r="F433" s="48"/>
      <c r="G433" s="32"/>
      <c r="H433" s="68"/>
      <c r="I433" s="36"/>
      <c r="J433" s="27"/>
      <c r="K433" s="27"/>
      <c r="L433" s="27"/>
      <c r="M433" s="27"/>
      <c r="N433" s="27"/>
      <c r="O433" s="64"/>
      <c r="P433" s="64"/>
      <c r="Q433" s="27"/>
      <c r="R433" s="34"/>
      <c r="S433" s="36"/>
      <c r="T433" s="34"/>
      <c r="U433" s="71"/>
      <c r="V433" s="36"/>
      <c r="W433" s="36"/>
      <c r="X433" s="36"/>
      <c r="Y433" s="27"/>
      <c r="AA433" s="9"/>
      <c r="AB433" s="72"/>
    </row>
    <row r="434" spans="6:28">
      <c r="F434" s="48"/>
      <c r="G434" s="32"/>
      <c r="H434" s="68"/>
      <c r="I434" s="36"/>
      <c r="J434" s="27"/>
      <c r="K434" s="27"/>
      <c r="L434" s="27"/>
      <c r="M434" s="27"/>
      <c r="N434" s="27"/>
      <c r="O434" s="64"/>
      <c r="P434" s="64"/>
      <c r="Q434" s="27"/>
      <c r="R434" s="34"/>
      <c r="S434" s="36"/>
      <c r="T434" s="34"/>
      <c r="U434" s="71"/>
      <c r="V434" s="36"/>
      <c r="W434" s="36"/>
      <c r="X434" s="36"/>
      <c r="Y434" s="27"/>
      <c r="AA434" s="9"/>
      <c r="AB434" s="72"/>
    </row>
    <row r="435" spans="6:28">
      <c r="F435" s="48"/>
      <c r="G435" s="32"/>
      <c r="H435" s="68"/>
      <c r="I435" s="36"/>
      <c r="J435" s="27"/>
      <c r="K435" s="27"/>
      <c r="L435" s="27"/>
      <c r="M435" s="27"/>
      <c r="N435" s="27"/>
      <c r="O435" s="64"/>
      <c r="P435" s="64"/>
      <c r="Q435" s="27"/>
      <c r="R435" s="34"/>
      <c r="S435" s="36"/>
      <c r="T435" s="34"/>
      <c r="U435" s="71"/>
      <c r="V435" s="36"/>
      <c r="W435" s="36"/>
      <c r="X435" s="36"/>
      <c r="Y435" s="27"/>
      <c r="AA435" s="9"/>
      <c r="AB435" s="72"/>
    </row>
    <row r="436" spans="6:28">
      <c r="F436" s="48"/>
      <c r="G436" s="32"/>
      <c r="H436" s="68"/>
      <c r="I436" s="36"/>
      <c r="J436" s="27"/>
      <c r="K436" s="27"/>
      <c r="L436" s="27"/>
      <c r="M436" s="27"/>
      <c r="N436" s="27"/>
      <c r="O436" s="64"/>
      <c r="P436" s="64"/>
      <c r="Q436" s="27"/>
      <c r="R436" s="34"/>
      <c r="S436" s="36"/>
      <c r="T436" s="34"/>
      <c r="U436" s="71"/>
      <c r="V436" s="36"/>
      <c r="W436" s="36"/>
      <c r="X436" s="36"/>
      <c r="Y436" s="27"/>
      <c r="AA436" s="9"/>
      <c r="AB436" s="72"/>
    </row>
    <row r="437" spans="6:28">
      <c r="F437" s="48"/>
      <c r="G437" s="32"/>
      <c r="H437" s="68"/>
      <c r="I437" s="36"/>
      <c r="J437" s="27"/>
      <c r="K437" s="27"/>
      <c r="L437" s="27"/>
      <c r="M437" s="27"/>
      <c r="N437" s="27"/>
      <c r="O437" s="64"/>
      <c r="P437" s="64"/>
      <c r="Q437" s="27"/>
      <c r="R437" s="34"/>
      <c r="S437" s="36"/>
      <c r="T437" s="34"/>
      <c r="U437" s="71"/>
      <c r="V437" s="36"/>
      <c r="W437" s="36"/>
      <c r="X437" s="36"/>
      <c r="Y437" s="27"/>
      <c r="AA437" s="9"/>
      <c r="AB437" s="72"/>
    </row>
    <row r="438" spans="6:28">
      <c r="F438" s="48"/>
      <c r="G438" s="32"/>
      <c r="H438" s="68"/>
      <c r="I438" s="36"/>
      <c r="J438" s="27"/>
      <c r="K438" s="27"/>
      <c r="L438" s="27"/>
      <c r="M438" s="27"/>
      <c r="N438" s="27"/>
      <c r="O438" s="64"/>
      <c r="P438" s="64"/>
      <c r="Q438" s="27"/>
      <c r="R438" s="34"/>
      <c r="S438" s="36"/>
      <c r="T438" s="34"/>
      <c r="U438" s="71"/>
      <c r="V438" s="36"/>
      <c r="W438" s="36"/>
      <c r="X438" s="36"/>
      <c r="Y438" s="27"/>
      <c r="AA438" s="9"/>
      <c r="AB438" s="72"/>
    </row>
    <row r="439" spans="6:28">
      <c r="F439" s="48"/>
      <c r="G439" s="32"/>
      <c r="H439" s="68"/>
      <c r="I439" s="36"/>
      <c r="J439" s="27"/>
      <c r="K439" s="27"/>
      <c r="L439" s="27"/>
      <c r="M439" s="27"/>
      <c r="N439" s="27"/>
      <c r="O439" s="64"/>
      <c r="P439" s="64"/>
      <c r="Q439" s="27"/>
      <c r="R439" s="34"/>
      <c r="S439" s="36"/>
      <c r="T439" s="34"/>
      <c r="U439" s="71"/>
      <c r="V439" s="36"/>
      <c r="W439" s="36"/>
      <c r="X439" s="36"/>
      <c r="Y439" s="27"/>
      <c r="AA439" s="9"/>
      <c r="AB439" s="72"/>
    </row>
    <row r="440" spans="6:28">
      <c r="F440" s="48"/>
      <c r="G440" s="32"/>
      <c r="H440" s="68"/>
      <c r="I440" s="36"/>
      <c r="J440" s="27"/>
      <c r="K440" s="27"/>
      <c r="L440" s="27"/>
      <c r="M440" s="27"/>
      <c r="N440" s="27"/>
      <c r="O440" s="64"/>
      <c r="P440" s="64"/>
      <c r="Q440" s="27"/>
      <c r="R440" s="34"/>
      <c r="S440" s="36"/>
      <c r="T440" s="34"/>
      <c r="U440" s="71"/>
      <c r="V440" s="36"/>
      <c r="W440" s="36"/>
      <c r="X440" s="36"/>
      <c r="Y440" s="27"/>
      <c r="AA440" s="9"/>
      <c r="AB440" s="72"/>
    </row>
    <row r="441" spans="6:28">
      <c r="F441" s="48"/>
      <c r="G441" s="32"/>
      <c r="H441" s="68"/>
      <c r="I441" s="36"/>
      <c r="J441" s="27"/>
      <c r="K441" s="27"/>
      <c r="L441" s="27"/>
      <c r="M441" s="27"/>
      <c r="N441" s="27"/>
      <c r="O441" s="64"/>
      <c r="P441" s="64"/>
      <c r="Q441" s="27"/>
      <c r="R441" s="34"/>
      <c r="S441" s="36"/>
      <c r="T441" s="34"/>
      <c r="U441" s="71"/>
      <c r="V441" s="36"/>
      <c r="W441" s="36"/>
      <c r="X441" s="36"/>
      <c r="Y441" s="27"/>
      <c r="AA441" s="9"/>
      <c r="AB441" s="72"/>
    </row>
    <row r="442" spans="6:28">
      <c r="F442" s="48"/>
      <c r="G442" s="32"/>
      <c r="H442" s="68"/>
      <c r="I442" s="36"/>
      <c r="J442" s="27"/>
      <c r="K442" s="27"/>
      <c r="L442" s="27"/>
      <c r="M442" s="27"/>
      <c r="N442" s="27"/>
      <c r="O442" s="64"/>
      <c r="P442" s="64"/>
      <c r="Q442" s="27"/>
      <c r="R442" s="34"/>
      <c r="S442" s="36"/>
      <c r="T442" s="34"/>
      <c r="U442" s="71"/>
      <c r="V442" s="36"/>
      <c r="W442" s="36"/>
      <c r="X442" s="36"/>
      <c r="Y442" s="27"/>
      <c r="AA442" s="9"/>
      <c r="AB442" s="72"/>
    </row>
    <row r="443" spans="6:28">
      <c r="F443" s="48"/>
      <c r="G443" s="32"/>
      <c r="H443" s="68"/>
      <c r="I443" s="36"/>
      <c r="J443" s="27"/>
      <c r="K443" s="27"/>
      <c r="L443" s="27"/>
      <c r="M443" s="27"/>
      <c r="N443" s="27"/>
      <c r="O443" s="64"/>
      <c r="P443" s="64"/>
      <c r="Q443" s="27"/>
      <c r="R443" s="34"/>
      <c r="S443" s="36"/>
      <c r="T443" s="34"/>
      <c r="U443" s="71"/>
      <c r="V443" s="36"/>
      <c r="W443" s="36"/>
      <c r="X443" s="36"/>
      <c r="Y443" s="27"/>
      <c r="AA443" s="9"/>
      <c r="AB443" s="72"/>
    </row>
    <row r="444" spans="6:28">
      <c r="F444" s="48"/>
      <c r="G444" s="32"/>
      <c r="H444" s="68"/>
      <c r="I444" s="36"/>
      <c r="J444" s="27"/>
      <c r="K444" s="27"/>
      <c r="L444" s="27"/>
      <c r="M444" s="27"/>
      <c r="N444" s="27"/>
      <c r="O444" s="64"/>
      <c r="P444" s="64"/>
      <c r="Q444" s="27"/>
      <c r="R444" s="34"/>
      <c r="S444" s="36"/>
      <c r="T444" s="34"/>
      <c r="U444" s="71"/>
      <c r="V444" s="36"/>
      <c r="W444" s="36"/>
      <c r="X444" s="36"/>
      <c r="Y444" s="27"/>
      <c r="AA444" s="9"/>
      <c r="AB444" s="72"/>
    </row>
    <row r="445" spans="6:28">
      <c r="F445" s="48"/>
      <c r="G445" s="32"/>
      <c r="H445" s="68"/>
      <c r="I445" s="36"/>
      <c r="J445" s="27"/>
      <c r="K445" s="27"/>
      <c r="L445" s="27"/>
      <c r="M445" s="27"/>
      <c r="N445" s="27"/>
      <c r="O445" s="64"/>
      <c r="P445" s="64"/>
      <c r="Q445" s="27"/>
      <c r="R445" s="34"/>
      <c r="S445" s="36"/>
      <c r="T445" s="34"/>
      <c r="U445" s="71"/>
      <c r="V445" s="36"/>
      <c r="W445" s="36"/>
      <c r="X445" s="36"/>
      <c r="Y445" s="27"/>
      <c r="AA445" s="9"/>
      <c r="AB445" s="72"/>
    </row>
    <row r="446" spans="6:28">
      <c r="F446" s="48"/>
      <c r="G446" s="32"/>
      <c r="H446" s="68"/>
      <c r="I446" s="36"/>
      <c r="J446" s="27"/>
      <c r="K446" s="27"/>
      <c r="L446" s="27"/>
      <c r="M446" s="27"/>
      <c r="N446" s="27"/>
      <c r="O446" s="64"/>
      <c r="P446" s="64"/>
      <c r="Q446" s="27"/>
      <c r="R446" s="34"/>
      <c r="S446" s="36"/>
      <c r="T446" s="34"/>
      <c r="U446" s="71"/>
      <c r="V446" s="36"/>
      <c r="W446" s="36"/>
      <c r="X446" s="36"/>
      <c r="Y446" s="27"/>
      <c r="AA446" s="9"/>
      <c r="AB446" s="72"/>
    </row>
    <row r="447" spans="6:28">
      <c r="F447" s="48"/>
      <c r="G447" s="32"/>
      <c r="H447" s="68"/>
      <c r="I447" s="36"/>
      <c r="J447" s="27"/>
      <c r="K447" s="27"/>
      <c r="L447" s="27"/>
      <c r="M447" s="27"/>
      <c r="N447" s="27"/>
      <c r="O447" s="64"/>
      <c r="P447" s="64"/>
      <c r="Q447" s="27"/>
      <c r="R447" s="34"/>
      <c r="S447" s="36"/>
      <c r="T447" s="34"/>
      <c r="U447" s="71"/>
      <c r="V447" s="36"/>
      <c r="W447" s="36"/>
      <c r="X447" s="36"/>
      <c r="Y447" s="27"/>
      <c r="AA447" s="9"/>
      <c r="AB447" s="72"/>
    </row>
    <row r="448" spans="6:28">
      <c r="F448" s="48"/>
      <c r="G448" s="32"/>
      <c r="H448" s="68"/>
      <c r="I448" s="36"/>
      <c r="J448" s="27"/>
      <c r="K448" s="27"/>
      <c r="L448" s="27"/>
      <c r="M448" s="27"/>
      <c r="N448" s="27"/>
      <c r="O448" s="64"/>
      <c r="P448" s="64"/>
      <c r="Q448" s="27"/>
      <c r="R448" s="34"/>
      <c r="S448" s="36"/>
      <c r="T448" s="34"/>
      <c r="U448" s="71"/>
      <c r="V448" s="36"/>
      <c r="W448" s="36"/>
      <c r="X448" s="36"/>
      <c r="Y448" s="27"/>
      <c r="AA448" s="9"/>
      <c r="AB448" s="72"/>
    </row>
    <row r="449" spans="6:28">
      <c r="F449" s="48"/>
      <c r="G449" s="32"/>
      <c r="H449" s="68"/>
      <c r="I449" s="36"/>
      <c r="J449" s="27"/>
      <c r="K449" s="27"/>
      <c r="L449" s="27"/>
      <c r="M449" s="27"/>
      <c r="N449" s="27"/>
      <c r="O449" s="64"/>
      <c r="P449" s="64"/>
      <c r="Q449" s="27"/>
      <c r="R449" s="34"/>
      <c r="S449" s="36"/>
      <c r="T449" s="34"/>
      <c r="U449" s="71"/>
      <c r="V449" s="36"/>
      <c r="W449" s="36"/>
      <c r="X449" s="36"/>
      <c r="Y449" s="27"/>
      <c r="AA449" s="9"/>
      <c r="AB449" s="72"/>
    </row>
    <row r="450" spans="6:28">
      <c r="F450" s="48"/>
      <c r="G450" s="32"/>
      <c r="H450" s="68"/>
      <c r="I450" s="36"/>
      <c r="J450" s="27"/>
      <c r="K450" s="27"/>
      <c r="L450" s="27"/>
      <c r="M450" s="27"/>
      <c r="N450" s="27"/>
      <c r="O450" s="64"/>
      <c r="P450" s="64"/>
      <c r="Q450" s="27"/>
      <c r="R450" s="34"/>
      <c r="S450" s="36"/>
      <c r="T450" s="34"/>
      <c r="U450" s="71"/>
      <c r="V450" s="36"/>
      <c r="W450" s="36"/>
      <c r="X450" s="36"/>
      <c r="Y450" s="27"/>
      <c r="AA450" s="9"/>
      <c r="AB450" s="72"/>
    </row>
    <row r="451" spans="6:28">
      <c r="F451" s="48"/>
      <c r="G451" s="32"/>
      <c r="H451" s="68"/>
      <c r="I451" s="36"/>
      <c r="J451" s="27"/>
      <c r="K451" s="27"/>
      <c r="L451" s="27"/>
      <c r="M451" s="27"/>
      <c r="N451" s="27"/>
      <c r="O451" s="64"/>
      <c r="P451" s="64"/>
      <c r="Q451" s="27"/>
      <c r="R451" s="34"/>
      <c r="S451" s="36"/>
      <c r="T451" s="34"/>
      <c r="U451" s="71"/>
      <c r="V451" s="36"/>
      <c r="W451" s="36"/>
      <c r="X451" s="36"/>
      <c r="Y451" s="27"/>
      <c r="AA451" s="9"/>
      <c r="AB451" s="72"/>
    </row>
    <row r="452" spans="6:28">
      <c r="F452" s="48"/>
      <c r="G452" s="32"/>
      <c r="H452" s="68"/>
      <c r="I452" s="36"/>
      <c r="J452" s="27"/>
      <c r="K452" s="27"/>
      <c r="L452" s="27"/>
      <c r="M452" s="27"/>
      <c r="N452" s="27"/>
      <c r="O452" s="64"/>
      <c r="P452" s="64"/>
      <c r="Q452" s="27"/>
      <c r="R452" s="34"/>
      <c r="S452" s="36"/>
      <c r="T452" s="34"/>
      <c r="U452" s="71"/>
      <c r="V452" s="36"/>
      <c r="W452" s="36"/>
      <c r="X452" s="36"/>
      <c r="Y452" s="27"/>
      <c r="AA452" s="9"/>
      <c r="AB452" s="72"/>
    </row>
    <row r="453" spans="6:28">
      <c r="F453" s="48"/>
      <c r="G453" s="32"/>
      <c r="H453" s="68"/>
      <c r="I453" s="36"/>
      <c r="J453" s="27"/>
      <c r="K453" s="27"/>
      <c r="L453" s="27"/>
      <c r="M453" s="27"/>
      <c r="N453" s="27"/>
      <c r="O453" s="64"/>
      <c r="P453" s="64"/>
      <c r="Q453" s="27"/>
      <c r="R453" s="34"/>
      <c r="S453" s="36"/>
      <c r="T453" s="34"/>
      <c r="U453" s="71"/>
      <c r="V453" s="36"/>
      <c r="W453" s="36"/>
      <c r="X453" s="36"/>
      <c r="Y453" s="27"/>
      <c r="AA453" s="9"/>
      <c r="AB453" s="72"/>
    </row>
    <row r="454" spans="6:28">
      <c r="F454" s="48"/>
      <c r="G454" s="32"/>
      <c r="H454" s="68"/>
      <c r="I454" s="36"/>
      <c r="J454" s="27"/>
      <c r="K454" s="27"/>
      <c r="L454" s="27"/>
      <c r="M454" s="27"/>
      <c r="N454" s="27"/>
      <c r="O454" s="64"/>
      <c r="P454" s="64"/>
      <c r="Q454" s="27"/>
      <c r="R454" s="34"/>
      <c r="S454" s="36"/>
      <c r="T454" s="34"/>
      <c r="U454" s="71"/>
      <c r="V454" s="36"/>
      <c r="W454" s="36"/>
      <c r="X454" s="36"/>
      <c r="Y454" s="27"/>
      <c r="AA454" s="9"/>
      <c r="AB454" s="72"/>
    </row>
    <row r="455" spans="6:28">
      <c r="F455" s="48"/>
      <c r="G455" s="32"/>
      <c r="H455" s="68"/>
      <c r="I455" s="36"/>
      <c r="J455" s="27"/>
      <c r="K455" s="27"/>
      <c r="L455" s="27"/>
      <c r="M455" s="27"/>
      <c r="N455" s="27"/>
      <c r="O455" s="64"/>
      <c r="P455" s="64"/>
      <c r="Q455" s="27"/>
      <c r="R455" s="34"/>
      <c r="S455" s="36"/>
      <c r="T455" s="34"/>
      <c r="U455" s="71"/>
      <c r="V455" s="36"/>
      <c r="W455" s="36"/>
      <c r="X455" s="36"/>
      <c r="Y455" s="27"/>
      <c r="AA455" s="9"/>
      <c r="AB455" s="72"/>
    </row>
    <row r="456" spans="6:28">
      <c r="F456" s="48"/>
      <c r="G456" s="32"/>
      <c r="H456" s="68"/>
      <c r="I456" s="36"/>
      <c r="J456" s="27"/>
      <c r="K456" s="27"/>
      <c r="L456" s="27"/>
      <c r="M456" s="27"/>
      <c r="N456" s="27"/>
      <c r="O456" s="64"/>
      <c r="P456" s="64"/>
      <c r="Q456" s="27"/>
      <c r="R456" s="34"/>
      <c r="S456" s="36"/>
      <c r="T456" s="34"/>
      <c r="U456" s="71"/>
      <c r="V456" s="36"/>
      <c r="W456" s="36"/>
      <c r="X456" s="36"/>
      <c r="Y456" s="27"/>
      <c r="AA456" s="9"/>
      <c r="AB456" s="72"/>
    </row>
    <row r="457" spans="6:28">
      <c r="F457" s="48"/>
      <c r="G457" s="32"/>
      <c r="H457" s="68"/>
      <c r="I457" s="36"/>
      <c r="J457" s="27"/>
      <c r="K457" s="27"/>
      <c r="L457" s="27"/>
      <c r="M457" s="27"/>
      <c r="N457" s="27"/>
      <c r="O457" s="64"/>
      <c r="P457" s="64"/>
      <c r="Q457" s="27"/>
      <c r="R457" s="34"/>
      <c r="S457" s="36"/>
      <c r="T457" s="34"/>
      <c r="U457" s="71"/>
      <c r="V457" s="36"/>
      <c r="W457" s="36"/>
      <c r="X457" s="36"/>
      <c r="Y457" s="27"/>
      <c r="AA457" s="9"/>
      <c r="AB457" s="72"/>
    </row>
    <row r="458" spans="6:28">
      <c r="F458" s="48"/>
      <c r="G458" s="32"/>
      <c r="H458" s="68"/>
      <c r="I458" s="36"/>
      <c r="J458" s="27"/>
      <c r="K458" s="27"/>
      <c r="L458" s="27"/>
      <c r="M458" s="27"/>
      <c r="N458" s="27"/>
      <c r="O458" s="64"/>
      <c r="P458" s="64"/>
      <c r="Q458" s="27"/>
      <c r="R458" s="34"/>
      <c r="S458" s="36"/>
      <c r="T458" s="34"/>
      <c r="U458" s="71"/>
      <c r="V458" s="36"/>
      <c r="W458" s="36"/>
      <c r="X458" s="36"/>
      <c r="Y458" s="27"/>
      <c r="AA458" s="9"/>
      <c r="AB458" s="72"/>
    </row>
    <row r="459" spans="6:28">
      <c r="F459" s="48"/>
      <c r="G459" s="32"/>
      <c r="H459" s="68"/>
      <c r="I459" s="36"/>
      <c r="J459" s="27"/>
      <c r="K459" s="27"/>
      <c r="L459" s="27"/>
      <c r="M459" s="27"/>
      <c r="N459" s="27"/>
      <c r="O459" s="64"/>
      <c r="P459" s="64"/>
      <c r="Q459" s="27"/>
      <c r="R459" s="34"/>
      <c r="S459" s="36"/>
      <c r="T459" s="34"/>
      <c r="U459" s="71"/>
      <c r="V459" s="36"/>
      <c r="W459" s="36"/>
      <c r="X459" s="36"/>
      <c r="Y459" s="27"/>
      <c r="AA459" s="9"/>
      <c r="AB459" s="72"/>
    </row>
    <row r="460" spans="6:28">
      <c r="F460" s="48"/>
      <c r="G460" s="32"/>
      <c r="H460" s="68"/>
      <c r="I460" s="36"/>
      <c r="J460" s="27"/>
      <c r="K460" s="27"/>
      <c r="L460" s="27"/>
      <c r="M460" s="27"/>
      <c r="N460" s="27"/>
      <c r="O460" s="64"/>
      <c r="P460" s="64"/>
      <c r="Q460" s="27"/>
      <c r="R460" s="34"/>
      <c r="S460" s="36"/>
      <c r="T460" s="34"/>
      <c r="U460" s="71"/>
      <c r="V460" s="36"/>
      <c r="W460" s="36"/>
      <c r="X460" s="36"/>
      <c r="Y460" s="27"/>
      <c r="AA460" s="9"/>
      <c r="AB460" s="72"/>
    </row>
    <row r="461" spans="6:28">
      <c r="F461" s="48"/>
      <c r="G461" s="32"/>
      <c r="H461" s="68"/>
      <c r="I461" s="36"/>
      <c r="J461" s="27"/>
      <c r="K461" s="27"/>
      <c r="L461" s="27"/>
      <c r="M461" s="27"/>
      <c r="N461" s="27"/>
      <c r="O461" s="64"/>
      <c r="P461" s="64"/>
      <c r="Q461" s="27"/>
      <c r="R461" s="34"/>
      <c r="S461" s="36"/>
      <c r="T461" s="34"/>
      <c r="U461" s="71"/>
      <c r="V461" s="36"/>
      <c r="W461" s="36"/>
      <c r="X461" s="36"/>
      <c r="Y461" s="27"/>
      <c r="AA461" s="9"/>
      <c r="AB461" s="72"/>
    </row>
    <row r="462" spans="6:28">
      <c r="F462" s="48"/>
      <c r="G462" s="32"/>
      <c r="H462" s="68"/>
      <c r="I462" s="36"/>
      <c r="J462" s="27"/>
      <c r="K462" s="27"/>
      <c r="L462" s="27"/>
      <c r="M462" s="27"/>
      <c r="N462" s="27"/>
      <c r="O462" s="64"/>
      <c r="P462" s="64"/>
      <c r="Q462" s="27"/>
      <c r="R462" s="34"/>
      <c r="S462" s="36"/>
      <c r="T462" s="34"/>
      <c r="U462" s="71"/>
      <c r="V462" s="36"/>
      <c r="W462" s="36"/>
      <c r="X462" s="36"/>
      <c r="Y462" s="27"/>
      <c r="AA462" s="9"/>
      <c r="AB462" s="72"/>
    </row>
    <row r="463" spans="6:28">
      <c r="F463" s="48"/>
      <c r="G463" s="32"/>
      <c r="H463" s="68"/>
      <c r="I463" s="36"/>
      <c r="J463" s="27"/>
      <c r="K463" s="27"/>
      <c r="L463" s="27"/>
      <c r="M463" s="27"/>
      <c r="N463" s="27"/>
      <c r="O463" s="64"/>
      <c r="P463" s="64"/>
      <c r="Q463" s="27"/>
      <c r="R463" s="34"/>
      <c r="S463" s="36"/>
      <c r="T463" s="34"/>
      <c r="U463" s="71"/>
      <c r="V463" s="36"/>
      <c r="W463" s="36"/>
      <c r="X463" s="36"/>
      <c r="Y463" s="27"/>
      <c r="AA463" s="9"/>
      <c r="AB463" s="72"/>
    </row>
    <row r="464" spans="6:28">
      <c r="F464" s="48"/>
      <c r="G464" s="32"/>
      <c r="H464" s="68"/>
      <c r="I464" s="36"/>
      <c r="J464" s="27"/>
      <c r="K464" s="27"/>
      <c r="L464" s="27"/>
      <c r="M464" s="27"/>
      <c r="N464" s="27"/>
      <c r="O464" s="64"/>
      <c r="P464" s="64"/>
      <c r="Q464" s="27"/>
      <c r="R464" s="34"/>
      <c r="S464" s="36"/>
      <c r="T464" s="34"/>
      <c r="U464" s="71"/>
      <c r="V464" s="36"/>
      <c r="W464" s="36"/>
      <c r="X464" s="36"/>
      <c r="Y464" s="27"/>
      <c r="AA464" s="9"/>
      <c r="AB464" s="72"/>
    </row>
    <row r="465" spans="6:28">
      <c r="F465" s="48"/>
      <c r="G465" s="32"/>
      <c r="H465" s="68"/>
      <c r="I465" s="36"/>
      <c r="J465" s="27"/>
      <c r="K465" s="27"/>
      <c r="L465" s="27"/>
      <c r="M465" s="27"/>
      <c r="N465" s="27"/>
      <c r="O465" s="64"/>
      <c r="P465" s="64"/>
      <c r="Q465" s="27"/>
      <c r="R465" s="34"/>
      <c r="S465" s="36"/>
      <c r="T465" s="34"/>
      <c r="U465" s="71"/>
      <c r="V465" s="36"/>
      <c r="W465" s="36"/>
      <c r="X465" s="36"/>
      <c r="Y465" s="27"/>
      <c r="AA465" s="9"/>
      <c r="AB465" s="72"/>
    </row>
    <row r="466" spans="6:28">
      <c r="F466" s="48"/>
      <c r="G466" s="32"/>
      <c r="H466" s="68"/>
      <c r="I466" s="36"/>
      <c r="J466" s="27"/>
      <c r="K466" s="27"/>
      <c r="L466" s="27"/>
      <c r="M466" s="27"/>
      <c r="N466" s="27"/>
      <c r="O466" s="64"/>
      <c r="P466" s="64"/>
      <c r="Q466" s="27"/>
      <c r="R466" s="34"/>
      <c r="S466" s="36"/>
      <c r="T466" s="34"/>
      <c r="U466" s="71"/>
      <c r="V466" s="36"/>
      <c r="W466" s="36"/>
      <c r="X466" s="36"/>
      <c r="Y466" s="27"/>
      <c r="AA466" s="9"/>
      <c r="AB466" s="72"/>
    </row>
    <row r="467" spans="6:28">
      <c r="F467" s="48"/>
      <c r="G467" s="32"/>
      <c r="H467" s="68"/>
      <c r="I467" s="36"/>
      <c r="J467" s="27"/>
      <c r="K467" s="27"/>
      <c r="L467" s="27"/>
      <c r="M467" s="27"/>
      <c r="N467" s="27"/>
      <c r="O467" s="64"/>
      <c r="P467" s="64"/>
      <c r="Q467" s="27"/>
      <c r="R467" s="34"/>
      <c r="S467" s="36"/>
      <c r="T467" s="34"/>
      <c r="U467" s="71"/>
      <c r="V467" s="36"/>
      <c r="W467" s="36"/>
      <c r="X467" s="36"/>
      <c r="Y467" s="27"/>
      <c r="AA467" s="9"/>
      <c r="AB467" s="72"/>
    </row>
    <row r="468" spans="6:28">
      <c r="F468" s="48"/>
      <c r="G468" s="32"/>
      <c r="H468" s="68"/>
      <c r="I468" s="36"/>
      <c r="J468" s="27"/>
      <c r="K468" s="27"/>
      <c r="L468" s="27"/>
      <c r="M468" s="27"/>
      <c r="N468" s="27"/>
      <c r="O468" s="64"/>
      <c r="P468" s="64"/>
      <c r="Q468" s="27"/>
      <c r="R468" s="34"/>
      <c r="S468" s="36"/>
      <c r="T468" s="34"/>
      <c r="U468" s="71"/>
      <c r="V468" s="36"/>
      <c r="W468" s="36"/>
      <c r="X468" s="36"/>
      <c r="Y468" s="27"/>
      <c r="AA468" s="9"/>
      <c r="AB468" s="72"/>
    </row>
    <row r="469" spans="6:28">
      <c r="F469" s="48"/>
      <c r="G469" s="32"/>
      <c r="H469" s="68"/>
      <c r="I469" s="36"/>
      <c r="J469" s="27"/>
      <c r="K469" s="27"/>
      <c r="L469" s="27"/>
      <c r="M469" s="27"/>
      <c r="N469" s="27"/>
      <c r="O469" s="64"/>
      <c r="P469" s="64"/>
      <c r="Q469" s="27"/>
      <c r="R469" s="34"/>
      <c r="S469" s="36"/>
      <c r="T469" s="34"/>
      <c r="U469" s="71"/>
      <c r="V469" s="36"/>
      <c r="W469" s="36"/>
      <c r="X469" s="36"/>
      <c r="Y469" s="27"/>
      <c r="AA469" s="9"/>
      <c r="AB469" s="72"/>
    </row>
    <row r="470" spans="6:28">
      <c r="F470" s="48"/>
      <c r="G470" s="32"/>
      <c r="H470" s="68"/>
      <c r="I470" s="36"/>
      <c r="J470" s="27"/>
      <c r="K470" s="27"/>
      <c r="L470" s="27"/>
      <c r="M470" s="27"/>
      <c r="N470" s="27"/>
      <c r="O470" s="64"/>
      <c r="P470" s="64"/>
      <c r="Q470" s="27"/>
      <c r="R470" s="34"/>
      <c r="S470" s="36"/>
      <c r="T470" s="34"/>
      <c r="U470" s="71"/>
      <c r="V470" s="36"/>
      <c r="W470" s="36"/>
      <c r="X470" s="36"/>
      <c r="Y470" s="27"/>
      <c r="AA470" s="9"/>
      <c r="AB470" s="72"/>
    </row>
    <row r="471" spans="6:28">
      <c r="F471" s="48"/>
      <c r="G471" s="32"/>
      <c r="H471" s="68"/>
      <c r="I471" s="36"/>
      <c r="J471" s="27"/>
      <c r="K471" s="27"/>
      <c r="L471" s="27"/>
      <c r="M471" s="27"/>
      <c r="N471" s="27"/>
      <c r="O471" s="64"/>
      <c r="P471" s="64"/>
      <c r="Q471" s="27"/>
      <c r="R471" s="34"/>
      <c r="S471" s="36"/>
      <c r="T471" s="34"/>
      <c r="U471" s="71"/>
      <c r="V471" s="36"/>
      <c r="W471" s="36"/>
      <c r="X471" s="36"/>
      <c r="Y471" s="27"/>
      <c r="AA471" s="9"/>
      <c r="AB471" s="72"/>
    </row>
    <row r="472" spans="6:28">
      <c r="F472" s="48"/>
      <c r="G472" s="32"/>
      <c r="H472" s="68"/>
      <c r="I472" s="36"/>
      <c r="J472" s="27"/>
      <c r="K472" s="27"/>
      <c r="L472" s="27"/>
      <c r="M472" s="27"/>
      <c r="N472" s="27"/>
      <c r="O472" s="64"/>
      <c r="P472" s="64"/>
      <c r="Q472" s="27"/>
      <c r="R472" s="34"/>
      <c r="S472" s="36"/>
      <c r="T472" s="34"/>
      <c r="U472" s="71"/>
      <c r="V472" s="36"/>
      <c r="W472" s="36"/>
      <c r="X472" s="36"/>
      <c r="Y472" s="27"/>
      <c r="AA472" s="9"/>
      <c r="AB472" s="72"/>
    </row>
    <row r="473" spans="6:28">
      <c r="F473" s="48"/>
      <c r="G473" s="32"/>
      <c r="H473" s="68"/>
      <c r="I473" s="36"/>
      <c r="J473" s="27"/>
      <c r="K473" s="27"/>
      <c r="L473" s="27"/>
      <c r="M473" s="27"/>
      <c r="N473" s="27"/>
      <c r="O473" s="64"/>
      <c r="P473" s="64"/>
      <c r="Q473" s="27"/>
      <c r="R473" s="34"/>
      <c r="S473" s="36"/>
      <c r="T473" s="34"/>
      <c r="U473" s="71"/>
      <c r="V473" s="36"/>
      <c r="W473" s="36"/>
      <c r="X473" s="36"/>
      <c r="Y473" s="27"/>
      <c r="AA473" s="9"/>
      <c r="AB473" s="72"/>
    </row>
    <row r="474" spans="6:28">
      <c r="F474" s="48"/>
      <c r="G474" s="32"/>
      <c r="H474" s="68"/>
      <c r="I474" s="36"/>
      <c r="J474" s="27"/>
      <c r="K474" s="27"/>
      <c r="L474" s="27"/>
      <c r="M474" s="27"/>
      <c r="N474" s="27"/>
      <c r="O474" s="64"/>
      <c r="P474" s="64"/>
      <c r="Q474" s="27"/>
      <c r="R474" s="34"/>
      <c r="S474" s="36"/>
      <c r="T474" s="34"/>
      <c r="U474" s="71"/>
      <c r="V474" s="36"/>
      <c r="W474" s="36"/>
      <c r="X474" s="36"/>
      <c r="Y474" s="27"/>
      <c r="AA474" s="9"/>
      <c r="AB474" s="72"/>
    </row>
    <row r="475" spans="6:28">
      <c r="F475" s="48"/>
      <c r="G475" s="32"/>
      <c r="H475" s="68"/>
      <c r="I475" s="36"/>
      <c r="J475" s="27"/>
      <c r="K475" s="27"/>
      <c r="L475" s="27"/>
      <c r="M475" s="27"/>
      <c r="N475" s="27"/>
      <c r="O475" s="64"/>
      <c r="P475" s="64"/>
      <c r="Q475" s="27"/>
      <c r="R475" s="34"/>
      <c r="S475" s="36"/>
      <c r="T475" s="34"/>
      <c r="U475" s="71"/>
      <c r="V475" s="36"/>
      <c r="W475" s="36"/>
      <c r="X475" s="36"/>
      <c r="Y475" s="27"/>
      <c r="AA475" s="9"/>
      <c r="AB475" s="72"/>
    </row>
    <row r="476" spans="6:28">
      <c r="F476" s="48"/>
      <c r="G476" s="32"/>
      <c r="H476" s="68"/>
      <c r="I476" s="36"/>
      <c r="J476" s="27"/>
      <c r="K476" s="27"/>
      <c r="L476" s="27"/>
      <c r="M476" s="27"/>
      <c r="N476" s="27"/>
      <c r="O476" s="64"/>
      <c r="P476" s="64"/>
      <c r="Q476" s="27"/>
      <c r="R476" s="34"/>
      <c r="S476" s="36"/>
      <c r="T476" s="34"/>
      <c r="U476" s="71"/>
      <c r="V476" s="36"/>
      <c r="W476" s="36"/>
      <c r="X476" s="36"/>
      <c r="Y476" s="27"/>
      <c r="AA476" s="9"/>
      <c r="AB476" s="72"/>
    </row>
    <row r="477" spans="6:28">
      <c r="F477" s="48"/>
      <c r="G477" s="32"/>
      <c r="H477" s="68"/>
      <c r="I477" s="36"/>
      <c r="J477" s="27"/>
      <c r="K477" s="27"/>
      <c r="L477" s="27"/>
      <c r="M477" s="27"/>
      <c r="N477" s="27"/>
      <c r="O477" s="64"/>
      <c r="P477" s="64"/>
      <c r="Q477" s="27"/>
      <c r="R477" s="34"/>
      <c r="S477" s="36"/>
      <c r="T477" s="34"/>
      <c r="U477" s="71"/>
      <c r="V477" s="36"/>
      <c r="W477" s="36"/>
      <c r="X477" s="36"/>
      <c r="Y477" s="27"/>
      <c r="AA477" s="9"/>
      <c r="AB477" s="72"/>
    </row>
    <row r="478" spans="6:28">
      <c r="F478" s="48"/>
      <c r="G478" s="32"/>
      <c r="H478" s="68"/>
      <c r="I478" s="36"/>
      <c r="J478" s="27"/>
      <c r="K478" s="27"/>
      <c r="L478" s="27"/>
      <c r="M478" s="27"/>
      <c r="N478" s="27"/>
      <c r="O478" s="64"/>
      <c r="P478" s="64"/>
      <c r="Q478" s="27"/>
      <c r="R478" s="34"/>
      <c r="S478" s="36"/>
      <c r="T478" s="34"/>
      <c r="U478" s="71"/>
      <c r="V478" s="36"/>
      <c r="W478" s="36"/>
      <c r="X478" s="36"/>
      <c r="Y478" s="27"/>
      <c r="AA478" s="9"/>
      <c r="AB478" s="72"/>
    </row>
    <row r="479" spans="6:28">
      <c r="F479" s="48"/>
      <c r="G479" s="32"/>
      <c r="H479" s="68"/>
      <c r="I479" s="36"/>
      <c r="J479" s="27"/>
      <c r="K479" s="27"/>
      <c r="L479" s="27"/>
      <c r="M479" s="27"/>
      <c r="N479" s="27"/>
      <c r="O479" s="64"/>
      <c r="P479" s="64"/>
      <c r="Q479" s="27"/>
      <c r="R479" s="34"/>
      <c r="S479" s="36"/>
      <c r="T479" s="34"/>
      <c r="U479" s="71"/>
      <c r="V479" s="36"/>
      <c r="W479" s="36"/>
      <c r="X479" s="36"/>
      <c r="Y479" s="27"/>
      <c r="AA479" s="9"/>
      <c r="AB479" s="72"/>
    </row>
    <row r="480" spans="6:28">
      <c r="F480" s="48"/>
      <c r="G480" s="32"/>
      <c r="H480" s="68"/>
      <c r="I480" s="36"/>
      <c r="J480" s="27"/>
      <c r="K480" s="27"/>
      <c r="L480" s="27"/>
      <c r="M480" s="27"/>
      <c r="N480" s="27"/>
      <c r="O480" s="64"/>
      <c r="P480" s="64"/>
      <c r="Q480" s="27"/>
      <c r="R480" s="34"/>
      <c r="S480" s="36"/>
      <c r="T480" s="34"/>
      <c r="U480" s="71"/>
      <c r="V480" s="36"/>
      <c r="W480" s="36"/>
      <c r="X480" s="36"/>
      <c r="Y480" s="27"/>
      <c r="AA480" s="9"/>
      <c r="AB480" s="72"/>
    </row>
    <row r="481" spans="6:28">
      <c r="F481" s="48"/>
      <c r="G481" s="32"/>
      <c r="H481" s="68"/>
      <c r="I481" s="36"/>
      <c r="J481" s="27"/>
      <c r="K481" s="27"/>
      <c r="L481" s="27"/>
      <c r="M481" s="27"/>
      <c r="N481" s="27"/>
      <c r="O481" s="64"/>
      <c r="P481" s="64"/>
      <c r="Q481" s="27"/>
      <c r="R481" s="34"/>
      <c r="S481" s="36"/>
      <c r="T481" s="34"/>
      <c r="U481" s="71"/>
      <c r="V481" s="36"/>
      <c r="W481" s="36"/>
      <c r="X481" s="36"/>
      <c r="Y481" s="27"/>
      <c r="AA481" s="9"/>
      <c r="AB481" s="72"/>
    </row>
    <row r="482" spans="6:28">
      <c r="F482" s="48"/>
      <c r="G482" s="32"/>
      <c r="H482" s="68"/>
      <c r="I482" s="36"/>
      <c r="J482" s="27"/>
      <c r="K482" s="27"/>
      <c r="L482" s="27"/>
      <c r="M482" s="27"/>
      <c r="N482" s="27"/>
      <c r="O482" s="64"/>
      <c r="P482" s="64"/>
      <c r="Q482" s="27"/>
      <c r="R482" s="34"/>
      <c r="S482" s="36"/>
      <c r="T482" s="34"/>
      <c r="U482" s="71"/>
      <c r="V482" s="36"/>
      <c r="W482" s="36"/>
      <c r="X482" s="36"/>
      <c r="Y482" s="27"/>
      <c r="AA482" s="9"/>
      <c r="AB482" s="72"/>
    </row>
    <row r="483" spans="6:28">
      <c r="F483" s="48"/>
      <c r="G483" s="32"/>
      <c r="H483" s="68"/>
      <c r="I483" s="36"/>
      <c r="J483" s="27"/>
      <c r="K483" s="27"/>
      <c r="L483" s="27"/>
      <c r="M483" s="27"/>
      <c r="N483" s="27"/>
      <c r="O483" s="64"/>
      <c r="P483" s="64"/>
      <c r="Q483" s="27"/>
      <c r="R483" s="34"/>
      <c r="S483" s="36"/>
      <c r="T483" s="34"/>
      <c r="U483" s="71"/>
      <c r="V483" s="36"/>
      <c r="W483" s="36"/>
      <c r="X483" s="36"/>
      <c r="Y483" s="27"/>
      <c r="AA483" s="9"/>
      <c r="AB483" s="72"/>
    </row>
    <row r="484" spans="6:28">
      <c r="F484" s="48"/>
      <c r="G484" s="32"/>
      <c r="H484" s="68"/>
      <c r="I484" s="36"/>
      <c r="J484" s="27"/>
      <c r="K484" s="27"/>
      <c r="L484" s="27"/>
      <c r="M484" s="27"/>
      <c r="N484" s="27"/>
      <c r="O484" s="64"/>
      <c r="P484" s="64"/>
      <c r="Q484" s="27"/>
      <c r="R484" s="34"/>
      <c r="S484" s="36"/>
      <c r="T484" s="34"/>
      <c r="U484" s="71"/>
      <c r="V484" s="36"/>
      <c r="W484" s="36"/>
      <c r="X484" s="36"/>
      <c r="Y484" s="27"/>
      <c r="AA484" s="9"/>
      <c r="AB484" s="72"/>
    </row>
    <row r="485" spans="6:28">
      <c r="F485" s="48"/>
      <c r="G485" s="32"/>
      <c r="H485" s="68"/>
      <c r="I485" s="36"/>
      <c r="J485" s="27"/>
      <c r="K485" s="27"/>
      <c r="L485" s="27"/>
      <c r="M485" s="27"/>
      <c r="N485" s="27"/>
      <c r="O485" s="64"/>
      <c r="P485" s="64"/>
      <c r="Q485" s="27"/>
      <c r="R485" s="34"/>
      <c r="S485" s="36"/>
      <c r="T485" s="34"/>
      <c r="U485" s="71"/>
      <c r="V485" s="36"/>
      <c r="W485" s="36"/>
      <c r="X485" s="36"/>
      <c r="Y485" s="27"/>
      <c r="AA485" s="9"/>
      <c r="AB485" s="72"/>
    </row>
    <row r="486" spans="6:28">
      <c r="F486" s="48"/>
      <c r="G486" s="32"/>
      <c r="H486" s="68"/>
      <c r="I486" s="36"/>
      <c r="J486" s="27"/>
      <c r="K486" s="27"/>
      <c r="L486" s="27"/>
      <c r="M486" s="27"/>
      <c r="N486" s="27"/>
      <c r="O486" s="64"/>
      <c r="P486" s="64"/>
      <c r="Q486" s="27"/>
      <c r="R486" s="34"/>
      <c r="S486" s="36"/>
      <c r="T486" s="34"/>
      <c r="U486" s="71"/>
      <c r="V486" s="36"/>
      <c r="W486" s="36"/>
      <c r="X486" s="36"/>
      <c r="Y486" s="27"/>
      <c r="AA486" s="9"/>
      <c r="AB486" s="72"/>
    </row>
    <row r="487" spans="6:28">
      <c r="F487" s="48"/>
      <c r="G487" s="32"/>
      <c r="H487" s="68"/>
      <c r="I487" s="36"/>
      <c r="J487" s="27"/>
      <c r="K487" s="27"/>
      <c r="L487" s="27"/>
      <c r="M487" s="27"/>
      <c r="N487" s="27"/>
      <c r="O487" s="64"/>
      <c r="P487" s="64"/>
      <c r="Q487" s="27"/>
      <c r="R487" s="34"/>
      <c r="S487" s="36"/>
      <c r="T487" s="34"/>
      <c r="U487" s="71"/>
      <c r="V487" s="36"/>
      <c r="W487" s="36"/>
      <c r="X487" s="36"/>
      <c r="Y487" s="27"/>
      <c r="AA487" s="9"/>
      <c r="AB487" s="72"/>
    </row>
    <row r="488" spans="6:28">
      <c r="F488" s="48"/>
      <c r="G488" s="32"/>
      <c r="H488" s="68"/>
      <c r="I488" s="36"/>
      <c r="J488" s="27"/>
      <c r="K488" s="27"/>
      <c r="L488" s="27"/>
      <c r="M488" s="27"/>
      <c r="N488" s="27"/>
      <c r="O488" s="64"/>
      <c r="P488" s="64"/>
      <c r="Q488" s="27"/>
      <c r="R488" s="34"/>
      <c r="S488" s="36"/>
      <c r="T488" s="34"/>
      <c r="U488" s="71"/>
      <c r="V488" s="36"/>
      <c r="W488" s="36"/>
      <c r="X488" s="36"/>
      <c r="Y488" s="27"/>
      <c r="AA488" s="9"/>
      <c r="AB488" s="72"/>
    </row>
    <row r="489" spans="6:28">
      <c r="F489" s="48"/>
      <c r="G489" s="32"/>
      <c r="H489" s="68"/>
      <c r="I489" s="36"/>
      <c r="J489" s="27"/>
      <c r="K489" s="27"/>
      <c r="L489" s="27"/>
      <c r="M489" s="27"/>
      <c r="N489" s="27"/>
      <c r="O489" s="64"/>
      <c r="P489" s="64"/>
      <c r="Q489" s="27"/>
      <c r="R489" s="34"/>
      <c r="S489" s="36"/>
      <c r="T489" s="34"/>
      <c r="U489" s="71"/>
      <c r="V489" s="36"/>
      <c r="W489" s="36"/>
      <c r="X489" s="36"/>
      <c r="Y489" s="27"/>
      <c r="AA489" s="9"/>
      <c r="AB489" s="72"/>
    </row>
    <row r="490" spans="6:28">
      <c r="F490" s="48"/>
      <c r="G490" s="32"/>
      <c r="H490" s="68"/>
      <c r="I490" s="36"/>
      <c r="J490" s="27"/>
      <c r="K490" s="27"/>
      <c r="L490" s="27"/>
      <c r="M490" s="27"/>
      <c r="N490" s="27"/>
      <c r="O490" s="64"/>
      <c r="P490" s="64"/>
      <c r="Q490" s="27"/>
      <c r="R490" s="34"/>
      <c r="S490" s="36"/>
      <c r="T490" s="34"/>
      <c r="U490" s="71"/>
      <c r="V490" s="36"/>
      <c r="W490" s="36"/>
      <c r="X490" s="36"/>
      <c r="Y490" s="27"/>
      <c r="AA490" s="9"/>
      <c r="AB490" s="72"/>
    </row>
    <row r="491" spans="6:28">
      <c r="F491" s="48"/>
      <c r="G491" s="32"/>
      <c r="H491" s="68"/>
      <c r="I491" s="36"/>
      <c r="J491" s="27"/>
      <c r="K491" s="27"/>
      <c r="L491" s="27"/>
      <c r="M491" s="27"/>
      <c r="N491" s="27"/>
      <c r="O491" s="64"/>
      <c r="P491" s="64"/>
      <c r="Q491" s="27"/>
      <c r="R491" s="34"/>
      <c r="S491" s="36"/>
      <c r="T491" s="34"/>
      <c r="U491" s="71"/>
      <c r="V491" s="36"/>
      <c r="W491" s="36"/>
      <c r="X491" s="36"/>
      <c r="Y491" s="27"/>
      <c r="AA491" s="9"/>
      <c r="AB491" s="72"/>
    </row>
    <row r="492" spans="6:28">
      <c r="F492" s="48"/>
      <c r="G492" s="32"/>
      <c r="H492" s="68"/>
      <c r="I492" s="36"/>
      <c r="J492" s="27"/>
      <c r="K492" s="27"/>
      <c r="L492" s="27"/>
      <c r="M492" s="27"/>
      <c r="N492" s="27"/>
      <c r="O492" s="64"/>
      <c r="P492" s="64"/>
      <c r="Q492" s="27"/>
      <c r="R492" s="34"/>
      <c r="S492" s="36"/>
      <c r="T492" s="34"/>
      <c r="U492" s="71"/>
      <c r="V492" s="36"/>
      <c r="W492" s="36"/>
      <c r="X492" s="36"/>
      <c r="Y492" s="27"/>
      <c r="AA492" s="9"/>
      <c r="AB492" s="72"/>
    </row>
    <row r="493" spans="6:28">
      <c r="F493" s="48"/>
      <c r="G493" s="32"/>
      <c r="H493" s="68"/>
      <c r="I493" s="36"/>
      <c r="J493" s="27"/>
      <c r="K493" s="27"/>
      <c r="L493" s="27"/>
      <c r="M493" s="27"/>
      <c r="N493" s="27"/>
      <c r="O493" s="64"/>
      <c r="P493" s="64"/>
      <c r="Q493" s="27"/>
      <c r="R493" s="34"/>
      <c r="S493" s="36"/>
      <c r="T493" s="34"/>
      <c r="U493" s="71"/>
      <c r="V493" s="36"/>
      <c r="W493" s="36"/>
      <c r="X493" s="36"/>
      <c r="Y493" s="27"/>
      <c r="AA493" s="9"/>
      <c r="AB493" s="72"/>
    </row>
    <row r="494" spans="6:28">
      <c r="F494" s="48"/>
      <c r="G494" s="32"/>
      <c r="H494" s="68"/>
      <c r="I494" s="36"/>
      <c r="J494" s="27"/>
      <c r="K494" s="27"/>
      <c r="L494" s="27"/>
      <c r="M494" s="27"/>
      <c r="N494" s="27"/>
      <c r="O494" s="64"/>
      <c r="P494" s="64"/>
      <c r="Q494" s="27"/>
      <c r="R494" s="34"/>
      <c r="S494" s="36"/>
      <c r="T494" s="34"/>
      <c r="U494" s="71"/>
      <c r="V494" s="36"/>
      <c r="W494" s="36"/>
      <c r="X494" s="36"/>
      <c r="Y494" s="27"/>
      <c r="AA494" s="9"/>
      <c r="AB494" s="72"/>
    </row>
    <row r="495" spans="6:28">
      <c r="F495" s="48"/>
      <c r="G495" s="32"/>
      <c r="H495" s="68"/>
      <c r="I495" s="36"/>
      <c r="J495" s="27"/>
      <c r="K495" s="27"/>
      <c r="L495" s="27"/>
      <c r="M495" s="27"/>
      <c r="N495" s="27"/>
      <c r="O495" s="64"/>
      <c r="P495" s="64"/>
      <c r="Q495" s="27"/>
      <c r="R495" s="34"/>
      <c r="S495" s="36"/>
      <c r="T495" s="34"/>
      <c r="U495" s="71"/>
      <c r="V495" s="36"/>
      <c r="W495" s="36"/>
      <c r="X495" s="36"/>
      <c r="Y495" s="27"/>
      <c r="AA495" s="9"/>
      <c r="AB495" s="72"/>
    </row>
    <row r="496" spans="6:28">
      <c r="F496" s="48"/>
      <c r="G496" s="32"/>
      <c r="H496" s="68"/>
      <c r="I496" s="36"/>
      <c r="J496" s="27"/>
      <c r="K496" s="27"/>
      <c r="L496" s="27"/>
      <c r="M496" s="27"/>
      <c r="N496" s="27"/>
      <c r="O496" s="64"/>
      <c r="P496" s="64"/>
      <c r="Q496" s="27"/>
      <c r="R496" s="34"/>
      <c r="S496" s="36"/>
      <c r="T496" s="34"/>
      <c r="U496" s="71"/>
      <c r="V496" s="36"/>
      <c r="W496" s="36"/>
      <c r="X496" s="36"/>
      <c r="Y496" s="27"/>
      <c r="AA496" s="9"/>
      <c r="AB496" s="72"/>
    </row>
    <row r="497" spans="6:28">
      <c r="F497" s="48"/>
      <c r="G497" s="32"/>
      <c r="H497" s="68"/>
      <c r="I497" s="36"/>
      <c r="J497" s="27"/>
      <c r="K497" s="27"/>
      <c r="L497" s="27"/>
      <c r="M497" s="27"/>
      <c r="N497" s="27"/>
      <c r="O497" s="64"/>
      <c r="P497" s="64"/>
      <c r="Q497" s="27"/>
      <c r="R497" s="34"/>
      <c r="S497" s="36"/>
      <c r="T497" s="34"/>
      <c r="U497" s="71"/>
      <c r="V497" s="36"/>
      <c r="W497" s="36"/>
      <c r="X497" s="36"/>
      <c r="Y497" s="27"/>
      <c r="AA497" s="9"/>
      <c r="AB497" s="72"/>
    </row>
    <row r="498" spans="6:28">
      <c r="F498" s="48"/>
      <c r="G498" s="32"/>
      <c r="H498" s="68"/>
      <c r="I498" s="36"/>
      <c r="J498" s="27"/>
      <c r="K498" s="27"/>
      <c r="L498" s="27"/>
      <c r="M498" s="27"/>
      <c r="N498" s="27"/>
      <c r="O498" s="64"/>
      <c r="P498" s="64"/>
      <c r="Q498" s="27"/>
      <c r="R498" s="34"/>
      <c r="S498" s="36"/>
      <c r="T498" s="34"/>
      <c r="U498" s="71"/>
      <c r="V498" s="36"/>
      <c r="W498" s="36"/>
      <c r="X498" s="36"/>
      <c r="Y498" s="27"/>
      <c r="AA498" s="9"/>
      <c r="AB498" s="72"/>
    </row>
    <row r="499" spans="6:28">
      <c r="F499" s="48"/>
      <c r="G499" s="32"/>
      <c r="H499" s="68"/>
      <c r="I499" s="36"/>
      <c r="J499" s="27"/>
      <c r="K499" s="27"/>
      <c r="L499" s="27"/>
      <c r="M499" s="27"/>
      <c r="N499" s="27"/>
      <c r="O499" s="64"/>
      <c r="P499" s="64"/>
      <c r="Q499" s="27"/>
      <c r="R499" s="34"/>
      <c r="S499" s="36"/>
      <c r="T499" s="34"/>
      <c r="U499" s="71"/>
      <c r="V499" s="36"/>
      <c r="W499" s="36"/>
      <c r="X499" s="36"/>
      <c r="Y499" s="27"/>
      <c r="AA499" s="9"/>
      <c r="AB499" s="72"/>
    </row>
    <row r="500" spans="6:28">
      <c r="F500" s="48"/>
      <c r="G500" s="32"/>
      <c r="H500" s="68"/>
      <c r="I500" s="36"/>
      <c r="J500" s="27"/>
      <c r="K500" s="27"/>
      <c r="L500" s="27"/>
      <c r="M500" s="27"/>
      <c r="N500" s="27"/>
      <c r="O500" s="64"/>
      <c r="P500" s="64"/>
      <c r="Q500" s="27"/>
      <c r="R500" s="34"/>
      <c r="S500" s="36"/>
      <c r="T500" s="34"/>
      <c r="U500" s="71"/>
      <c r="V500" s="36"/>
      <c r="W500" s="36"/>
      <c r="X500" s="36"/>
      <c r="Y500" s="27"/>
      <c r="AA500" s="9"/>
      <c r="AB500" s="72"/>
    </row>
    <row r="501" spans="6:28">
      <c r="F501" s="48"/>
      <c r="G501" s="32"/>
      <c r="H501" s="68"/>
      <c r="I501" s="36"/>
      <c r="J501" s="27"/>
      <c r="K501" s="27"/>
      <c r="L501" s="27"/>
      <c r="M501" s="27"/>
      <c r="N501" s="27"/>
      <c r="O501" s="64"/>
      <c r="P501" s="64"/>
      <c r="Q501" s="27"/>
      <c r="R501" s="34"/>
      <c r="S501" s="36"/>
      <c r="T501" s="34"/>
      <c r="U501" s="71"/>
      <c r="V501" s="36"/>
      <c r="W501" s="36"/>
      <c r="X501" s="36"/>
      <c r="Y501" s="27"/>
      <c r="AA501" s="9"/>
      <c r="AB501" s="72"/>
    </row>
    <row r="502" spans="6:28">
      <c r="F502" s="48"/>
      <c r="G502" s="32"/>
      <c r="H502" s="68"/>
      <c r="I502" s="36"/>
      <c r="J502" s="27"/>
      <c r="K502" s="27"/>
      <c r="L502" s="27"/>
      <c r="M502" s="27"/>
      <c r="N502" s="27"/>
      <c r="O502" s="64"/>
      <c r="P502" s="64"/>
      <c r="Q502" s="27"/>
      <c r="R502" s="34"/>
      <c r="S502" s="36"/>
      <c r="T502" s="34"/>
      <c r="U502" s="71"/>
      <c r="V502" s="36"/>
      <c r="W502" s="36"/>
      <c r="X502" s="36"/>
      <c r="Y502" s="27"/>
      <c r="AA502" s="9"/>
      <c r="AB502" s="72"/>
    </row>
    <row r="503" spans="6:28">
      <c r="F503" s="48"/>
      <c r="G503" s="32"/>
      <c r="H503" s="68"/>
      <c r="I503" s="36"/>
      <c r="J503" s="27"/>
      <c r="K503" s="27"/>
      <c r="L503" s="27"/>
      <c r="M503" s="27"/>
      <c r="N503" s="27"/>
      <c r="O503" s="64"/>
      <c r="P503" s="64"/>
      <c r="Q503" s="27"/>
      <c r="R503" s="34"/>
      <c r="S503" s="36"/>
      <c r="T503" s="34"/>
      <c r="U503" s="71"/>
      <c r="V503" s="36"/>
      <c r="W503" s="36"/>
      <c r="X503" s="36"/>
      <c r="Y503" s="27"/>
      <c r="AA503" s="9"/>
      <c r="AB503" s="72"/>
    </row>
    <row r="504" spans="6:28">
      <c r="F504" s="48"/>
      <c r="G504" s="32"/>
      <c r="H504" s="68"/>
      <c r="I504" s="36"/>
      <c r="J504" s="27"/>
      <c r="K504" s="27"/>
      <c r="L504" s="27"/>
      <c r="M504" s="27"/>
      <c r="N504" s="27"/>
      <c r="O504" s="64"/>
      <c r="P504" s="64"/>
      <c r="Q504" s="27"/>
      <c r="R504" s="34"/>
      <c r="S504" s="36"/>
      <c r="T504" s="34"/>
      <c r="U504" s="71"/>
      <c r="V504" s="36"/>
      <c r="W504" s="36"/>
      <c r="X504" s="36"/>
      <c r="Y504" s="27"/>
      <c r="AA504" s="9"/>
      <c r="AB504" s="72"/>
    </row>
    <row r="505" spans="6:28">
      <c r="F505" s="48"/>
      <c r="G505" s="32"/>
      <c r="H505" s="68"/>
      <c r="I505" s="36"/>
      <c r="J505" s="27"/>
      <c r="K505" s="27"/>
      <c r="L505" s="27"/>
      <c r="M505" s="27"/>
      <c r="N505" s="27"/>
      <c r="O505" s="64"/>
      <c r="P505" s="64"/>
      <c r="Q505" s="27"/>
      <c r="R505" s="34"/>
      <c r="S505" s="36"/>
      <c r="T505" s="34"/>
      <c r="U505" s="71"/>
      <c r="V505" s="36"/>
      <c r="W505" s="36"/>
      <c r="X505" s="36"/>
      <c r="Y505" s="27"/>
      <c r="AA505" s="9"/>
      <c r="AB505" s="72"/>
    </row>
    <row r="506" spans="6:28">
      <c r="F506" s="48"/>
      <c r="G506" s="32"/>
      <c r="H506" s="68"/>
      <c r="I506" s="36"/>
      <c r="J506" s="27"/>
      <c r="K506" s="27"/>
      <c r="L506" s="27"/>
      <c r="M506" s="27"/>
      <c r="N506" s="27"/>
      <c r="O506" s="64"/>
      <c r="P506" s="64"/>
      <c r="Q506" s="27"/>
      <c r="R506" s="34"/>
      <c r="S506" s="36"/>
      <c r="T506" s="34"/>
      <c r="U506" s="71"/>
      <c r="V506" s="36"/>
      <c r="W506" s="36"/>
      <c r="X506" s="36"/>
      <c r="Y506" s="27"/>
      <c r="AA506" s="9"/>
      <c r="AB506" s="72"/>
    </row>
    <row r="507" spans="6:28">
      <c r="F507" s="48"/>
      <c r="G507" s="32"/>
      <c r="H507" s="68"/>
      <c r="I507" s="36"/>
      <c r="J507" s="27"/>
      <c r="K507" s="27"/>
      <c r="L507" s="27"/>
      <c r="M507" s="27"/>
      <c r="N507" s="27"/>
      <c r="O507" s="64"/>
      <c r="P507" s="64"/>
      <c r="Q507" s="27"/>
      <c r="R507" s="34"/>
      <c r="S507" s="36"/>
      <c r="T507" s="34"/>
      <c r="U507" s="71"/>
      <c r="V507" s="36"/>
      <c r="W507" s="36"/>
      <c r="X507" s="36"/>
      <c r="Y507" s="27"/>
      <c r="AA507" s="9"/>
      <c r="AB507" s="72"/>
    </row>
    <row r="508" spans="6:28">
      <c r="F508" s="48"/>
      <c r="G508" s="32"/>
      <c r="H508" s="68"/>
      <c r="I508" s="36"/>
      <c r="J508" s="27"/>
      <c r="K508" s="27"/>
      <c r="L508" s="27"/>
      <c r="M508" s="27"/>
      <c r="N508" s="27"/>
      <c r="O508" s="64"/>
      <c r="P508" s="64"/>
      <c r="Q508" s="27"/>
      <c r="R508" s="34"/>
      <c r="S508" s="36"/>
      <c r="T508" s="34"/>
      <c r="U508" s="71"/>
      <c r="V508" s="36"/>
      <c r="W508" s="36"/>
      <c r="X508" s="36"/>
      <c r="Y508" s="27"/>
      <c r="AA508" s="9"/>
      <c r="AB508" s="72"/>
    </row>
    <row r="509" spans="6:28">
      <c r="F509" s="48"/>
      <c r="G509" s="32"/>
      <c r="H509" s="68"/>
      <c r="I509" s="36"/>
      <c r="J509" s="27"/>
      <c r="K509" s="27"/>
      <c r="L509" s="27"/>
      <c r="M509" s="27"/>
      <c r="N509" s="27"/>
      <c r="O509" s="64"/>
      <c r="P509" s="64"/>
      <c r="Q509" s="27"/>
      <c r="R509" s="34"/>
      <c r="S509" s="36"/>
      <c r="T509" s="34"/>
      <c r="U509" s="71"/>
      <c r="V509" s="36"/>
      <c r="W509" s="36"/>
      <c r="X509" s="36"/>
      <c r="Y509" s="27"/>
      <c r="AA509" s="9"/>
      <c r="AB509" s="72"/>
    </row>
    <row r="510" spans="6:28">
      <c r="F510" s="48"/>
      <c r="G510" s="32"/>
      <c r="H510" s="68"/>
      <c r="I510" s="36"/>
      <c r="J510" s="27"/>
      <c r="K510" s="27"/>
      <c r="L510" s="27"/>
      <c r="M510" s="27"/>
      <c r="N510" s="27"/>
      <c r="O510" s="64"/>
      <c r="P510" s="64"/>
      <c r="Q510" s="27"/>
      <c r="R510" s="34"/>
      <c r="S510" s="36"/>
      <c r="T510" s="34"/>
      <c r="U510" s="71"/>
      <c r="V510" s="36"/>
      <c r="W510" s="36"/>
      <c r="X510" s="36"/>
      <c r="Y510" s="27"/>
      <c r="AA510" s="9"/>
      <c r="AB510" s="72"/>
    </row>
    <row r="511" spans="6:28">
      <c r="F511" s="48"/>
      <c r="G511" s="32"/>
      <c r="H511" s="68"/>
      <c r="I511" s="36"/>
      <c r="J511" s="27"/>
      <c r="K511" s="27"/>
      <c r="L511" s="27"/>
      <c r="M511" s="27"/>
      <c r="N511" s="27"/>
      <c r="O511" s="64"/>
      <c r="P511" s="64"/>
      <c r="Q511" s="27"/>
      <c r="R511" s="34"/>
      <c r="S511" s="36"/>
      <c r="T511" s="34"/>
      <c r="U511" s="71"/>
      <c r="V511" s="36"/>
      <c r="W511" s="36"/>
      <c r="X511" s="36"/>
      <c r="Y511" s="27"/>
      <c r="AA511" s="9"/>
      <c r="AB511" s="72"/>
    </row>
    <row r="512" spans="6:28">
      <c r="F512" s="48"/>
      <c r="G512" s="32"/>
      <c r="H512" s="68"/>
      <c r="I512" s="36"/>
      <c r="J512" s="27"/>
      <c r="K512" s="27"/>
      <c r="L512" s="27"/>
      <c r="M512" s="27"/>
      <c r="N512" s="27"/>
      <c r="O512" s="64"/>
      <c r="P512" s="64"/>
      <c r="Q512" s="27"/>
      <c r="R512" s="34"/>
      <c r="S512" s="36"/>
      <c r="T512" s="34"/>
      <c r="U512" s="71"/>
      <c r="V512" s="36"/>
      <c r="W512" s="36"/>
      <c r="X512" s="36"/>
      <c r="Y512" s="27"/>
      <c r="AA512" s="9"/>
      <c r="AB512" s="72"/>
    </row>
    <row r="513" spans="6:28">
      <c r="F513" s="48"/>
      <c r="G513" s="32"/>
      <c r="H513" s="68"/>
      <c r="I513" s="36"/>
      <c r="J513" s="27"/>
      <c r="K513" s="27"/>
      <c r="L513" s="27"/>
      <c r="M513" s="27"/>
      <c r="N513" s="27"/>
      <c r="O513" s="64"/>
      <c r="P513" s="64"/>
      <c r="Q513" s="27"/>
      <c r="R513" s="34"/>
      <c r="S513" s="36"/>
      <c r="T513" s="34"/>
      <c r="U513" s="71"/>
      <c r="V513" s="36"/>
      <c r="W513" s="36"/>
      <c r="X513" s="36"/>
      <c r="Y513" s="27"/>
      <c r="AA513" s="9"/>
      <c r="AB513" s="72"/>
    </row>
    <row r="514" spans="6:28">
      <c r="F514" s="48"/>
      <c r="G514" s="32"/>
      <c r="H514" s="68"/>
      <c r="I514" s="36"/>
      <c r="J514" s="27"/>
      <c r="K514" s="27"/>
      <c r="L514" s="27"/>
      <c r="M514" s="27"/>
      <c r="N514" s="27"/>
      <c r="O514" s="64"/>
      <c r="P514" s="64"/>
      <c r="Q514" s="27"/>
      <c r="R514" s="34"/>
      <c r="S514" s="36"/>
      <c r="T514" s="34"/>
      <c r="U514" s="71"/>
      <c r="V514" s="36"/>
      <c r="W514" s="36"/>
      <c r="X514" s="36"/>
      <c r="Y514" s="27"/>
      <c r="AA514" s="9"/>
      <c r="AB514" s="72"/>
    </row>
    <row r="515" spans="6:28">
      <c r="F515" s="48"/>
      <c r="G515" s="32"/>
      <c r="H515" s="68"/>
      <c r="I515" s="36"/>
      <c r="J515" s="27"/>
      <c r="K515" s="27"/>
      <c r="L515" s="27"/>
      <c r="M515" s="27"/>
      <c r="N515" s="27"/>
      <c r="O515" s="64"/>
      <c r="P515" s="64"/>
      <c r="Q515" s="27"/>
      <c r="R515" s="34"/>
      <c r="S515" s="36"/>
      <c r="T515" s="34"/>
      <c r="U515" s="71"/>
      <c r="V515" s="36"/>
      <c r="W515" s="36"/>
      <c r="X515" s="36"/>
      <c r="Y515" s="27"/>
      <c r="AA515" s="9"/>
      <c r="AB515" s="72"/>
    </row>
    <row r="516" spans="6:28">
      <c r="F516" s="48"/>
      <c r="G516" s="32"/>
      <c r="H516" s="68"/>
      <c r="I516" s="36"/>
      <c r="J516" s="27"/>
      <c r="K516" s="27"/>
      <c r="L516" s="27"/>
      <c r="M516" s="27"/>
      <c r="N516" s="27"/>
      <c r="O516" s="64"/>
      <c r="P516" s="64"/>
      <c r="Q516" s="27"/>
      <c r="R516" s="34"/>
      <c r="S516" s="36"/>
      <c r="T516" s="34"/>
      <c r="U516" s="71"/>
      <c r="V516" s="36"/>
      <c r="W516" s="36"/>
      <c r="X516" s="36"/>
      <c r="Y516" s="27"/>
      <c r="AA516" s="9"/>
      <c r="AB516" s="72"/>
    </row>
    <row r="517" spans="6:28">
      <c r="F517" s="48"/>
      <c r="G517" s="32"/>
      <c r="H517" s="68"/>
      <c r="I517" s="36"/>
      <c r="J517" s="27"/>
      <c r="K517" s="27"/>
      <c r="L517" s="27"/>
      <c r="M517" s="27"/>
      <c r="N517" s="27"/>
      <c r="O517" s="64"/>
      <c r="P517" s="64"/>
      <c r="Q517" s="27"/>
      <c r="R517" s="34"/>
      <c r="S517" s="36"/>
      <c r="T517" s="34"/>
      <c r="U517" s="71"/>
      <c r="V517" s="36"/>
      <c r="W517" s="36"/>
      <c r="X517" s="36"/>
      <c r="Y517" s="27"/>
      <c r="AA517" s="9"/>
      <c r="AB517" s="72"/>
    </row>
    <row r="518" spans="6:28">
      <c r="F518" s="48"/>
      <c r="G518" s="32"/>
      <c r="H518" s="68"/>
      <c r="I518" s="36"/>
      <c r="J518" s="27"/>
      <c r="K518" s="27"/>
      <c r="L518" s="27"/>
      <c r="M518" s="27"/>
      <c r="N518" s="27"/>
      <c r="O518" s="64"/>
      <c r="P518" s="64"/>
      <c r="Q518" s="27"/>
      <c r="R518" s="34"/>
      <c r="S518" s="36"/>
      <c r="T518" s="34"/>
      <c r="U518" s="71"/>
      <c r="V518" s="36"/>
      <c r="W518" s="36"/>
      <c r="X518" s="36"/>
      <c r="Y518" s="27"/>
      <c r="AA518" s="9"/>
      <c r="AB518" s="72"/>
    </row>
    <row r="519" spans="6:28">
      <c r="F519" s="48"/>
      <c r="G519" s="32"/>
      <c r="H519" s="68"/>
      <c r="I519" s="36"/>
      <c r="J519" s="27"/>
      <c r="K519" s="27"/>
      <c r="L519" s="27"/>
      <c r="M519" s="27"/>
      <c r="N519" s="27"/>
      <c r="O519" s="64"/>
      <c r="P519" s="64"/>
      <c r="Q519" s="27"/>
      <c r="R519" s="34"/>
      <c r="S519" s="36"/>
      <c r="T519" s="34"/>
      <c r="U519" s="71"/>
      <c r="V519" s="36"/>
      <c r="W519" s="36"/>
      <c r="X519" s="36"/>
      <c r="Y519" s="27"/>
      <c r="AA519" s="9"/>
      <c r="AB519" s="72"/>
    </row>
    <row r="520" spans="6:28">
      <c r="F520" s="48"/>
      <c r="G520" s="32"/>
      <c r="H520" s="68"/>
      <c r="I520" s="36"/>
      <c r="J520" s="27"/>
      <c r="K520" s="27"/>
      <c r="L520" s="27"/>
      <c r="M520" s="27"/>
      <c r="N520" s="27"/>
      <c r="O520" s="64"/>
      <c r="P520" s="64"/>
      <c r="Q520" s="27"/>
      <c r="R520" s="34"/>
      <c r="S520" s="36"/>
      <c r="T520" s="34"/>
      <c r="U520" s="71"/>
      <c r="V520" s="36"/>
      <c r="W520" s="36"/>
      <c r="X520" s="36"/>
      <c r="Y520" s="27"/>
      <c r="AA520" s="9"/>
      <c r="AB520" s="72"/>
    </row>
    <row r="521" spans="6:28">
      <c r="F521" s="48"/>
      <c r="G521" s="32"/>
      <c r="H521" s="68"/>
      <c r="I521" s="36"/>
      <c r="J521" s="27"/>
      <c r="K521" s="27"/>
      <c r="L521" s="27"/>
      <c r="M521" s="27"/>
      <c r="N521" s="27"/>
      <c r="O521" s="64"/>
      <c r="P521" s="64"/>
      <c r="Q521" s="27"/>
      <c r="R521" s="34"/>
      <c r="S521" s="36"/>
      <c r="T521" s="34"/>
      <c r="U521" s="71"/>
      <c r="V521" s="36"/>
      <c r="W521" s="36"/>
      <c r="X521" s="36"/>
      <c r="Y521" s="27"/>
      <c r="AA521" s="9"/>
      <c r="AB521" s="72"/>
    </row>
    <row r="522" spans="6:28">
      <c r="F522" s="48"/>
      <c r="G522" s="32"/>
      <c r="H522" s="68"/>
      <c r="I522" s="36"/>
      <c r="J522" s="27"/>
      <c r="K522" s="27"/>
      <c r="L522" s="27"/>
      <c r="M522" s="27"/>
      <c r="N522" s="27"/>
      <c r="O522" s="64"/>
      <c r="P522" s="64"/>
      <c r="Q522" s="27"/>
      <c r="R522" s="34"/>
      <c r="S522" s="36"/>
      <c r="T522" s="34"/>
      <c r="U522" s="71"/>
      <c r="V522" s="36"/>
      <c r="W522" s="36"/>
      <c r="X522" s="36"/>
      <c r="Y522" s="27"/>
      <c r="AA522" s="9"/>
      <c r="AB522" s="72"/>
    </row>
    <row r="523" spans="6:28">
      <c r="F523" s="48"/>
      <c r="G523" s="32"/>
      <c r="H523" s="68"/>
      <c r="I523" s="36"/>
      <c r="J523" s="27"/>
      <c r="K523" s="27"/>
      <c r="L523" s="27"/>
      <c r="M523" s="27"/>
      <c r="N523" s="27"/>
      <c r="O523" s="64"/>
      <c r="P523" s="64"/>
      <c r="Q523" s="27"/>
      <c r="R523" s="34"/>
      <c r="S523" s="36"/>
      <c r="T523" s="34"/>
      <c r="U523" s="71"/>
      <c r="V523" s="36"/>
      <c r="W523" s="36"/>
      <c r="X523" s="36"/>
      <c r="Y523" s="27"/>
      <c r="AA523" s="9"/>
      <c r="AB523" s="72"/>
    </row>
    <row r="524" spans="6:28">
      <c r="F524" s="48"/>
      <c r="G524" s="32"/>
      <c r="H524" s="68"/>
      <c r="I524" s="36"/>
      <c r="J524" s="27"/>
      <c r="K524" s="27"/>
      <c r="L524" s="27"/>
      <c r="M524" s="27"/>
      <c r="N524" s="27"/>
      <c r="O524" s="64"/>
      <c r="P524" s="64"/>
      <c r="Q524" s="27"/>
      <c r="R524" s="34"/>
      <c r="S524" s="36"/>
      <c r="T524" s="34"/>
      <c r="U524" s="71"/>
      <c r="V524" s="36"/>
      <c r="W524" s="36"/>
      <c r="X524" s="36"/>
      <c r="Y524" s="27"/>
      <c r="AA524" s="9"/>
      <c r="AB524" s="72"/>
    </row>
    <row r="525" spans="6:28">
      <c r="F525" s="48"/>
      <c r="G525" s="32"/>
      <c r="H525" s="68"/>
      <c r="I525" s="36"/>
      <c r="J525" s="27"/>
      <c r="K525" s="27"/>
      <c r="L525" s="27"/>
      <c r="M525" s="27"/>
      <c r="N525" s="27"/>
      <c r="O525" s="64"/>
      <c r="P525" s="64"/>
      <c r="Q525" s="27"/>
      <c r="R525" s="34"/>
      <c r="S525" s="36"/>
      <c r="T525" s="34"/>
      <c r="U525" s="71"/>
      <c r="V525" s="36"/>
      <c r="W525" s="36"/>
      <c r="X525" s="36"/>
      <c r="Y525" s="27"/>
      <c r="AA525" s="9"/>
      <c r="AB525" s="72"/>
    </row>
    <row r="526" spans="6:28">
      <c r="F526" s="48"/>
      <c r="G526" s="32"/>
      <c r="H526" s="68"/>
      <c r="I526" s="36"/>
      <c r="J526" s="27"/>
      <c r="K526" s="27"/>
      <c r="L526" s="27"/>
      <c r="M526" s="27"/>
      <c r="N526" s="27"/>
      <c r="O526" s="64"/>
      <c r="P526" s="64"/>
      <c r="Q526" s="27"/>
      <c r="R526" s="34"/>
      <c r="S526" s="36"/>
      <c r="T526" s="34"/>
      <c r="U526" s="71"/>
      <c r="V526" s="36"/>
      <c r="W526" s="36"/>
      <c r="X526" s="36"/>
      <c r="Y526" s="27"/>
      <c r="AA526" s="9"/>
      <c r="AB526" s="72"/>
    </row>
    <row r="527" spans="6:28">
      <c r="F527" s="48"/>
      <c r="G527" s="32"/>
      <c r="H527" s="68"/>
      <c r="I527" s="36"/>
      <c r="J527" s="27"/>
      <c r="K527" s="27"/>
      <c r="L527" s="27"/>
      <c r="M527" s="27"/>
      <c r="N527" s="27"/>
      <c r="O527" s="64"/>
      <c r="P527" s="64"/>
      <c r="Q527" s="27"/>
      <c r="R527" s="34"/>
      <c r="S527" s="36"/>
      <c r="T527" s="34"/>
      <c r="U527" s="71"/>
      <c r="V527" s="36"/>
      <c r="W527" s="36"/>
      <c r="X527" s="36"/>
      <c r="Y527" s="27"/>
      <c r="AA527" s="9"/>
      <c r="AB527" s="72"/>
    </row>
    <row r="528" spans="6:28">
      <c r="F528" s="48"/>
      <c r="G528" s="32"/>
      <c r="H528" s="68"/>
      <c r="I528" s="36"/>
      <c r="J528" s="27"/>
      <c r="K528" s="27"/>
      <c r="L528" s="27"/>
      <c r="M528" s="27"/>
      <c r="N528" s="27"/>
      <c r="O528" s="64"/>
      <c r="P528" s="64"/>
      <c r="Q528" s="27"/>
      <c r="R528" s="34"/>
      <c r="S528" s="36"/>
      <c r="T528" s="34"/>
      <c r="U528" s="71"/>
      <c r="V528" s="36"/>
      <c r="W528" s="36"/>
      <c r="X528" s="36"/>
      <c r="Y528" s="27"/>
      <c r="AA528" s="9"/>
      <c r="AB528" s="72"/>
    </row>
    <row r="529" spans="6:28">
      <c r="F529" s="48"/>
      <c r="G529" s="32"/>
      <c r="H529" s="68"/>
      <c r="I529" s="36"/>
      <c r="J529" s="27"/>
      <c r="K529" s="27"/>
      <c r="L529" s="27"/>
      <c r="M529" s="27"/>
      <c r="N529" s="27"/>
      <c r="O529" s="64"/>
      <c r="P529" s="64"/>
      <c r="Q529" s="27"/>
      <c r="R529" s="34"/>
      <c r="S529" s="36"/>
      <c r="T529" s="34"/>
      <c r="U529" s="71"/>
      <c r="V529" s="36"/>
      <c r="W529" s="36"/>
      <c r="X529" s="36"/>
      <c r="Y529" s="27"/>
      <c r="AA529" s="9"/>
      <c r="AB529" s="72"/>
    </row>
    <row r="530" spans="6:28">
      <c r="F530" s="48"/>
      <c r="G530" s="32"/>
      <c r="H530" s="68"/>
      <c r="I530" s="36"/>
      <c r="J530" s="27"/>
      <c r="K530" s="27"/>
      <c r="L530" s="27"/>
      <c r="M530" s="27"/>
      <c r="N530" s="27"/>
      <c r="O530" s="64"/>
      <c r="P530" s="64"/>
      <c r="Q530" s="27"/>
      <c r="R530" s="34"/>
      <c r="S530" s="36"/>
      <c r="T530" s="34"/>
      <c r="U530" s="71"/>
      <c r="V530" s="36"/>
      <c r="W530" s="36"/>
      <c r="X530" s="36"/>
      <c r="Y530" s="27"/>
      <c r="AA530" s="9"/>
      <c r="AB530" s="72"/>
    </row>
    <row r="531" spans="6:28">
      <c r="F531" s="48"/>
      <c r="G531" s="32"/>
      <c r="H531" s="68"/>
      <c r="I531" s="36"/>
      <c r="J531" s="27"/>
      <c r="K531" s="27"/>
      <c r="L531" s="27"/>
      <c r="M531" s="27"/>
      <c r="N531" s="27"/>
      <c r="O531" s="64"/>
      <c r="P531" s="64"/>
      <c r="Q531" s="27"/>
      <c r="R531" s="34"/>
      <c r="S531" s="36"/>
      <c r="T531" s="34"/>
      <c r="U531" s="71"/>
      <c r="V531" s="36"/>
      <c r="W531" s="36"/>
      <c r="X531" s="36"/>
      <c r="Y531" s="27"/>
      <c r="AA531" s="9"/>
      <c r="AB531" s="72"/>
    </row>
    <row r="532" spans="6:28">
      <c r="F532" s="48"/>
      <c r="G532" s="32"/>
      <c r="H532" s="68"/>
      <c r="I532" s="36"/>
      <c r="J532" s="27"/>
      <c r="K532" s="27"/>
      <c r="L532" s="27"/>
      <c r="M532" s="27"/>
      <c r="N532" s="27"/>
      <c r="O532" s="64"/>
      <c r="P532" s="64"/>
      <c r="Q532" s="27"/>
      <c r="R532" s="34"/>
      <c r="S532" s="36"/>
      <c r="T532" s="34"/>
      <c r="U532" s="71"/>
      <c r="V532" s="36"/>
      <c r="W532" s="36"/>
      <c r="X532" s="36"/>
      <c r="Y532" s="27"/>
      <c r="AA532" s="9"/>
      <c r="AB532" s="72"/>
    </row>
    <row r="533" spans="6:28">
      <c r="F533" s="48"/>
      <c r="G533" s="32"/>
      <c r="H533" s="68"/>
      <c r="I533" s="36"/>
      <c r="J533" s="27"/>
      <c r="K533" s="27"/>
      <c r="L533" s="27"/>
      <c r="M533" s="27"/>
      <c r="N533" s="27"/>
      <c r="O533" s="64"/>
      <c r="P533" s="64"/>
      <c r="Q533" s="27"/>
      <c r="R533" s="34"/>
      <c r="S533" s="36"/>
      <c r="T533" s="34"/>
      <c r="U533" s="71"/>
      <c r="V533" s="36"/>
      <c r="W533" s="36"/>
      <c r="X533" s="36"/>
      <c r="Y533" s="27"/>
      <c r="AA533" s="9"/>
      <c r="AB533" s="72"/>
    </row>
    <row r="534" spans="6:28">
      <c r="F534" s="48"/>
      <c r="G534" s="32"/>
      <c r="H534" s="68"/>
      <c r="I534" s="36"/>
      <c r="J534" s="27"/>
      <c r="K534" s="27"/>
      <c r="L534" s="27"/>
      <c r="M534" s="27"/>
      <c r="N534" s="27"/>
      <c r="O534" s="64"/>
      <c r="P534" s="64"/>
      <c r="Q534" s="27"/>
      <c r="R534" s="34"/>
      <c r="S534" s="36"/>
      <c r="T534" s="34"/>
      <c r="U534" s="71"/>
      <c r="V534" s="36"/>
      <c r="W534" s="36"/>
      <c r="X534" s="36"/>
      <c r="Y534" s="27"/>
      <c r="AA534" s="9"/>
      <c r="AB534" s="72"/>
    </row>
    <row r="535" spans="6:28">
      <c r="F535" s="48"/>
      <c r="G535" s="32"/>
      <c r="H535" s="68"/>
      <c r="I535" s="36"/>
      <c r="J535" s="27"/>
      <c r="K535" s="27"/>
      <c r="L535" s="27"/>
      <c r="M535" s="27"/>
      <c r="N535" s="27"/>
      <c r="O535" s="64"/>
      <c r="P535" s="64"/>
      <c r="Q535" s="27"/>
      <c r="R535" s="34"/>
      <c r="S535" s="36"/>
      <c r="T535" s="34"/>
      <c r="U535" s="71"/>
      <c r="V535" s="36"/>
      <c r="W535" s="36"/>
      <c r="X535" s="36"/>
      <c r="Y535" s="27"/>
      <c r="AA535" s="9"/>
      <c r="AB535" s="72"/>
    </row>
    <row r="536" spans="6:28">
      <c r="F536" s="48"/>
      <c r="G536" s="32"/>
      <c r="H536" s="68"/>
      <c r="I536" s="36"/>
      <c r="J536" s="27"/>
      <c r="K536" s="27"/>
      <c r="L536" s="27"/>
      <c r="M536" s="27"/>
      <c r="N536" s="27"/>
      <c r="O536" s="64"/>
      <c r="P536" s="64"/>
      <c r="Q536" s="27"/>
      <c r="R536" s="34"/>
      <c r="S536" s="36"/>
      <c r="T536" s="34"/>
      <c r="U536" s="71"/>
      <c r="V536" s="36"/>
      <c r="W536" s="36"/>
      <c r="X536" s="36"/>
      <c r="Y536" s="27"/>
      <c r="AA536" s="9"/>
      <c r="AB536" s="72"/>
    </row>
    <row r="537" spans="6:28">
      <c r="F537" s="48"/>
      <c r="G537" s="32"/>
      <c r="H537" s="68"/>
      <c r="I537" s="36"/>
      <c r="J537" s="27"/>
      <c r="K537" s="27"/>
      <c r="L537" s="27"/>
      <c r="M537" s="27"/>
      <c r="N537" s="27"/>
      <c r="O537" s="64"/>
      <c r="P537" s="64"/>
      <c r="Q537" s="27"/>
      <c r="R537" s="34"/>
      <c r="S537" s="36"/>
      <c r="T537" s="34"/>
      <c r="U537" s="71"/>
      <c r="V537" s="36"/>
      <c r="W537" s="36"/>
      <c r="X537" s="36"/>
      <c r="Y537" s="27"/>
      <c r="AA537" s="9"/>
      <c r="AB537" s="72"/>
    </row>
    <row r="538" spans="6:28">
      <c r="F538" s="48"/>
      <c r="G538" s="32"/>
      <c r="H538" s="68"/>
      <c r="I538" s="36"/>
      <c r="J538" s="27"/>
      <c r="K538" s="27"/>
      <c r="L538" s="27"/>
      <c r="M538" s="27"/>
      <c r="N538" s="27"/>
      <c r="O538" s="64"/>
      <c r="P538" s="64"/>
      <c r="Q538" s="27"/>
      <c r="R538" s="34"/>
      <c r="S538" s="36"/>
      <c r="T538" s="34"/>
      <c r="U538" s="71"/>
      <c r="V538" s="36"/>
      <c r="W538" s="36"/>
      <c r="X538" s="36"/>
      <c r="Y538" s="27"/>
      <c r="AA538" s="9"/>
      <c r="AB538" s="72"/>
    </row>
    <row r="539" spans="6:28">
      <c r="F539" s="48"/>
      <c r="G539" s="32"/>
      <c r="H539" s="68"/>
      <c r="I539" s="36"/>
      <c r="J539" s="27"/>
      <c r="K539" s="27"/>
      <c r="L539" s="27"/>
      <c r="M539" s="27"/>
      <c r="N539" s="27"/>
      <c r="O539" s="64"/>
      <c r="P539" s="64"/>
      <c r="Q539" s="27"/>
      <c r="R539" s="34"/>
      <c r="S539" s="36"/>
      <c r="T539" s="34"/>
      <c r="U539" s="71"/>
      <c r="V539" s="36"/>
      <c r="W539" s="36"/>
      <c r="X539" s="36"/>
      <c r="Y539" s="27"/>
      <c r="AA539" s="9"/>
      <c r="AB539" s="72"/>
    </row>
    <row r="540" spans="6:28">
      <c r="F540" s="48"/>
      <c r="G540" s="32"/>
      <c r="H540" s="68"/>
      <c r="I540" s="36"/>
      <c r="J540" s="27"/>
      <c r="K540" s="27"/>
      <c r="L540" s="27"/>
      <c r="M540" s="27"/>
      <c r="N540" s="27"/>
      <c r="O540" s="64"/>
      <c r="P540" s="64"/>
      <c r="Q540" s="27"/>
      <c r="R540" s="34"/>
      <c r="S540" s="36"/>
      <c r="T540" s="34"/>
      <c r="U540" s="71"/>
      <c r="V540" s="36"/>
      <c r="W540" s="36"/>
      <c r="X540" s="36"/>
      <c r="Y540" s="27"/>
      <c r="AA540" s="9"/>
      <c r="AB540" s="72"/>
    </row>
    <row r="541" spans="6:28">
      <c r="F541" s="48"/>
      <c r="G541" s="32"/>
      <c r="H541" s="68"/>
      <c r="I541" s="36"/>
      <c r="J541" s="27"/>
      <c r="K541" s="27"/>
      <c r="L541" s="27"/>
      <c r="M541" s="27"/>
      <c r="N541" s="27"/>
      <c r="O541" s="64"/>
      <c r="P541" s="64"/>
      <c r="Q541" s="27"/>
      <c r="R541" s="34"/>
      <c r="S541" s="36"/>
      <c r="T541" s="34"/>
      <c r="U541" s="71"/>
      <c r="V541" s="36"/>
      <c r="W541" s="36"/>
      <c r="X541" s="36"/>
      <c r="Y541" s="27"/>
      <c r="AA541" s="9"/>
      <c r="AB541" s="72"/>
    </row>
    <row r="542" spans="6:28">
      <c r="F542" s="48"/>
      <c r="G542" s="32"/>
      <c r="H542" s="68"/>
      <c r="I542" s="36"/>
      <c r="J542" s="27"/>
      <c r="K542" s="27"/>
      <c r="L542" s="27"/>
      <c r="M542" s="27"/>
      <c r="N542" s="27"/>
      <c r="O542" s="64"/>
      <c r="P542" s="64"/>
      <c r="Q542" s="27"/>
      <c r="R542" s="34"/>
      <c r="S542" s="36"/>
      <c r="T542" s="34"/>
      <c r="U542" s="71"/>
      <c r="V542" s="36"/>
      <c r="W542" s="36"/>
      <c r="X542" s="36"/>
      <c r="Y542" s="27"/>
      <c r="AA542" s="9"/>
      <c r="AB542" s="72"/>
    </row>
    <row r="543" spans="6:28">
      <c r="F543" s="48"/>
      <c r="G543" s="32"/>
      <c r="H543" s="68"/>
      <c r="I543" s="36"/>
      <c r="J543" s="27"/>
      <c r="K543" s="27"/>
      <c r="L543" s="27"/>
      <c r="M543" s="27"/>
      <c r="N543" s="27"/>
      <c r="O543" s="64"/>
      <c r="P543" s="64"/>
      <c r="Q543" s="27"/>
      <c r="R543" s="34"/>
      <c r="S543" s="36"/>
      <c r="T543" s="34"/>
      <c r="U543" s="71"/>
      <c r="V543" s="36"/>
      <c r="W543" s="36"/>
      <c r="X543" s="36"/>
      <c r="Y543" s="27"/>
      <c r="AA543" s="9"/>
      <c r="AB543" s="72"/>
    </row>
    <row r="544" spans="6:28">
      <c r="F544" s="48"/>
      <c r="G544" s="32"/>
      <c r="H544" s="68"/>
      <c r="I544" s="36"/>
      <c r="J544" s="27"/>
      <c r="K544" s="27"/>
      <c r="L544" s="27"/>
      <c r="M544" s="27"/>
      <c r="N544" s="27"/>
      <c r="O544" s="64"/>
      <c r="P544" s="64"/>
      <c r="Q544" s="27"/>
      <c r="R544" s="34"/>
      <c r="S544" s="36"/>
      <c r="T544" s="34"/>
      <c r="U544" s="71"/>
      <c r="V544" s="36"/>
      <c r="W544" s="36"/>
      <c r="X544" s="36"/>
      <c r="Y544" s="27"/>
      <c r="AA544" s="9"/>
      <c r="AB544" s="72"/>
    </row>
    <row r="545" spans="6:28">
      <c r="F545" s="48"/>
      <c r="G545" s="32"/>
      <c r="H545" s="68"/>
      <c r="I545" s="36"/>
      <c r="J545" s="27"/>
      <c r="K545" s="27"/>
      <c r="L545" s="27"/>
      <c r="M545" s="27"/>
      <c r="N545" s="27"/>
      <c r="O545" s="64"/>
      <c r="P545" s="64"/>
      <c r="Q545" s="27"/>
      <c r="R545" s="34"/>
      <c r="S545" s="36"/>
      <c r="T545" s="34"/>
      <c r="U545" s="71"/>
      <c r="V545" s="36"/>
      <c r="W545" s="36"/>
      <c r="X545" s="36"/>
      <c r="Y545" s="27"/>
      <c r="AA545" s="9"/>
      <c r="AB545" s="72"/>
    </row>
    <row r="546" spans="6:28">
      <c r="F546" s="48"/>
      <c r="G546" s="32"/>
      <c r="H546" s="68"/>
      <c r="I546" s="36"/>
      <c r="J546" s="27"/>
      <c r="K546" s="27"/>
      <c r="L546" s="27"/>
      <c r="M546" s="27"/>
      <c r="N546" s="27"/>
      <c r="O546" s="64"/>
      <c r="P546" s="64"/>
      <c r="Q546" s="27"/>
      <c r="R546" s="34"/>
      <c r="S546" s="36"/>
      <c r="T546" s="34"/>
      <c r="U546" s="71"/>
      <c r="V546" s="36"/>
      <c r="W546" s="36"/>
      <c r="X546" s="36"/>
      <c r="Y546" s="27"/>
      <c r="AA546" s="9"/>
      <c r="AB546" s="72"/>
    </row>
    <row r="547" spans="6:28">
      <c r="F547" s="48"/>
      <c r="G547" s="32"/>
      <c r="H547" s="68"/>
      <c r="I547" s="36"/>
      <c r="J547" s="27"/>
      <c r="K547" s="27"/>
      <c r="L547" s="27"/>
      <c r="M547" s="27"/>
      <c r="N547" s="27"/>
      <c r="O547" s="64"/>
      <c r="P547" s="64"/>
      <c r="Q547" s="27"/>
      <c r="R547" s="34"/>
      <c r="S547" s="36"/>
      <c r="T547" s="34"/>
      <c r="U547" s="71"/>
      <c r="V547" s="36"/>
      <c r="W547" s="36"/>
      <c r="X547" s="36"/>
      <c r="Y547" s="27"/>
      <c r="AA547" s="9"/>
      <c r="AB547" s="72"/>
    </row>
    <row r="548" spans="6:28">
      <c r="F548" s="48"/>
      <c r="G548" s="32"/>
      <c r="H548" s="68"/>
      <c r="I548" s="36"/>
      <c r="J548" s="27"/>
      <c r="K548" s="27"/>
      <c r="L548" s="27"/>
      <c r="M548" s="27"/>
      <c r="N548" s="27"/>
      <c r="O548" s="64"/>
      <c r="P548" s="64"/>
      <c r="Q548" s="27"/>
      <c r="R548" s="34"/>
      <c r="S548" s="36"/>
      <c r="T548" s="34"/>
      <c r="U548" s="71"/>
      <c r="V548" s="36"/>
      <c r="W548" s="36"/>
      <c r="X548" s="36"/>
      <c r="Y548" s="27"/>
      <c r="AA548" s="9"/>
      <c r="AB548" s="72"/>
    </row>
    <row r="549" spans="6:28">
      <c r="F549" s="48"/>
      <c r="G549" s="32"/>
      <c r="H549" s="68"/>
      <c r="I549" s="36"/>
      <c r="J549" s="27"/>
      <c r="K549" s="27"/>
      <c r="L549" s="27"/>
      <c r="M549" s="27"/>
      <c r="N549" s="27"/>
      <c r="O549" s="64"/>
      <c r="P549" s="64"/>
      <c r="Q549" s="27"/>
      <c r="R549" s="34"/>
      <c r="S549" s="36"/>
      <c r="T549" s="34"/>
      <c r="U549" s="71"/>
      <c r="V549" s="36"/>
      <c r="W549" s="36"/>
      <c r="X549" s="36"/>
      <c r="Y549" s="27"/>
      <c r="AA549" s="9"/>
      <c r="AB549" s="72"/>
    </row>
    <row r="550" spans="6:28">
      <c r="F550" s="48"/>
      <c r="G550" s="32"/>
      <c r="H550" s="68"/>
      <c r="I550" s="36"/>
      <c r="J550" s="27"/>
      <c r="K550" s="27"/>
      <c r="L550" s="27"/>
      <c r="M550" s="27"/>
      <c r="N550" s="27"/>
      <c r="O550" s="64"/>
      <c r="P550" s="64"/>
      <c r="Q550" s="27"/>
      <c r="R550" s="34"/>
      <c r="S550" s="36"/>
      <c r="T550" s="34"/>
      <c r="U550" s="71"/>
      <c r="V550" s="36"/>
      <c r="W550" s="36"/>
      <c r="X550" s="36"/>
      <c r="Y550" s="27"/>
      <c r="AA550" s="9"/>
      <c r="AB550" s="72"/>
    </row>
    <row r="551" spans="6:28">
      <c r="F551" s="48"/>
      <c r="G551" s="32"/>
      <c r="H551" s="68"/>
      <c r="I551" s="36"/>
      <c r="J551" s="27"/>
      <c r="K551" s="27"/>
      <c r="L551" s="27"/>
      <c r="M551" s="27"/>
      <c r="N551" s="27"/>
      <c r="O551" s="64"/>
      <c r="P551" s="64"/>
      <c r="Q551" s="27"/>
      <c r="R551" s="34"/>
      <c r="S551" s="36"/>
      <c r="T551" s="34"/>
      <c r="U551" s="71"/>
      <c r="V551" s="36"/>
      <c r="W551" s="36"/>
      <c r="X551" s="36"/>
      <c r="Y551" s="27"/>
      <c r="AA551" s="9"/>
      <c r="AB551" s="72"/>
    </row>
    <row r="552" spans="6:28">
      <c r="F552" s="48"/>
      <c r="G552" s="32"/>
      <c r="H552" s="68"/>
      <c r="I552" s="36"/>
      <c r="J552" s="27"/>
      <c r="K552" s="27"/>
      <c r="L552" s="27"/>
      <c r="M552" s="27"/>
      <c r="N552" s="27"/>
      <c r="O552" s="64"/>
      <c r="P552" s="64"/>
      <c r="Q552" s="27"/>
      <c r="R552" s="34"/>
      <c r="S552" s="36"/>
      <c r="T552" s="34"/>
      <c r="U552" s="71"/>
      <c r="V552" s="36"/>
      <c r="W552" s="36"/>
      <c r="X552" s="36"/>
      <c r="Y552" s="27"/>
      <c r="AA552" s="9"/>
      <c r="AB552" s="72"/>
    </row>
    <row r="553" spans="6:28">
      <c r="F553" s="48"/>
      <c r="G553" s="32"/>
      <c r="H553" s="68"/>
      <c r="I553" s="36"/>
      <c r="J553" s="27"/>
      <c r="K553" s="27"/>
      <c r="L553" s="27"/>
      <c r="M553" s="27"/>
      <c r="N553" s="27"/>
      <c r="O553" s="64"/>
      <c r="P553" s="64"/>
      <c r="Q553" s="27"/>
      <c r="R553" s="34"/>
      <c r="S553" s="36"/>
      <c r="T553" s="34"/>
      <c r="U553" s="71"/>
      <c r="V553" s="36"/>
      <c r="W553" s="36"/>
      <c r="X553" s="36"/>
      <c r="Y553" s="27"/>
      <c r="AA553" s="9"/>
      <c r="AB553" s="72"/>
    </row>
    <row r="554" spans="6:28">
      <c r="F554" s="48"/>
      <c r="G554" s="32"/>
      <c r="H554" s="68"/>
      <c r="I554" s="36"/>
      <c r="J554" s="27"/>
      <c r="K554" s="27"/>
      <c r="L554" s="27"/>
      <c r="M554" s="27"/>
      <c r="N554" s="27"/>
      <c r="O554" s="64"/>
      <c r="P554" s="64"/>
      <c r="Q554" s="27"/>
      <c r="R554" s="34"/>
      <c r="S554" s="36"/>
      <c r="T554" s="34"/>
      <c r="U554" s="71"/>
      <c r="V554" s="36"/>
      <c r="W554" s="36"/>
      <c r="X554" s="36"/>
      <c r="Y554" s="27"/>
      <c r="AA554" s="9"/>
      <c r="AB554" s="72"/>
    </row>
    <row r="555" spans="6:28">
      <c r="F555" s="48"/>
      <c r="G555" s="32"/>
      <c r="H555" s="68"/>
      <c r="I555" s="36"/>
      <c r="J555" s="27"/>
      <c r="K555" s="27"/>
      <c r="L555" s="27"/>
      <c r="M555" s="27"/>
      <c r="N555" s="27"/>
      <c r="O555" s="64"/>
      <c r="P555" s="64"/>
      <c r="Q555" s="27"/>
      <c r="R555" s="34"/>
      <c r="S555" s="36"/>
      <c r="T555" s="34"/>
      <c r="U555" s="71"/>
      <c r="V555" s="36"/>
      <c r="W555" s="36"/>
      <c r="X555" s="36"/>
      <c r="Y555" s="27"/>
      <c r="AA555" s="9"/>
      <c r="AB555" s="72"/>
    </row>
    <row r="556" spans="6:28">
      <c r="F556" s="48"/>
      <c r="G556" s="32"/>
      <c r="H556" s="68"/>
      <c r="I556" s="36"/>
      <c r="J556" s="27"/>
      <c r="K556" s="27"/>
      <c r="L556" s="27"/>
      <c r="M556" s="27"/>
      <c r="N556" s="27"/>
      <c r="O556" s="64"/>
      <c r="P556" s="64"/>
      <c r="Q556" s="27"/>
      <c r="R556" s="34"/>
      <c r="S556" s="36"/>
      <c r="T556" s="34"/>
      <c r="U556" s="71"/>
      <c r="V556" s="36"/>
      <c r="W556" s="36"/>
      <c r="X556" s="36"/>
      <c r="Y556" s="27"/>
      <c r="AA556" s="9"/>
      <c r="AB556" s="72"/>
    </row>
    <row r="557" spans="6:28">
      <c r="F557" s="48"/>
      <c r="G557" s="32"/>
      <c r="H557" s="68"/>
      <c r="I557" s="36"/>
      <c r="J557" s="27"/>
      <c r="K557" s="27"/>
      <c r="L557" s="27"/>
      <c r="M557" s="27"/>
      <c r="N557" s="27"/>
      <c r="O557" s="64"/>
      <c r="P557" s="64"/>
      <c r="Q557" s="27"/>
      <c r="R557" s="34"/>
      <c r="S557" s="36"/>
      <c r="T557" s="34"/>
      <c r="U557" s="71"/>
      <c r="V557" s="36"/>
      <c r="W557" s="36"/>
      <c r="X557" s="36"/>
      <c r="Y557" s="27"/>
      <c r="AA557" s="9"/>
      <c r="AB557" s="72"/>
    </row>
    <row r="558" spans="6:28">
      <c r="F558" s="48"/>
      <c r="G558" s="32"/>
      <c r="H558" s="68"/>
      <c r="I558" s="36"/>
      <c r="J558" s="27"/>
      <c r="K558" s="27"/>
      <c r="L558" s="27"/>
      <c r="M558" s="27"/>
      <c r="N558" s="27"/>
      <c r="O558" s="64"/>
      <c r="P558" s="64"/>
      <c r="Q558" s="27"/>
      <c r="R558" s="34"/>
      <c r="S558" s="36"/>
      <c r="T558" s="34"/>
      <c r="U558" s="71"/>
      <c r="V558" s="36"/>
      <c r="W558" s="36"/>
      <c r="X558" s="36"/>
      <c r="Y558" s="27"/>
      <c r="AA558" s="9"/>
      <c r="AB558" s="72"/>
    </row>
    <row r="559" spans="6:28">
      <c r="F559" s="48"/>
      <c r="G559" s="32"/>
      <c r="H559" s="68"/>
      <c r="I559" s="36"/>
      <c r="J559" s="27"/>
      <c r="K559" s="27"/>
      <c r="L559" s="27"/>
      <c r="M559" s="27"/>
      <c r="N559" s="27"/>
      <c r="O559" s="64"/>
      <c r="P559" s="64"/>
      <c r="Q559" s="27"/>
      <c r="R559" s="34"/>
      <c r="S559" s="36"/>
      <c r="T559" s="34"/>
      <c r="U559" s="71"/>
      <c r="V559" s="36"/>
      <c r="W559" s="36"/>
      <c r="X559" s="36"/>
      <c r="Y559" s="27"/>
      <c r="AA559" s="9"/>
      <c r="AB559" s="72"/>
    </row>
    <row r="560" spans="6:28">
      <c r="F560" s="48"/>
      <c r="G560" s="32"/>
      <c r="H560" s="68"/>
      <c r="I560" s="36"/>
      <c r="J560" s="27"/>
      <c r="K560" s="27"/>
      <c r="L560" s="27"/>
      <c r="M560" s="27"/>
      <c r="N560" s="27"/>
      <c r="O560" s="64"/>
      <c r="P560" s="64"/>
      <c r="Q560" s="27"/>
      <c r="R560" s="34"/>
      <c r="S560" s="36"/>
      <c r="T560" s="34"/>
      <c r="U560" s="71"/>
      <c r="V560" s="36"/>
      <c r="W560" s="36"/>
      <c r="X560" s="36"/>
      <c r="Y560" s="27"/>
      <c r="AA560" s="9"/>
      <c r="AB560" s="72"/>
    </row>
    <row r="561" spans="6:28">
      <c r="F561" s="48"/>
      <c r="G561" s="32"/>
      <c r="H561" s="68"/>
      <c r="I561" s="36"/>
      <c r="J561" s="27"/>
      <c r="K561" s="27"/>
      <c r="L561" s="27"/>
      <c r="M561" s="27"/>
      <c r="N561" s="27"/>
      <c r="O561" s="64"/>
      <c r="P561" s="64"/>
      <c r="Q561" s="27"/>
      <c r="R561" s="34"/>
      <c r="S561" s="36"/>
      <c r="T561" s="34"/>
      <c r="U561" s="71"/>
      <c r="V561" s="36"/>
      <c r="W561" s="36"/>
      <c r="X561" s="36"/>
      <c r="Y561" s="27"/>
      <c r="AA561" s="9"/>
      <c r="AB561" s="72"/>
    </row>
    <row r="562" spans="6:28">
      <c r="F562" s="48"/>
      <c r="G562" s="32"/>
      <c r="H562" s="68"/>
      <c r="I562" s="36"/>
      <c r="J562" s="27"/>
      <c r="K562" s="27"/>
      <c r="L562" s="27"/>
      <c r="M562" s="27"/>
      <c r="N562" s="27"/>
      <c r="O562" s="64"/>
      <c r="P562" s="64"/>
      <c r="Q562" s="27"/>
      <c r="R562" s="34"/>
      <c r="S562" s="36"/>
      <c r="T562" s="34"/>
      <c r="U562" s="71"/>
      <c r="V562" s="36"/>
      <c r="W562" s="36"/>
      <c r="X562" s="36"/>
      <c r="Y562" s="27"/>
      <c r="AA562" s="9"/>
      <c r="AB562" s="72"/>
    </row>
    <row r="563" spans="6:28">
      <c r="F563" s="48"/>
      <c r="G563" s="32"/>
      <c r="H563" s="68"/>
      <c r="I563" s="36"/>
      <c r="J563" s="27"/>
      <c r="K563" s="27"/>
      <c r="L563" s="27"/>
      <c r="M563" s="27"/>
      <c r="N563" s="27"/>
      <c r="O563" s="64"/>
      <c r="P563" s="64"/>
      <c r="Q563" s="27"/>
      <c r="R563" s="34"/>
      <c r="S563" s="36"/>
      <c r="T563" s="34"/>
      <c r="U563" s="71"/>
      <c r="V563" s="36"/>
      <c r="W563" s="36"/>
      <c r="X563" s="36"/>
      <c r="Y563" s="27"/>
      <c r="AA563" s="9"/>
      <c r="AB563" s="72"/>
    </row>
    <row r="564" spans="6:28">
      <c r="F564" s="48"/>
      <c r="G564" s="32"/>
      <c r="H564" s="68"/>
      <c r="I564" s="36"/>
      <c r="J564" s="27"/>
      <c r="K564" s="27"/>
      <c r="L564" s="27"/>
      <c r="M564" s="27"/>
      <c r="N564" s="27"/>
      <c r="O564" s="64"/>
      <c r="P564" s="64"/>
      <c r="Q564" s="27"/>
      <c r="R564" s="34"/>
      <c r="S564" s="36"/>
      <c r="T564" s="34"/>
      <c r="U564" s="71"/>
      <c r="V564" s="36"/>
      <c r="W564" s="36"/>
      <c r="X564" s="36"/>
      <c r="Y564" s="27"/>
      <c r="AA564" s="9"/>
      <c r="AB564" s="72"/>
    </row>
    <row r="565" spans="6:28">
      <c r="F565" s="48"/>
      <c r="G565" s="32"/>
      <c r="H565" s="68"/>
      <c r="I565" s="36"/>
      <c r="J565" s="27"/>
      <c r="K565" s="27"/>
      <c r="L565" s="27"/>
      <c r="M565" s="27"/>
      <c r="N565" s="27"/>
      <c r="O565" s="64"/>
      <c r="P565" s="64"/>
      <c r="Q565" s="27"/>
      <c r="R565" s="34"/>
      <c r="S565" s="36"/>
      <c r="T565" s="34"/>
      <c r="U565" s="71"/>
      <c r="V565" s="36"/>
      <c r="W565" s="36"/>
      <c r="X565" s="36"/>
      <c r="Y565" s="27"/>
      <c r="AA565" s="9"/>
      <c r="AB565" s="72"/>
    </row>
    <row r="566" spans="6:28">
      <c r="F566" s="48"/>
      <c r="G566" s="32"/>
      <c r="H566" s="68"/>
      <c r="I566" s="36"/>
      <c r="J566" s="27"/>
      <c r="K566" s="27"/>
      <c r="L566" s="27"/>
      <c r="M566" s="27"/>
      <c r="N566" s="27"/>
      <c r="O566" s="64"/>
      <c r="P566" s="64"/>
      <c r="Q566" s="27"/>
      <c r="R566" s="34"/>
      <c r="S566" s="36"/>
      <c r="T566" s="34"/>
      <c r="U566" s="71"/>
      <c r="V566" s="36"/>
      <c r="W566" s="36"/>
      <c r="X566" s="36"/>
      <c r="Y566" s="27"/>
      <c r="AA566" s="9"/>
      <c r="AB566" s="72"/>
    </row>
    <row r="567" spans="6:28">
      <c r="F567" s="48"/>
      <c r="G567" s="32"/>
      <c r="H567" s="68"/>
      <c r="I567" s="36"/>
      <c r="J567" s="27"/>
      <c r="K567" s="27"/>
      <c r="L567" s="27"/>
      <c r="M567" s="27"/>
      <c r="N567" s="27"/>
      <c r="O567" s="64"/>
      <c r="P567" s="64"/>
      <c r="Q567" s="27"/>
      <c r="R567" s="34"/>
      <c r="S567" s="36"/>
      <c r="T567" s="34"/>
      <c r="U567" s="71"/>
      <c r="V567" s="36"/>
      <c r="W567" s="36"/>
      <c r="X567" s="36"/>
      <c r="Y567" s="27"/>
      <c r="AA567" s="9"/>
      <c r="AB567" s="72"/>
    </row>
    <row r="568" spans="6:28">
      <c r="F568" s="48"/>
      <c r="G568" s="32"/>
      <c r="H568" s="68"/>
      <c r="I568" s="36"/>
      <c r="J568" s="27"/>
      <c r="K568" s="27"/>
      <c r="L568" s="27"/>
      <c r="M568" s="27"/>
      <c r="N568" s="27"/>
      <c r="O568" s="64"/>
      <c r="P568" s="64"/>
      <c r="Q568" s="27"/>
      <c r="R568" s="34"/>
      <c r="S568" s="36"/>
      <c r="T568" s="34"/>
      <c r="U568" s="71"/>
      <c r="V568" s="36"/>
      <c r="W568" s="36"/>
      <c r="X568" s="36"/>
      <c r="Y568" s="27"/>
      <c r="AA568" s="9"/>
      <c r="AB568" s="72"/>
    </row>
    <row r="569" spans="6:28">
      <c r="F569" s="48"/>
      <c r="G569" s="32"/>
      <c r="H569" s="68"/>
      <c r="I569" s="36"/>
      <c r="J569" s="27"/>
      <c r="K569" s="27"/>
      <c r="L569" s="27"/>
      <c r="M569" s="27"/>
      <c r="N569" s="27"/>
      <c r="O569" s="64"/>
      <c r="P569" s="64"/>
      <c r="Q569" s="27"/>
      <c r="R569" s="34"/>
      <c r="S569" s="36"/>
      <c r="T569" s="34"/>
      <c r="U569" s="71"/>
      <c r="V569" s="36"/>
      <c r="W569" s="36"/>
      <c r="X569" s="36"/>
      <c r="Y569" s="27"/>
      <c r="AA569" s="9"/>
      <c r="AB569" s="72"/>
    </row>
    <row r="570" spans="6:28">
      <c r="F570" s="48"/>
      <c r="G570" s="32"/>
      <c r="H570" s="68"/>
      <c r="I570" s="36"/>
      <c r="J570" s="27"/>
      <c r="K570" s="27"/>
      <c r="L570" s="27"/>
      <c r="M570" s="27"/>
      <c r="N570" s="27"/>
      <c r="O570" s="64"/>
      <c r="P570" s="64"/>
      <c r="Q570" s="27"/>
      <c r="R570" s="34"/>
      <c r="S570" s="36"/>
      <c r="T570" s="34"/>
      <c r="U570" s="71"/>
      <c r="V570" s="36"/>
      <c r="W570" s="36"/>
      <c r="X570" s="36"/>
      <c r="Y570" s="27"/>
      <c r="AA570" s="9"/>
      <c r="AB570" s="72"/>
    </row>
    <row r="571" spans="6:28">
      <c r="F571" s="48"/>
      <c r="G571" s="32"/>
      <c r="H571" s="68"/>
      <c r="I571" s="36"/>
      <c r="J571" s="27"/>
      <c r="K571" s="27"/>
      <c r="L571" s="27"/>
      <c r="M571" s="27"/>
      <c r="N571" s="27"/>
      <c r="O571" s="64"/>
      <c r="P571" s="64"/>
      <c r="Q571" s="27"/>
      <c r="R571" s="34"/>
      <c r="S571" s="36"/>
      <c r="T571" s="34"/>
      <c r="U571" s="71"/>
      <c r="V571" s="36"/>
      <c r="W571" s="36"/>
      <c r="X571" s="36"/>
      <c r="Y571" s="27"/>
      <c r="AA571" s="9"/>
      <c r="AB571" s="72"/>
    </row>
    <row r="572" spans="6:28">
      <c r="F572" s="48"/>
      <c r="G572" s="32"/>
      <c r="H572" s="68"/>
      <c r="I572" s="36"/>
      <c r="J572" s="27"/>
      <c r="K572" s="27"/>
      <c r="L572" s="27"/>
      <c r="M572" s="27"/>
      <c r="N572" s="27"/>
      <c r="O572" s="64"/>
      <c r="P572" s="64"/>
      <c r="Q572" s="27"/>
      <c r="R572" s="34"/>
      <c r="S572" s="36"/>
      <c r="T572" s="34"/>
      <c r="U572" s="71"/>
      <c r="V572" s="36"/>
      <c r="W572" s="36"/>
      <c r="X572" s="36"/>
      <c r="Y572" s="27"/>
      <c r="AA572" s="9"/>
      <c r="AB572" s="72"/>
    </row>
    <row r="573" spans="6:28">
      <c r="F573" s="48"/>
      <c r="G573" s="32"/>
      <c r="H573" s="68"/>
      <c r="I573" s="36"/>
      <c r="J573" s="27"/>
      <c r="K573" s="27"/>
      <c r="L573" s="27"/>
      <c r="M573" s="27"/>
      <c r="N573" s="27"/>
      <c r="O573" s="64"/>
      <c r="P573" s="64"/>
      <c r="Q573" s="27"/>
      <c r="R573" s="34"/>
      <c r="S573" s="36"/>
      <c r="T573" s="34"/>
      <c r="U573" s="71"/>
      <c r="V573" s="36"/>
      <c r="W573" s="36"/>
      <c r="X573" s="36"/>
      <c r="Y573" s="27"/>
      <c r="AA573" s="9"/>
      <c r="AB573" s="72"/>
    </row>
    <row r="574" spans="6:28">
      <c r="F574" s="48"/>
      <c r="G574" s="32"/>
      <c r="H574" s="68"/>
      <c r="I574" s="36"/>
      <c r="J574" s="27"/>
      <c r="K574" s="27"/>
      <c r="L574" s="27"/>
      <c r="M574" s="27"/>
      <c r="N574" s="27"/>
      <c r="O574" s="64"/>
      <c r="P574" s="64"/>
      <c r="Q574" s="27"/>
      <c r="R574" s="34"/>
      <c r="S574" s="36"/>
      <c r="T574" s="34"/>
      <c r="U574" s="71"/>
      <c r="V574" s="36"/>
      <c r="W574" s="36"/>
      <c r="X574" s="36"/>
      <c r="Y574" s="27"/>
      <c r="AA574" s="9"/>
      <c r="AB574" s="72"/>
    </row>
    <row r="575" spans="6:28">
      <c r="F575" s="48"/>
      <c r="G575" s="32"/>
      <c r="H575" s="68"/>
      <c r="I575" s="36"/>
      <c r="J575" s="27"/>
      <c r="K575" s="27"/>
      <c r="L575" s="27"/>
      <c r="M575" s="27"/>
      <c r="N575" s="27"/>
      <c r="O575" s="64"/>
      <c r="P575" s="64"/>
      <c r="Q575" s="27"/>
      <c r="R575" s="34"/>
      <c r="S575" s="36"/>
      <c r="T575" s="34"/>
      <c r="U575" s="71"/>
      <c r="V575" s="36"/>
      <c r="W575" s="36"/>
      <c r="X575" s="36"/>
      <c r="Y575" s="27"/>
      <c r="AA575" s="9"/>
      <c r="AB575" s="72"/>
    </row>
    <row r="576" spans="6:28">
      <c r="F576" s="48"/>
      <c r="G576" s="32"/>
      <c r="H576" s="68"/>
      <c r="I576" s="36"/>
      <c r="J576" s="27"/>
      <c r="K576" s="27"/>
      <c r="L576" s="27"/>
      <c r="M576" s="27"/>
      <c r="N576" s="27"/>
      <c r="O576" s="64"/>
      <c r="P576" s="64"/>
      <c r="Q576" s="27"/>
      <c r="R576" s="34"/>
      <c r="S576" s="36"/>
      <c r="T576" s="34"/>
      <c r="U576" s="71"/>
      <c r="V576" s="36"/>
      <c r="W576" s="36"/>
      <c r="X576" s="36"/>
      <c r="Y576" s="27"/>
      <c r="AA576" s="9"/>
      <c r="AB576" s="72"/>
    </row>
    <row r="577" spans="6:28">
      <c r="F577" s="48"/>
      <c r="G577" s="32"/>
      <c r="H577" s="68"/>
      <c r="I577" s="36"/>
      <c r="J577" s="27"/>
      <c r="K577" s="27"/>
      <c r="L577" s="27"/>
      <c r="M577" s="27"/>
      <c r="N577" s="27"/>
      <c r="O577" s="64"/>
      <c r="P577" s="64"/>
      <c r="Q577" s="27"/>
      <c r="R577" s="34"/>
      <c r="S577" s="36"/>
      <c r="T577" s="34"/>
      <c r="U577" s="71"/>
      <c r="V577" s="36"/>
      <c r="W577" s="36"/>
      <c r="X577" s="36"/>
      <c r="Y577" s="27"/>
      <c r="AA577" s="9"/>
      <c r="AB577" s="72"/>
    </row>
    <row r="578" spans="6:28">
      <c r="F578" s="48"/>
      <c r="G578" s="32"/>
      <c r="H578" s="68"/>
      <c r="I578" s="36"/>
      <c r="J578" s="27"/>
      <c r="K578" s="27"/>
      <c r="L578" s="27"/>
      <c r="M578" s="27"/>
      <c r="N578" s="27"/>
      <c r="O578" s="64"/>
      <c r="P578" s="64"/>
      <c r="Q578" s="27"/>
      <c r="R578" s="34"/>
      <c r="S578" s="36"/>
      <c r="T578" s="34"/>
      <c r="U578" s="71"/>
      <c r="V578" s="36"/>
      <c r="W578" s="36"/>
      <c r="X578" s="36"/>
      <c r="Y578" s="27"/>
      <c r="AA578" s="9"/>
      <c r="AB578" s="72"/>
    </row>
    <row r="579" spans="6:28">
      <c r="F579" s="48"/>
      <c r="G579" s="32"/>
      <c r="H579" s="68"/>
      <c r="I579" s="36"/>
      <c r="J579" s="27"/>
      <c r="K579" s="27"/>
      <c r="L579" s="27"/>
      <c r="M579" s="27"/>
      <c r="N579" s="27"/>
      <c r="O579" s="64"/>
      <c r="P579" s="64"/>
      <c r="Q579" s="27"/>
      <c r="R579" s="34"/>
      <c r="S579" s="36"/>
      <c r="T579" s="34"/>
      <c r="U579" s="71"/>
      <c r="V579" s="36"/>
      <c r="W579" s="36"/>
      <c r="X579" s="36"/>
      <c r="Y579" s="27"/>
      <c r="AA579" s="9"/>
      <c r="AB579" s="72"/>
    </row>
    <row r="580" spans="6:28">
      <c r="F580" s="48"/>
      <c r="G580" s="32"/>
      <c r="H580" s="68"/>
      <c r="I580" s="36"/>
      <c r="J580" s="27"/>
      <c r="K580" s="27"/>
      <c r="L580" s="27"/>
      <c r="M580" s="27"/>
      <c r="N580" s="27"/>
      <c r="O580" s="64"/>
      <c r="P580" s="64"/>
      <c r="Q580" s="27"/>
      <c r="R580" s="34"/>
      <c r="S580" s="36"/>
      <c r="T580" s="34"/>
      <c r="U580" s="71"/>
      <c r="V580" s="36"/>
      <c r="W580" s="36"/>
      <c r="X580" s="36"/>
      <c r="Y580" s="27"/>
      <c r="AA580" s="9"/>
      <c r="AB580" s="72"/>
    </row>
    <row r="581" spans="6:28">
      <c r="F581" s="48"/>
      <c r="G581" s="32"/>
      <c r="H581" s="68"/>
      <c r="I581" s="36"/>
      <c r="J581" s="27"/>
      <c r="K581" s="27"/>
      <c r="L581" s="27"/>
      <c r="M581" s="27"/>
      <c r="N581" s="27"/>
      <c r="O581" s="64"/>
      <c r="P581" s="64"/>
      <c r="Q581" s="27"/>
      <c r="R581" s="34"/>
      <c r="S581" s="36"/>
      <c r="T581" s="34"/>
      <c r="U581" s="71"/>
      <c r="V581" s="36"/>
      <c r="W581" s="36"/>
      <c r="X581" s="36"/>
      <c r="Y581" s="27"/>
      <c r="AA581" s="9"/>
      <c r="AB581" s="72"/>
    </row>
    <row r="582" spans="6:28">
      <c r="F582" s="48"/>
      <c r="G582" s="32"/>
      <c r="H582" s="68"/>
      <c r="I582" s="36"/>
      <c r="J582" s="27"/>
      <c r="K582" s="27"/>
      <c r="L582" s="27"/>
      <c r="M582" s="27"/>
      <c r="N582" s="27"/>
      <c r="O582" s="64"/>
      <c r="P582" s="64"/>
      <c r="Q582" s="27"/>
      <c r="R582" s="34"/>
      <c r="S582" s="36"/>
      <c r="T582" s="34"/>
      <c r="U582" s="71"/>
      <c r="V582" s="36"/>
      <c r="W582" s="36"/>
      <c r="X582" s="36"/>
      <c r="Y582" s="27"/>
      <c r="AA582" s="9"/>
      <c r="AB582" s="72"/>
    </row>
    <row r="583" spans="6:28">
      <c r="F583" s="48"/>
      <c r="G583" s="32"/>
      <c r="H583" s="68"/>
      <c r="I583" s="36"/>
      <c r="J583" s="27"/>
      <c r="K583" s="27"/>
      <c r="L583" s="27"/>
      <c r="M583" s="27"/>
      <c r="N583" s="27"/>
      <c r="O583" s="64"/>
      <c r="P583" s="64"/>
      <c r="Q583" s="27"/>
      <c r="R583" s="34"/>
      <c r="S583" s="36"/>
      <c r="T583" s="34"/>
      <c r="U583" s="71"/>
      <c r="V583" s="36"/>
      <c r="W583" s="36"/>
      <c r="X583" s="36"/>
      <c r="Y583" s="27"/>
      <c r="AA583" s="9"/>
      <c r="AB583" s="72"/>
    </row>
    <row r="584" spans="6:28">
      <c r="F584" s="48"/>
      <c r="G584" s="32"/>
      <c r="H584" s="68"/>
      <c r="I584" s="36"/>
      <c r="J584" s="27"/>
      <c r="K584" s="27"/>
      <c r="L584" s="27"/>
      <c r="M584" s="27"/>
      <c r="N584" s="27"/>
      <c r="O584" s="64"/>
      <c r="P584" s="64"/>
      <c r="Q584" s="27"/>
      <c r="R584" s="34"/>
      <c r="S584" s="36"/>
      <c r="T584" s="34"/>
      <c r="U584" s="71"/>
      <c r="V584" s="36"/>
      <c r="W584" s="36"/>
      <c r="X584" s="36"/>
      <c r="Y584" s="27"/>
      <c r="AA584" s="9"/>
      <c r="AB584" s="72"/>
    </row>
    <row r="585" spans="6:28">
      <c r="F585" s="48"/>
      <c r="G585" s="32"/>
      <c r="H585" s="68"/>
      <c r="I585" s="36"/>
      <c r="J585" s="27"/>
      <c r="K585" s="27"/>
      <c r="L585" s="27"/>
      <c r="M585" s="27"/>
      <c r="N585" s="27"/>
      <c r="O585" s="64"/>
      <c r="P585" s="64"/>
      <c r="Q585" s="27"/>
      <c r="R585" s="34"/>
      <c r="S585" s="36"/>
      <c r="T585" s="34"/>
      <c r="U585" s="71"/>
      <c r="V585" s="36"/>
      <c r="W585" s="36"/>
      <c r="X585" s="36"/>
      <c r="Y585" s="27"/>
      <c r="AA585" s="9"/>
      <c r="AB585" s="72"/>
    </row>
    <row r="586" spans="6:28">
      <c r="F586" s="48"/>
      <c r="G586" s="32"/>
      <c r="H586" s="68"/>
      <c r="I586" s="36"/>
      <c r="J586" s="27"/>
      <c r="K586" s="27"/>
      <c r="L586" s="27"/>
      <c r="M586" s="27"/>
      <c r="N586" s="27"/>
      <c r="O586" s="64"/>
      <c r="P586" s="64"/>
      <c r="Q586" s="27"/>
      <c r="R586" s="34"/>
      <c r="S586" s="36"/>
      <c r="T586" s="34"/>
      <c r="U586" s="71"/>
      <c r="V586" s="36"/>
      <c r="W586" s="36"/>
      <c r="X586" s="36"/>
      <c r="Y586" s="27"/>
      <c r="AA586" s="9"/>
      <c r="AB586" s="72"/>
    </row>
    <row r="587" spans="6:28">
      <c r="F587" s="48"/>
      <c r="G587" s="32"/>
      <c r="H587" s="68"/>
      <c r="I587" s="36"/>
      <c r="J587" s="27"/>
      <c r="K587" s="27"/>
      <c r="L587" s="27"/>
      <c r="M587" s="27"/>
      <c r="N587" s="27"/>
      <c r="O587" s="64"/>
      <c r="P587" s="64"/>
      <c r="Q587" s="27"/>
      <c r="R587" s="34"/>
      <c r="S587" s="36"/>
      <c r="T587" s="34"/>
      <c r="U587" s="71"/>
      <c r="V587" s="36"/>
      <c r="W587" s="36"/>
      <c r="X587" s="36"/>
      <c r="Y587" s="27"/>
      <c r="AA587" s="9"/>
      <c r="AB587" s="72"/>
    </row>
    <row r="588" spans="6:28">
      <c r="F588" s="48"/>
      <c r="G588" s="32"/>
      <c r="H588" s="68"/>
      <c r="I588" s="36"/>
      <c r="J588" s="27"/>
      <c r="K588" s="27"/>
      <c r="L588" s="27"/>
      <c r="M588" s="27"/>
      <c r="N588" s="27"/>
      <c r="O588" s="64"/>
      <c r="P588" s="64"/>
      <c r="Q588" s="27"/>
      <c r="R588" s="34"/>
      <c r="S588" s="36"/>
      <c r="T588" s="34"/>
      <c r="U588" s="71"/>
      <c r="V588" s="36"/>
      <c r="W588" s="36"/>
      <c r="X588" s="36"/>
      <c r="Y588" s="27"/>
      <c r="AA588" s="9"/>
      <c r="AB588" s="72"/>
    </row>
    <row r="589" spans="6:28">
      <c r="F589" s="48"/>
      <c r="G589" s="32"/>
      <c r="H589" s="68"/>
      <c r="I589" s="36"/>
      <c r="J589" s="27"/>
      <c r="K589" s="27"/>
      <c r="L589" s="27"/>
      <c r="M589" s="27"/>
      <c r="N589" s="27"/>
      <c r="O589" s="64"/>
      <c r="P589" s="64"/>
      <c r="Q589" s="27"/>
      <c r="R589" s="34"/>
      <c r="S589" s="36"/>
      <c r="T589" s="34"/>
      <c r="U589" s="71"/>
      <c r="V589" s="36"/>
      <c r="W589" s="36"/>
      <c r="X589" s="36"/>
      <c r="Y589" s="27"/>
      <c r="AA589" s="9"/>
      <c r="AB589" s="72"/>
    </row>
    <row r="590" spans="6:28">
      <c r="F590" s="48"/>
      <c r="G590" s="32"/>
      <c r="H590" s="68"/>
      <c r="I590" s="36"/>
      <c r="J590" s="27"/>
      <c r="K590" s="27"/>
      <c r="L590" s="27"/>
      <c r="M590" s="27"/>
      <c r="N590" s="27"/>
      <c r="O590" s="64"/>
      <c r="P590" s="64"/>
      <c r="Q590" s="27"/>
      <c r="R590" s="34"/>
      <c r="S590" s="36"/>
      <c r="T590" s="34"/>
      <c r="U590" s="71"/>
      <c r="V590" s="36"/>
      <c r="W590" s="36"/>
      <c r="X590" s="36"/>
      <c r="Y590" s="27"/>
      <c r="AA590" s="9"/>
      <c r="AB590" s="72"/>
    </row>
    <row r="591" spans="6:28">
      <c r="F591" s="48"/>
      <c r="G591" s="32"/>
      <c r="H591" s="68"/>
      <c r="I591" s="36"/>
      <c r="J591" s="27"/>
      <c r="K591" s="27"/>
      <c r="L591" s="27"/>
      <c r="M591" s="27"/>
      <c r="N591" s="27"/>
      <c r="O591" s="64"/>
      <c r="P591" s="64"/>
      <c r="Q591" s="27"/>
      <c r="R591" s="34"/>
      <c r="S591" s="36"/>
      <c r="T591" s="34"/>
      <c r="U591" s="71"/>
      <c r="V591" s="36"/>
      <c r="W591" s="36"/>
      <c r="X591" s="36"/>
      <c r="Y591" s="27"/>
      <c r="AA591" s="9"/>
      <c r="AB591" s="72"/>
    </row>
    <row r="592" spans="6:28">
      <c r="F592" s="48"/>
      <c r="G592" s="32"/>
      <c r="H592" s="68"/>
      <c r="I592" s="36"/>
      <c r="J592" s="27"/>
      <c r="K592" s="27"/>
      <c r="L592" s="27"/>
      <c r="M592" s="27"/>
      <c r="N592" s="27"/>
      <c r="O592" s="64"/>
      <c r="P592" s="64"/>
      <c r="Q592" s="27"/>
      <c r="R592" s="34"/>
      <c r="S592" s="36"/>
      <c r="T592" s="34"/>
      <c r="U592" s="71"/>
      <c r="V592" s="36"/>
      <c r="W592" s="36"/>
      <c r="X592" s="36"/>
      <c r="Y592" s="27"/>
      <c r="AA592" s="9"/>
      <c r="AB592" s="72"/>
    </row>
    <row r="593" spans="6:28">
      <c r="F593" s="48"/>
      <c r="G593" s="32"/>
      <c r="H593" s="68"/>
      <c r="I593" s="36"/>
      <c r="J593" s="27"/>
      <c r="K593" s="27"/>
      <c r="L593" s="27"/>
      <c r="M593" s="27"/>
      <c r="N593" s="27"/>
      <c r="O593" s="64"/>
      <c r="P593" s="64"/>
      <c r="Q593" s="27"/>
      <c r="R593" s="34"/>
      <c r="S593" s="36"/>
      <c r="T593" s="34"/>
      <c r="U593" s="71"/>
      <c r="V593" s="36"/>
      <c r="W593" s="36"/>
      <c r="X593" s="36"/>
      <c r="Y593" s="27"/>
      <c r="AA593" s="9"/>
      <c r="AB593" s="72"/>
    </row>
    <row r="594" spans="6:28">
      <c r="F594" s="48"/>
      <c r="G594" s="32"/>
      <c r="H594" s="68"/>
      <c r="I594" s="36"/>
      <c r="J594" s="27"/>
      <c r="K594" s="27"/>
      <c r="L594" s="27"/>
      <c r="M594" s="27"/>
      <c r="N594" s="27"/>
      <c r="O594" s="64"/>
      <c r="P594" s="64"/>
      <c r="Q594" s="27"/>
      <c r="R594" s="34"/>
      <c r="S594" s="36"/>
      <c r="T594" s="34"/>
      <c r="U594" s="71"/>
      <c r="V594" s="36"/>
      <c r="W594" s="36"/>
      <c r="X594" s="36"/>
      <c r="Y594" s="27"/>
      <c r="AA594" s="9"/>
      <c r="AB594" s="72"/>
    </row>
    <row r="595" spans="6:28">
      <c r="F595" s="48"/>
      <c r="G595" s="32"/>
      <c r="H595" s="68"/>
      <c r="I595" s="36"/>
      <c r="J595" s="27"/>
      <c r="K595" s="27"/>
      <c r="L595" s="27"/>
      <c r="M595" s="27"/>
      <c r="N595" s="27"/>
      <c r="O595" s="64"/>
      <c r="P595" s="64"/>
      <c r="Q595" s="27"/>
      <c r="R595" s="34"/>
      <c r="S595" s="36"/>
      <c r="T595" s="34"/>
      <c r="U595" s="71"/>
      <c r="V595" s="36"/>
      <c r="W595" s="36"/>
      <c r="X595" s="36"/>
      <c r="Y595" s="27"/>
      <c r="AA595" s="9"/>
      <c r="AB595" s="72"/>
    </row>
    <row r="596" spans="6:28">
      <c r="F596" s="48"/>
      <c r="G596" s="32"/>
      <c r="H596" s="68"/>
      <c r="I596" s="36"/>
      <c r="J596" s="27"/>
      <c r="K596" s="27"/>
      <c r="L596" s="27"/>
      <c r="M596" s="27"/>
      <c r="N596" s="27"/>
      <c r="O596" s="64"/>
      <c r="P596" s="64"/>
      <c r="Q596" s="27"/>
      <c r="R596" s="34"/>
      <c r="S596" s="36"/>
      <c r="T596" s="34"/>
      <c r="U596" s="71"/>
      <c r="V596" s="36"/>
      <c r="W596" s="36"/>
      <c r="X596" s="36"/>
      <c r="Y596" s="27"/>
      <c r="AA596" s="9"/>
      <c r="AB596" s="72"/>
    </row>
    <row r="597" spans="6:28">
      <c r="F597" s="48"/>
      <c r="G597" s="32"/>
      <c r="H597" s="68"/>
      <c r="I597" s="36"/>
      <c r="J597" s="27"/>
      <c r="K597" s="27"/>
      <c r="L597" s="27"/>
      <c r="M597" s="27"/>
      <c r="N597" s="27"/>
      <c r="O597" s="64"/>
      <c r="P597" s="64"/>
      <c r="Q597" s="27"/>
      <c r="R597" s="34"/>
      <c r="S597" s="36"/>
      <c r="T597" s="34"/>
      <c r="U597" s="71"/>
      <c r="V597" s="36"/>
      <c r="W597" s="36"/>
      <c r="X597" s="36"/>
      <c r="Y597" s="27"/>
      <c r="AA597" s="9"/>
      <c r="AB597" s="72"/>
    </row>
    <row r="598" spans="6:28">
      <c r="F598" s="48"/>
      <c r="G598" s="32"/>
      <c r="H598" s="68"/>
      <c r="I598" s="36"/>
      <c r="J598" s="27"/>
      <c r="K598" s="27"/>
      <c r="L598" s="27"/>
      <c r="M598" s="27"/>
      <c r="N598" s="27"/>
      <c r="O598" s="64"/>
      <c r="P598" s="64"/>
      <c r="Q598" s="27"/>
      <c r="R598" s="34"/>
      <c r="S598" s="36"/>
      <c r="T598" s="34"/>
      <c r="U598" s="71"/>
      <c r="V598" s="36"/>
      <c r="W598" s="36"/>
      <c r="X598" s="36"/>
      <c r="Y598" s="27"/>
      <c r="AA598" s="9"/>
      <c r="AB598" s="72"/>
    </row>
    <row r="599" spans="6:28">
      <c r="F599" s="48"/>
      <c r="G599" s="32"/>
      <c r="H599" s="68"/>
      <c r="I599" s="36"/>
      <c r="J599" s="27"/>
      <c r="K599" s="27"/>
      <c r="L599" s="27"/>
      <c r="M599" s="27"/>
      <c r="N599" s="27"/>
      <c r="O599" s="64"/>
      <c r="P599" s="64"/>
      <c r="Q599" s="27"/>
      <c r="R599" s="34"/>
      <c r="S599" s="36"/>
      <c r="T599" s="34"/>
      <c r="U599" s="71"/>
      <c r="V599" s="36"/>
      <c r="W599" s="36"/>
      <c r="X599" s="36"/>
      <c r="Y599" s="27"/>
      <c r="AA599" s="9"/>
      <c r="AB599" s="72"/>
    </row>
    <row r="600" spans="6:28">
      <c r="F600" s="48"/>
      <c r="G600" s="32"/>
      <c r="H600" s="68"/>
      <c r="I600" s="36"/>
      <c r="J600" s="27"/>
      <c r="K600" s="27"/>
      <c r="L600" s="27"/>
      <c r="M600" s="27"/>
      <c r="N600" s="27"/>
      <c r="O600" s="64"/>
      <c r="P600" s="64"/>
      <c r="Q600" s="27"/>
      <c r="R600" s="34"/>
      <c r="S600" s="36"/>
      <c r="T600" s="34"/>
      <c r="U600" s="71"/>
      <c r="V600" s="36"/>
      <c r="W600" s="36"/>
      <c r="X600" s="36"/>
      <c r="Y600" s="27"/>
      <c r="AA600" s="9"/>
      <c r="AB600" s="72"/>
    </row>
    <row r="601" spans="6:28">
      <c r="F601" s="48"/>
      <c r="G601" s="32"/>
      <c r="H601" s="68"/>
      <c r="I601" s="36"/>
      <c r="J601" s="27"/>
      <c r="K601" s="27"/>
      <c r="L601" s="27"/>
      <c r="M601" s="27"/>
      <c r="N601" s="27"/>
      <c r="O601" s="64"/>
      <c r="P601" s="64"/>
      <c r="Q601" s="27"/>
      <c r="R601" s="34"/>
      <c r="S601" s="36"/>
      <c r="T601" s="34"/>
      <c r="U601" s="71"/>
      <c r="V601" s="36"/>
      <c r="W601" s="36"/>
      <c r="X601" s="36"/>
      <c r="Y601" s="27"/>
      <c r="AA601" s="9"/>
      <c r="AB601" s="72"/>
    </row>
    <row r="602" spans="6:28">
      <c r="F602" s="48"/>
      <c r="G602" s="32"/>
      <c r="H602" s="68"/>
      <c r="I602" s="36"/>
      <c r="J602" s="27"/>
      <c r="K602" s="27"/>
      <c r="L602" s="27"/>
      <c r="M602" s="27"/>
      <c r="N602" s="27"/>
      <c r="O602" s="64"/>
      <c r="P602" s="64"/>
      <c r="Q602" s="27"/>
      <c r="R602" s="34"/>
      <c r="S602" s="36"/>
      <c r="T602" s="34"/>
      <c r="U602" s="71"/>
      <c r="V602" s="36"/>
      <c r="W602" s="36"/>
      <c r="X602" s="36"/>
      <c r="Y602" s="27"/>
      <c r="AA602" s="9"/>
      <c r="AB602" s="72"/>
    </row>
    <row r="603" spans="6:28">
      <c r="F603" s="48"/>
      <c r="G603" s="32"/>
      <c r="H603" s="68"/>
      <c r="I603" s="36"/>
      <c r="J603" s="27"/>
      <c r="K603" s="27"/>
      <c r="L603" s="27"/>
      <c r="M603" s="27"/>
      <c r="N603" s="27"/>
      <c r="O603" s="64"/>
      <c r="P603" s="64"/>
      <c r="Q603" s="27"/>
      <c r="R603" s="34"/>
      <c r="S603" s="36"/>
      <c r="T603" s="34"/>
      <c r="U603" s="71"/>
      <c r="V603" s="36"/>
      <c r="W603" s="36"/>
      <c r="X603" s="36"/>
      <c r="Y603" s="27"/>
      <c r="AA603" s="9"/>
      <c r="AB603" s="72"/>
    </row>
    <row r="604" spans="6:28">
      <c r="F604" s="48"/>
      <c r="G604" s="32"/>
      <c r="H604" s="68"/>
      <c r="I604" s="36"/>
      <c r="J604" s="27"/>
      <c r="K604" s="27"/>
      <c r="L604" s="27"/>
      <c r="M604" s="27"/>
      <c r="N604" s="27"/>
      <c r="O604" s="64"/>
      <c r="P604" s="64"/>
      <c r="Q604" s="27"/>
      <c r="R604" s="34"/>
      <c r="S604" s="36"/>
      <c r="T604" s="34"/>
      <c r="U604" s="71"/>
      <c r="V604" s="36"/>
      <c r="W604" s="36"/>
      <c r="X604" s="36"/>
      <c r="Y604" s="27"/>
      <c r="AA604" s="9"/>
      <c r="AB604" s="72"/>
    </row>
    <row r="605" spans="6:28">
      <c r="F605" s="48"/>
      <c r="G605" s="32"/>
      <c r="H605" s="68"/>
      <c r="I605" s="36"/>
      <c r="J605" s="27"/>
      <c r="K605" s="27"/>
      <c r="L605" s="27"/>
      <c r="M605" s="27"/>
      <c r="N605" s="27"/>
      <c r="O605" s="64"/>
      <c r="P605" s="64"/>
      <c r="Q605" s="27"/>
      <c r="R605" s="34"/>
      <c r="S605" s="36"/>
      <c r="T605" s="34"/>
      <c r="U605" s="71"/>
      <c r="V605" s="36"/>
      <c r="W605" s="36"/>
      <c r="X605" s="36"/>
      <c r="Y605" s="27"/>
      <c r="AA605" s="9"/>
      <c r="AB605" s="72"/>
    </row>
    <row r="606" spans="6:28">
      <c r="F606" s="48"/>
      <c r="G606" s="32"/>
      <c r="H606" s="68"/>
      <c r="I606" s="36"/>
      <c r="J606" s="27"/>
      <c r="K606" s="27"/>
      <c r="L606" s="27"/>
      <c r="M606" s="27"/>
      <c r="N606" s="27"/>
      <c r="O606" s="64"/>
      <c r="P606" s="64"/>
      <c r="Q606" s="27"/>
      <c r="R606" s="34"/>
      <c r="S606" s="36"/>
      <c r="T606" s="34"/>
      <c r="U606" s="71"/>
      <c r="V606" s="36"/>
      <c r="W606" s="36"/>
      <c r="X606" s="36"/>
      <c r="Y606" s="27"/>
      <c r="AA606" s="9"/>
      <c r="AB606" s="72"/>
    </row>
    <row r="607" spans="6:28">
      <c r="F607" s="48"/>
      <c r="G607" s="32"/>
      <c r="H607" s="68"/>
      <c r="I607" s="36"/>
      <c r="J607" s="27"/>
      <c r="K607" s="27"/>
      <c r="L607" s="27"/>
      <c r="M607" s="27"/>
      <c r="N607" s="27"/>
      <c r="O607" s="64"/>
      <c r="P607" s="64"/>
      <c r="Q607" s="27"/>
      <c r="R607" s="34"/>
      <c r="S607" s="36"/>
      <c r="T607" s="34"/>
      <c r="U607" s="71"/>
      <c r="V607" s="36"/>
      <c r="W607" s="36"/>
      <c r="X607" s="36"/>
      <c r="Y607" s="27"/>
      <c r="AA607" s="9"/>
      <c r="AB607" s="72"/>
    </row>
    <row r="608" spans="6:28">
      <c r="F608" s="48"/>
      <c r="G608" s="32"/>
      <c r="H608" s="68"/>
      <c r="I608" s="36"/>
      <c r="J608" s="27"/>
      <c r="K608" s="27"/>
      <c r="L608" s="27"/>
      <c r="M608" s="27"/>
      <c r="N608" s="27"/>
      <c r="O608" s="64"/>
      <c r="P608" s="64"/>
      <c r="Q608" s="27"/>
      <c r="R608" s="34"/>
      <c r="S608" s="36"/>
      <c r="T608" s="34"/>
      <c r="U608" s="71"/>
      <c r="V608" s="36"/>
      <c r="W608" s="36"/>
      <c r="X608" s="36"/>
      <c r="Y608" s="27"/>
      <c r="AA608" s="9"/>
      <c r="AB608" s="72"/>
    </row>
    <row r="609" spans="6:28">
      <c r="F609" s="48"/>
      <c r="G609" s="32"/>
      <c r="H609" s="68"/>
      <c r="I609" s="36"/>
      <c r="J609" s="27"/>
      <c r="K609" s="27"/>
      <c r="L609" s="27"/>
      <c r="M609" s="27"/>
      <c r="N609" s="27"/>
      <c r="O609" s="64"/>
      <c r="P609" s="64"/>
      <c r="Q609" s="27"/>
      <c r="R609" s="34"/>
      <c r="S609" s="36"/>
      <c r="T609" s="34"/>
      <c r="U609" s="71"/>
      <c r="V609" s="36"/>
      <c r="W609" s="36"/>
      <c r="X609" s="36"/>
      <c r="Y609" s="27"/>
      <c r="AA609" s="9"/>
      <c r="AB609" s="72"/>
    </row>
    <row r="610" spans="6:28">
      <c r="F610" s="48"/>
      <c r="G610" s="32"/>
      <c r="H610" s="68"/>
      <c r="I610" s="36"/>
      <c r="J610" s="27"/>
      <c r="K610" s="27"/>
      <c r="L610" s="27"/>
      <c r="M610" s="27"/>
      <c r="N610" s="27"/>
      <c r="O610" s="64"/>
      <c r="P610" s="64"/>
      <c r="Q610" s="27"/>
      <c r="R610" s="34"/>
      <c r="S610" s="36"/>
      <c r="T610" s="34"/>
      <c r="U610" s="71"/>
      <c r="V610" s="36"/>
      <c r="W610" s="36"/>
      <c r="X610" s="36"/>
      <c r="Y610" s="27"/>
      <c r="AA610" s="9"/>
      <c r="AB610" s="72"/>
    </row>
    <row r="611" spans="6:28">
      <c r="F611" s="48"/>
      <c r="G611" s="32"/>
      <c r="H611" s="68"/>
      <c r="I611" s="36"/>
      <c r="J611" s="27"/>
      <c r="K611" s="27"/>
      <c r="L611" s="27"/>
      <c r="M611" s="27"/>
      <c r="N611" s="27"/>
      <c r="O611" s="64"/>
      <c r="P611" s="64"/>
      <c r="Q611" s="27"/>
      <c r="R611" s="34"/>
      <c r="S611" s="36"/>
      <c r="T611" s="34"/>
      <c r="U611" s="71"/>
      <c r="V611" s="36"/>
      <c r="W611" s="36"/>
      <c r="X611" s="36"/>
      <c r="Y611" s="27"/>
      <c r="AA611" s="9"/>
      <c r="AB611" s="72"/>
    </row>
    <row r="612" spans="6:28">
      <c r="F612" s="48"/>
      <c r="G612" s="32"/>
      <c r="H612" s="68"/>
      <c r="I612" s="36"/>
      <c r="J612" s="27"/>
      <c r="K612" s="27"/>
      <c r="L612" s="27"/>
      <c r="M612" s="27"/>
      <c r="N612" s="27"/>
      <c r="O612" s="64"/>
      <c r="P612" s="64"/>
      <c r="Q612" s="27"/>
      <c r="R612" s="34"/>
      <c r="S612" s="36"/>
      <c r="T612" s="34"/>
      <c r="U612" s="71"/>
      <c r="V612" s="36"/>
      <c r="W612" s="36"/>
      <c r="X612" s="36"/>
      <c r="Y612" s="27"/>
      <c r="AA612" s="9"/>
      <c r="AB612" s="72"/>
    </row>
    <row r="613" spans="6:28">
      <c r="F613" s="48"/>
      <c r="G613" s="32"/>
      <c r="H613" s="68"/>
      <c r="I613" s="36"/>
      <c r="J613" s="27"/>
      <c r="K613" s="27"/>
      <c r="L613" s="27"/>
      <c r="M613" s="27"/>
      <c r="N613" s="27"/>
      <c r="O613" s="64"/>
      <c r="P613" s="64"/>
      <c r="Q613" s="27"/>
      <c r="R613" s="34"/>
      <c r="S613" s="36"/>
      <c r="T613" s="34"/>
      <c r="U613" s="71"/>
      <c r="V613" s="36"/>
      <c r="W613" s="36"/>
      <c r="X613" s="36"/>
      <c r="Y613" s="27"/>
      <c r="AA613" s="9"/>
      <c r="AB613" s="72"/>
    </row>
    <row r="614" spans="6:28">
      <c r="F614" s="48"/>
      <c r="G614" s="32"/>
      <c r="H614" s="68"/>
      <c r="I614" s="36"/>
      <c r="J614" s="27"/>
      <c r="K614" s="27"/>
      <c r="L614" s="27"/>
      <c r="M614" s="27"/>
      <c r="N614" s="27"/>
      <c r="O614" s="64"/>
      <c r="P614" s="64"/>
      <c r="Q614" s="27"/>
      <c r="R614" s="34"/>
      <c r="S614" s="36"/>
      <c r="T614" s="34"/>
      <c r="U614" s="71"/>
      <c r="V614" s="36"/>
      <c r="W614" s="36"/>
      <c r="X614" s="36"/>
      <c r="Y614" s="27"/>
      <c r="AA614" s="9"/>
      <c r="AB614" s="72"/>
    </row>
    <row r="615" spans="6:28">
      <c r="F615" s="48"/>
      <c r="G615" s="32"/>
      <c r="H615" s="68"/>
      <c r="I615" s="36"/>
      <c r="J615" s="27"/>
      <c r="K615" s="27"/>
      <c r="L615" s="27"/>
      <c r="M615" s="27"/>
      <c r="N615" s="27"/>
      <c r="O615" s="64"/>
      <c r="P615" s="64"/>
      <c r="Q615" s="27"/>
      <c r="R615" s="34"/>
      <c r="S615" s="36"/>
      <c r="T615" s="34"/>
      <c r="U615" s="71"/>
      <c r="V615" s="36"/>
      <c r="W615" s="36"/>
      <c r="X615" s="36"/>
      <c r="Y615" s="27"/>
      <c r="AA615" s="9"/>
      <c r="AB615" s="72"/>
    </row>
    <row r="616" spans="6:28">
      <c r="F616" s="48"/>
      <c r="G616" s="32"/>
      <c r="H616" s="68"/>
      <c r="I616" s="36"/>
      <c r="J616" s="27"/>
      <c r="K616" s="27"/>
      <c r="L616" s="27"/>
      <c r="M616" s="27"/>
      <c r="N616" s="27"/>
      <c r="O616" s="64"/>
      <c r="P616" s="64"/>
      <c r="Q616" s="27"/>
      <c r="R616" s="34"/>
      <c r="S616" s="36"/>
      <c r="T616" s="34"/>
      <c r="U616" s="71"/>
      <c r="V616" s="36"/>
      <c r="W616" s="36"/>
      <c r="X616" s="36"/>
      <c r="Y616" s="27"/>
      <c r="AA616" s="9"/>
      <c r="AB616" s="72"/>
    </row>
    <row r="617" spans="6:28">
      <c r="F617" s="48"/>
      <c r="G617" s="32"/>
      <c r="H617" s="68"/>
      <c r="I617" s="36"/>
      <c r="J617" s="27"/>
      <c r="K617" s="27"/>
      <c r="L617" s="27"/>
      <c r="M617" s="27"/>
      <c r="N617" s="27"/>
      <c r="O617" s="64"/>
      <c r="P617" s="64"/>
      <c r="Q617" s="27"/>
      <c r="R617" s="34"/>
      <c r="S617" s="36"/>
      <c r="T617" s="34"/>
      <c r="U617" s="71"/>
      <c r="V617" s="36"/>
      <c r="W617" s="36"/>
      <c r="X617" s="36"/>
      <c r="Y617" s="27"/>
      <c r="AA617" s="9"/>
      <c r="AB617" s="72"/>
    </row>
    <row r="618" spans="6:28">
      <c r="F618" s="48"/>
      <c r="G618" s="32"/>
      <c r="H618" s="68"/>
      <c r="I618" s="36"/>
      <c r="J618" s="27"/>
      <c r="K618" s="27"/>
      <c r="L618" s="27"/>
      <c r="M618" s="27"/>
      <c r="N618" s="27"/>
      <c r="O618" s="64"/>
      <c r="P618" s="64"/>
      <c r="Q618" s="27"/>
      <c r="R618" s="34"/>
      <c r="S618" s="36"/>
      <c r="T618" s="34"/>
      <c r="U618" s="71"/>
      <c r="V618" s="36"/>
      <c r="W618" s="36"/>
      <c r="X618" s="36"/>
      <c r="Y618" s="27"/>
      <c r="AA618" s="9"/>
      <c r="AB618" s="72"/>
    </row>
    <row r="619" spans="6:28">
      <c r="F619" s="48"/>
      <c r="G619" s="32"/>
      <c r="H619" s="68"/>
      <c r="I619" s="36"/>
      <c r="J619" s="27"/>
      <c r="K619" s="27"/>
      <c r="L619" s="27"/>
      <c r="M619" s="27"/>
      <c r="N619" s="27"/>
      <c r="O619" s="64"/>
      <c r="P619" s="64"/>
      <c r="Q619" s="27"/>
      <c r="R619" s="34"/>
      <c r="S619" s="36"/>
      <c r="T619" s="34"/>
      <c r="U619" s="71"/>
      <c r="V619" s="36"/>
      <c r="W619" s="36"/>
      <c r="X619" s="36"/>
      <c r="Y619" s="27"/>
      <c r="AA619" s="9"/>
      <c r="AB619" s="72"/>
    </row>
    <row r="620" spans="6:28">
      <c r="F620" s="48"/>
      <c r="G620" s="32"/>
      <c r="H620" s="68"/>
      <c r="I620" s="36"/>
      <c r="J620" s="27"/>
      <c r="K620" s="27"/>
      <c r="L620" s="27"/>
      <c r="M620" s="27"/>
      <c r="N620" s="27"/>
      <c r="O620" s="64"/>
      <c r="P620" s="64"/>
      <c r="Q620" s="27"/>
      <c r="R620" s="34"/>
      <c r="S620" s="36"/>
      <c r="T620" s="34"/>
      <c r="U620" s="71"/>
      <c r="V620" s="36"/>
      <c r="W620" s="36"/>
      <c r="X620" s="36"/>
      <c r="Y620" s="27"/>
      <c r="AA620" s="9"/>
      <c r="AB620" s="72"/>
    </row>
    <row r="621" spans="6:28">
      <c r="F621" s="48"/>
      <c r="G621" s="32"/>
      <c r="H621" s="68"/>
      <c r="I621" s="36"/>
      <c r="J621" s="27"/>
      <c r="K621" s="27"/>
      <c r="L621" s="27"/>
      <c r="M621" s="27"/>
      <c r="N621" s="27"/>
      <c r="O621" s="64"/>
      <c r="P621" s="64"/>
      <c r="Q621" s="27"/>
      <c r="R621" s="34"/>
      <c r="S621" s="36"/>
      <c r="T621" s="34"/>
      <c r="U621" s="71"/>
      <c r="V621" s="36"/>
      <c r="W621" s="36"/>
      <c r="X621" s="36"/>
      <c r="Y621" s="27"/>
      <c r="AA621" s="9"/>
      <c r="AB621" s="72"/>
    </row>
    <row r="622" spans="6:28">
      <c r="F622" s="48"/>
      <c r="G622" s="32"/>
      <c r="H622" s="68"/>
      <c r="I622" s="36"/>
      <c r="J622" s="27"/>
      <c r="K622" s="27"/>
      <c r="L622" s="27"/>
      <c r="M622" s="27"/>
      <c r="N622" s="27"/>
      <c r="O622" s="64"/>
      <c r="P622" s="64"/>
      <c r="Q622" s="27"/>
      <c r="R622" s="34"/>
      <c r="S622" s="36"/>
      <c r="T622" s="34"/>
      <c r="U622" s="71"/>
      <c r="V622" s="36"/>
      <c r="W622" s="36"/>
      <c r="X622" s="36"/>
      <c r="Y622" s="27"/>
      <c r="AA622" s="9"/>
      <c r="AB622" s="72"/>
    </row>
    <row r="623" spans="6:28">
      <c r="F623" s="48"/>
      <c r="G623" s="32"/>
      <c r="H623" s="68"/>
      <c r="I623" s="36"/>
      <c r="J623" s="27"/>
      <c r="K623" s="27"/>
      <c r="L623" s="27"/>
      <c r="M623" s="27"/>
      <c r="N623" s="27"/>
      <c r="O623" s="64"/>
      <c r="P623" s="64"/>
      <c r="Q623" s="27"/>
      <c r="R623" s="34"/>
      <c r="S623" s="36"/>
      <c r="T623" s="34"/>
      <c r="U623" s="71"/>
      <c r="V623" s="36"/>
      <c r="W623" s="36"/>
      <c r="X623" s="36"/>
      <c r="Y623" s="27"/>
      <c r="AA623" s="9"/>
      <c r="AB623" s="72"/>
    </row>
    <row r="624" spans="6:28">
      <c r="F624" s="48"/>
      <c r="G624" s="32"/>
      <c r="H624" s="68"/>
      <c r="I624" s="36"/>
      <c r="J624" s="27"/>
      <c r="K624" s="27"/>
      <c r="L624" s="27"/>
      <c r="M624" s="27"/>
      <c r="N624" s="27"/>
      <c r="O624" s="64"/>
      <c r="P624" s="64"/>
      <c r="Q624" s="27"/>
      <c r="R624" s="34"/>
      <c r="S624" s="36"/>
      <c r="T624" s="34"/>
      <c r="U624" s="71"/>
      <c r="V624" s="36"/>
      <c r="W624" s="36"/>
      <c r="X624" s="36"/>
      <c r="Y624" s="27"/>
      <c r="AA624" s="9"/>
      <c r="AB624" s="72"/>
    </row>
    <row r="625" spans="6:28">
      <c r="F625" s="48"/>
      <c r="G625" s="32"/>
      <c r="H625" s="68"/>
      <c r="I625" s="36"/>
      <c r="J625" s="27"/>
      <c r="K625" s="27"/>
      <c r="L625" s="27"/>
      <c r="M625" s="27"/>
      <c r="N625" s="27"/>
      <c r="O625" s="64"/>
      <c r="P625" s="64"/>
      <c r="Q625" s="27"/>
      <c r="R625" s="34"/>
      <c r="S625" s="36"/>
      <c r="T625" s="34"/>
      <c r="U625" s="71"/>
      <c r="V625" s="36"/>
      <c r="W625" s="36"/>
      <c r="X625" s="36"/>
      <c r="Y625" s="27"/>
      <c r="AA625" s="9"/>
      <c r="AB625" s="72"/>
    </row>
    <row r="626" spans="6:28">
      <c r="F626" s="48"/>
      <c r="G626" s="32"/>
      <c r="H626" s="68"/>
      <c r="I626" s="36"/>
      <c r="J626" s="27"/>
      <c r="K626" s="27"/>
      <c r="L626" s="27"/>
      <c r="M626" s="27"/>
      <c r="N626" s="27"/>
      <c r="O626" s="64"/>
      <c r="P626" s="64"/>
      <c r="Q626" s="27"/>
      <c r="R626" s="34"/>
      <c r="S626" s="36"/>
      <c r="T626" s="34"/>
      <c r="U626" s="71"/>
      <c r="V626" s="36"/>
      <c r="W626" s="36"/>
      <c r="X626" s="36"/>
      <c r="Y626" s="27"/>
      <c r="AA626" s="9"/>
      <c r="AB626" s="72"/>
    </row>
    <row r="627" spans="6:28">
      <c r="F627" s="48"/>
      <c r="G627" s="32"/>
      <c r="H627" s="68"/>
      <c r="I627" s="36"/>
      <c r="J627" s="27"/>
      <c r="K627" s="27"/>
      <c r="L627" s="27"/>
      <c r="M627" s="27"/>
      <c r="N627" s="27"/>
      <c r="O627" s="64"/>
      <c r="P627" s="64"/>
      <c r="Q627" s="27"/>
      <c r="R627" s="34"/>
      <c r="S627" s="36"/>
      <c r="T627" s="34"/>
      <c r="U627" s="71"/>
      <c r="V627" s="36"/>
      <c r="W627" s="36"/>
      <c r="X627" s="36"/>
      <c r="Y627" s="27"/>
      <c r="AA627" s="9"/>
      <c r="AB627" s="72"/>
    </row>
    <row r="628" spans="6:28">
      <c r="F628" s="48"/>
      <c r="G628" s="32"/>
      <c r="H628" s="68"/>
      <c r="I628" s="36"/>
      <c r="J628" s="27"/>
      <c r="K628" s="27"/>
      <c r="L628" s="27"/>
      <c r="M628" s="27"/>
      <c r="N628" s="27"/>
      <c r="O628" s="64"/>
      <c r="P628" s="64"/>
      <c r="Q628" s="27"/>
      <c r="R628" s="34"/>
      <c r="S628" s="36"/>
      <c r="T628" s="34"/>
      <c r="U628" s="71"/>
      <c r="V628" s="36"/>
      <c r="W628" s="36"/>
      <c r="X628" s="36"/>
      <c r="Y628" s="27"/>
      <c r="AA628" s="9"/>
      <c r="AB628" s="72"/>
    </row>
    <row r="629" spans="6:28">
      <c r="F629" s="48"/>
      <c r="G629" s="32"/>
      <c r="H629" s="68"/>
      <c r="I629" s="36"/>
      <c r="J629" s="27"/>
      <c r="K629" s="27"/>
      <c r="L629" s="27"/>
      <c r="M629" s="27"/>
      <c r="N629" s="27"/>
      <c r="O629" s="64"/>
      <c r="P629" s="64"/>
      <c r="Q629" s="27"/>
      <c r="R629" s="34"/>
      <c r="S629" s="36"/>
      <c r="T629" s="34"/>
      <c r="U629" s="71"/>
      <c r="V629" s="36"/>
      <c r="W629" s="36"/>
      <c r="X629" s="36"/>
      <c r="Y629" s="27"/>
      <c r="AA629" s="9"/>
      <c r="AB629" s="72"/>
    </row>
    <row r="630" spans="6:28">
      <c r="F630" s="48"/>
      <c r="G630" s="32"/>
      <c r="H630" s="68"/>
      <c r="I630" s="36"/>
      <c r="J630" s="27"/>
      <c r="K630" s="27"/>
      <c r="L630" s="27"/>
      <c r="M630" s="27"/>
      <c r="N630" s="27"/>
      <c r="O630" s="64"/>
      <c r="P630" s="64"/>
      <c r="Q630" s="27"/>
      <c r="R630" s="34"/>
      <c r="S630" s="36"/>
      <c r="T630" s="34"/>
      <c r="U630" s="71"/>
      <c r="V630" s="36"/>
      <c r="W630" s="36"/>
      <c r="X630" s="36"/>
      <c r="Y630" s="27"/>
      <c r="AA630" s="9"/>
      <c r="AB630" s="72"/>
    </row>
    <row r="631" spans="6:28">
      <c r="F631" s="48"/>
      <c r="G631" s="32"/>
      <c r="H631" s="68"/>
      <c r="I631" s="36"/>
      <c r="J631" s="27"/>
      <c r="K631" s="27"/>
      <c r="L631" s="27"/>
      <c r="M631" s="27"/>
      <c r="N631" s="27"/>
      <c r="O631" s="64"/>
      <c r="P631" s="64"/>
      <c r="Q631" s="27"/>
      <c r="R631" s="34"/>
      <c r="S631" s="36"/>
      <c r="T631" s="34"/>
      <c r="U631" s="71"/>
      <c r="V631" s="36"/>
      <c r="W631" s="36"/>
      <c r="X631" s="36"/>
      <c r="Y631" s="27"/>
      <c r="AA631" s="9"/>
      <c r="AB631" s="72"/>
    </row>
    <row r="632" spans="6:28">
      <c r="F632" s="48"/>
      <c r="G632" s="32"/>
      <c r="H632" s="68"/>
      <c r="I632" s="36"/>
      <c r="J632" s="27"/>
      <c r="K632" s="27"/>
      <c r="L632" s="27"/>
      <c r="M632" s="27"/>
      <c r="N632" s="27"/>
      <c r="O632" s="64"/>
      <c r="P632" s="64"/>
      <c r="Q632" s="27"/>
      <c r="R632" s="34"/>
      <c r="S632" s="36"/>
      <c r="T632" s="34"/>
      <c r="U632" s="71"/>
      <c r="V632" s="36"/>
      <c r="W632" s="36"/>
      <c r="X632" s="36"/>
      <c r="Y632" s="27"/>
      <c r="AA632" s="9"/>
      <c r="AB632" s="72"/>
    </row>
    <row r="633" spans="6:28">
      <c r="F633" s="48"/>
      <c r="G633" s="32"/>
      <c r="H633" s="68"/>
      <c r="I633" s="36"/>
      <c r="J633" s="27"/>
      <c r="K633" s="27"/>
      <c r="L633" s="27"/>
      <c r="M633" s="27"/>
      <c r="N633" s="27"/>
      <c r="O633" s="64"/>
      <c r="P633" s="64"/>
      <c r="Q633" s="27"/>
      <c r="R633" s="34"/>
      <c r="S633" s="36"/>
      <c r="T633" s="34"/>
      <c r="U633" s="71"/>
      <c r="V633" s="36"/>
      <c r="W633" s="36"/>
      <c r="X633" s="36"/>
      <c r="Y633" s="27"/>
      <c r="AA633" s="9"/>
      <c r="AB633" s="72"/>
    </row>
    <row r="634" spans="6:28">
      <c r="F634" s="48"/>
      <c r="G634" s="32"/>
      <c r="H634" s="68"/>
      <c r="I634" s="36"/>
      <c r="J634" s="27"/>
      <c r="K634" s="27"/>
      <c r="L634" s="27"/>
      <c r="M634" s="27"/>
      <c r="N634" s="27"/>
      <c r="O634" s="64"/>
      <c r="P634" s="64"/>
      <c r="Q634" s="27"/>
      <c r="R634" s="34"/>
      <c r="S634" s="36"/>
      <c r="T634" s="34"/>
      <c r="U634" s="71"/>
      <c r="V634" s="36"/>
      <c r="W634" s="36"/>
      <c r="X634" s="36"/>
      <c r="Y634" s="27"/>
      <c r="AA634" s="9"/>
      <c r="AB634" s="72"/>
    </row>
    <row r="635" spans="6:28">
      <c r="F635" s="48"/>
      <c r="G635" s="32"/>
      <c r="H635" s="68"/>
      <c r="I635" s="36"/>
      <c r="J635" s="27"/>
      <c r="K635" s="27"/>
      <c r="L635" s="27"/>
      <c r="M635" s="27"/>
      <c r="N635" s="27"/>
      <c r="O635" s="64"/>
      <c r="P635" s="64"/>
      <c r="Q635" s="27"/>
      <c r="R635" s="34"/>
      <c r="S635" s="36"/>
      <c r="T635" s="34"/>
      <c r="U635" s="71"/>
      <c r="V635" s="36"/>
      <c r="W635" s="36"/>
      <c r="X635" s="36"/>
      <c r="Y635" s="27"/>
      <c r="AA635" s="9"/>
      <c r="AB635" s="72"/>
    </row>
    <row r="636" spans="6:28">
      <c r="F636" s="48"/>
      <c r="G636" s="32"/>
      <c r="H636" s="68"/>
      <c r="I636" s="36"/>
      <c r="J636" s="27"/>
      <c r="K636" s="27"/>
      <c r="L636" s="27"/>
      <c r="M636" s="27"/>
      <c r="N636" s="27"/>
      <c r="O636" s="64"/>
      <c r="P636" s="64"/>
      <c r="Q636" s="27"/>
      <c r="R636" s="34"/>
      <c r="S636" s="36"/>
      <c r="T636" s="34"/>
      <c r="U636" s="71"/>
      <c r="V636" s="36"/>
      <c r="W636" s="36"/>
      <c r="X636" s="36"/>
      <c r="Y636" s="27"/>
      <c r="AA636" s="9"/>
      <c r="AB636" s="72"/>
    </row>
    <row r="637" spans="6:28">
      <c r="F637" s="48"/>
      <c r="G637" s="32"/>
      <c r="H637" s="68"/>
      <c r="I637" s="36"/>
      <c r="J637" s="27"/>
      <c r="K637" s="27"/>
      <c r="L637" s="27"/>
      <c r="M637" s="27"/>
      <c r="N637" s="27"/>
      <c r="O637" s="64"/>
      <c r="P637" s="64"/>
      <c r="Q637" s="27"/>
      <c r="R637" s="34"/>
      <c r="S637" s="36"/>
      <c r="T637" s="34"/>
      <c r="U637" s="71"/>
      <c r="V637" s="36"/>
      <c r="W637" s="36"/>
      <c r="X637" s="36"/>
      <c r="Y637" s="27"/>
      <c r="AA637" s="9"/>
      <c r="AB637" s="72"/>
    </row>
    <row r="638" spans="6:28">
      <c r="F638" s="48"/>
      <c r="G638" s="32"/>
      <c r="H638" s="68"/>
      <c r="I638" s="36"/>
      <c r="J638" s="27"/>
      <c r="K638" s="27"/>
      <c r="L638" s="27"/>
      <c r="M638" s="27"/>
      <c r="N638" s="27"/>
      <c r="O638" s="64"/>
      <c r="P638" s="64"/>
      <c r="Q638" s="27"/>
      <c r="R638" s="34"/>
      <c r="S638" s="36"/>
      <c r="T638" s="34"/>
      <c r="U638" s="71"/>
      <c r="V638" s="36"/>
      <c r="W638" s="36"/>
      <c r="X638" s="36"/>
      <c r="Y638" s="27"/>
      <c r="AA638" s="9"/>
      <c r="AB638" s="72"/>
    </row>
    <row r="639" spans="6:28">
      <c r="F639" s="48"/>
      <c r="G639" s="32"/>
      <c r="H639" s="68"/>
      <c r="I639" s="36"/>
      <c r="J639" s="27"/>
      <c r="K639" s="27"/>
      <c r="L639" s="27"/>
      <c r="M639" s="27"/>
      <c r="N639" s="27"/>
      <c r="O639" s="64"/>
      <c r="P639" s="64"/>
      <c r="Q639" s="27"/>
      <c r="R639" s="34"/>
      <c r="S639" s="36"/>
      <c r="T639" s="34"/>
      <c r="U639" s="71"/>
      <c r="V639" s="36"/>
      <c r="W639" s="36"/>
      <c r="X639" s="36"/>
      <c r="Y639" s="27"/>
      <c r="AA639" s="9"/>
      <c r="AB639" s="72"/>
    </row>
    <row r="640" spans="6:28">
      <c r="F640" s="48"/>
      <c r="G640" s="32"/>
      <c r="H640" s="68"/>
      <c r="I640" s="36"/>
      <c r="J640" s="27"/>
      <c r="K640" s="27"/>
      <c r="L640" s="27"/>
      <c r="M640" s="27"/>
      <c r="N640" s="27"/>
      <c r="O640" s="64"/>
      <c r="P640" s="64"/>
      <c r="Q640" s="27"/>
      <c r="R640" s="34"/>
      <c r="S640" s="36"/>
      <c r="T640" s="34"/>
      <c r="U640" s="71"/>
      <c r="V640" s="36"/>
      <c r="W640" s="36"/>
      <c r="X640" s="36"/>
      <c r="Y640" s="27"/>
      <c r="AA640" s="9"/>
      <c r="AB640" s="72"/>
    </row>
    <row r="641" spans="6:28">
      <c r="F641" s="48"/>
      <c r="G641" s="32"/>
      <c r="H641" s="68"/>
      <c r="I641" s="36"/>
      <c r="J641" s="27"/>
      <c r="K641" s="27"/>
      <c r="L641" s="27"/>
      <c r="M641" s="27"/>
      <c r="N641" s="27"/>
      <c r="O641" s="64"/>
      <c r="P641" s="64"/>
      <c r="Q641" s="27"/>
      <c r="R641" s="34"/>
      <c r="S641" s="36"/>
      <c r="T641" s="34"/>
      <c r="U641" s="71"/>
      <c r="V641" s="36"/>
      <c r="W641" s="36"/>
      <c r="X641" s="36"/>
      <c r="Y641" s="27"/>
      <c r="AA641" s="9"/>
      <c r="AB641" s="72"/>
    </row>
    <row r="642" spans="6:28">
      <c r="F642" s="48"/>
      <c r="G642" s="32"/>
      <c r="H642" s="68"/>
      <c r="I642" s="36"/>
      <c r="J642" s="27"/>
      <c r="K642" s="27"/>
      <c r="L642" s="27"/>
      <c r="M642" s="27"/>
      <c r="N642" s="27"/>
      <c r="O642" s="64"/>
      <c r="P642" s="64"/>
      <c r="Q642" s="27"/>
      <c r="R642" s="34"/>
      <c r="S642" s="36"/>
      <c r="T642" s="34"/>
      <c r="U642" s="71"/>
      <c r="V642" s="36"/>
      <c r="W642" s="36"/>
      <c r="X642" s="36"/>
      <c r="Y642" s="27"/>
      <c r="AA642" s="9"/>
      <c r="AB642" s="72"/>
    </row>
    <row r="643" spans="6:28">
      <c r="F643" s="48"/>
      <c r="G643" s="32"/>
      <c r="H643" s="68"/>
      <c r="I643" s="36"/>
      <c r="J643" s="27"/>
      <c r="K643" s="27"/>
      <c r="L643" s="27"/>
      <c r="M643" s="27"/>
      <c r="N643" s="27"/>
      <c r="O643" s="64"/>
      <c r="P643" s="64"/>
      <c r="Q643" s="27"/>
      <c r="R643" s="34"/>
      <c r="S643" s="36"/>
      <c r="T643" s="34"/>
      <c r="U643" s="71"/>
      <c r="V643" s="36"/>
      <c r="W643" s="36"/>
      <c r="X643" s="36"/>
      <c r="Y643" s="27"/>
      <c r="AA643" s="9"/>
      <c r="AB643" s="72"/>
    </row>
    <row r="644" spans="6:28">
      <c r="F644" s="48"/>
      <c r="G644" s="32"/>
      <c r="H644" s="68"/>
      <c r="I644" s="36"/>
      <c r="J644" s="27"/>
      <c r="K644" s="27"/>
      <c r="L644" s="27"/>
      <c r="M644" s="27"/>
      <c r="N644" s="27"/>
      <c r="O644" s="64"/>
      <c r="P644" s="64"/>
      <c r="Q644" s="27"/>
      <c r="R644" s="34"/>
      <c r="S644" s="36"/>
      <c r="T644" s="34"/>
      <c r="U644" s="71"/>
      <c r="V644" s="36"/>
      <c r="W644" s="36"/>
      <c r="X644" s="36"/>
      <c r="Y644" s="27"/>
      <c r="AA644" s="9"/>
      <c r="AB644" s="72"/>
    </row>
    <row r="645" spans="6:28">
      <c r="F645" s="48"/>
      <c r="G645" s="32"/>
      <c r="H645" s="68"/>
      <c r="I645" s="36"/>
      <c r="J645" s="27"/>
      <c r="K645" s="27"/>
      <c r="L645" s="27"/>
      <c r="M645" s="27"/>
      <c r="N645" s="27"/>
      <c r="O645" s="64"/>
      <c r="P645" s="64"/>
      <c r="Q645" s="27"/>
      <c r="R645" s="34"/>
      <c r="S645" s="36"/>
      <c r="T645" s="34"/>
      <c r="U645" s="71"/>
      <c r="V645" s="36"/>
      <c r="W645" s="36"/>
      <c r="X645" s="36"/>
      <c r="Y645" s="27"/>
      <c r="AA645" s="9"/>
      <c r="AB645" s="72"/>
    </row>
    <row r="646" spans="6:28">
      <c r="F646" s="48"/>
      <c r="G646" s="32"/>
      <c r="H646" s="68"/>
      <c r="I646" s="36"/>
      <c r="J646" s="27"/>
      <c r="K646" s="27"/>
      <c r="L646" s="27"/>
      <c r="M646" s="27"/>
      <c r="N646" s="27"/>
      <c r="O646" s="64"/>
      <c r="P646" s="64"/>
      <c r="Q646" s="27"/>
      <c r="R646" s="34"/>
      <c r="S646" s="36"/>
      <c r="T646" s="34"/>
      <c r="U646" s="71"/>
      <c r="V646" s="36"/>
      <c r="W646" s="36"/>
      <c r="X646" s="36"/>
      <c r="Y646" s="27"/>
      <c r="AA646" s="9"/>
      <c r="AB646" s="72"/>
    </row>
    <row r="647" spans="6:28">
      <c r="F647" s="48"/>
      <c r="G647" s="32"/>
      <c r="H647" s="68"/>
      <c r="I647" s="36"/>
      <c r="J647" s="27"/>
      <c r="K647" s="27"/>
      <c r="L647" s="27"/>
      <c r="M647" s="27"/>
      <c r="N647" s="27"/>
      <c r="O647" s="64"/>
      <c r="P647" s="64"/>
      <c r="Q647" s="27"/>
      <c r="R647" s="34"/>
      <c r="S647" s="36"/>
      <c r="T647" s="34"/>
      <c r="U647" s="71"/>
      <c r="V647" s="36"/>
      <c r="W647" s="36"/>
      <c r="X647" s="36"/>
      <c r="Y647" s="27"/>
      <c r="AA647" s="9"/>
      <c r="AB647" s="72"/>
    </row>
    <row r="648" spans="6:28">
      <c r="F648" s="48"/>
      <c r="G648" s="32"/>
      <c r="H648" s="68"/>
      <c r="I648" s="36"/>
      <c r="J648" s="27"/>
      <c r="K648" s="27"/>
      <c r="L648" s="27"/>
      <c r="M648" s="27"/>
      <c r="N648" s="27"/>
      <c r="O648" s="64"/>
      <c r="P648" s="64"/>
      <c r="Q648" s="27"/>
      <c r="R648" s="34"/>
      <c r="S648" s="36"/>
      <c r="T648" s="34"/>
      <c r="U648" s="71"/>
      <c r="V648" s="36"/>
      <c r="W648" s="36"/>
      <c r="X648" s="36"/>
      <c r="Y648" s="27"/>
      <c r="AA648" s="9"/>
      <c r="AB648" s="72"/>
    </row>
    <row r="649" spans="6:28">
      <c r="F649" s="48"/>
      <c r="G649" s="32"/>
      <c r="H649" s="68"/>
      <c r="I649" s="36"/>
      <c r="J649" s="27"/>
      <c r="K649" s="27"/>
      <c r="L649" s="27"/>
      <c r="M649" s="27"/>
      <c r="N649" s="27"/>
      <c r="O649" s="64"/>
      <c r="P649" s="64"/>
      <c r="Q649" s="27"/>
      <c r="R649" s="34"/>
      <c r="S649" s="36"/>
      <c r="T649" s="34"/>
      <c r="U649" s="71"/>
      <c r="V649" s="36"/>
      <c r="W649" s="36"/>
      <c r="X649" s="36"/>
      <c r="Y649" s="27"/>
      <c r="AA649" s="9"/>
      <c r="AB649" s="72"/>
    </row>
    <row r="650" spans="6:28">
      <c r="F650" s="48"/>
      <c r="G650" s="32"/>
      <c r="H650" s="68"/>
      <c r="I650" s="36"/>
      <c r="J650" s="27"/>
      <c r="K650" s="27"/>
      <c r="L650" s="27"/>
      <c r="M650" s="27"/>
      <c r="N650" s="27"/>
      <c r="O650" s="64"/>
      <c r="P650" s="64"/>
      <c r="Q650" s="27"/>
      <c r="R650" s="34"/>
      <c r="S650" s="36"/>
      <c r="T650" s="34"/>
      <c r="U650" s="71"/>
      <c r="V650" s="36"/>
      <c r="W650" s="36"/>
      <c r="X650" s="36"/>
      <c r="Y650" s="27"/>
      <c r="AA650" s="9"/>
      <c r="AB650" s="72"/>
    </row>
    <row r="651" spans="6:28">
      <c r="F651" s="48"/>
      <c r="G651" s="32"/>
      <c r="H651" s="68"/>
      <c r="I651" s="36"/>
      <c r="J651" s="27"/>
      <c r="K651" s="27"/>
      <c r="L651" s="27"/>
      <c r="M651" s="27"/>
      <c r="N651" s="27"/>
      <c r="O651" s="64"/>
      <c r="P651" s="64"/>
      <c r="Q651" s="27"/>
      <c r="R651" s="34"/>
      <c r="S651" s="36"/>
      <c r="T651" s="34"/>
      <c r="U651" s="71"/>
      <c r="V651" s="36"/>
      <c r="W651" s="36"/>
      <c r="X651" s="36"/>
      <c r="Y651" s="27"/>
      <c r="AA651" s="9"/>
      <c r="AB651" s="72"/>
    </row>
    <row r="652" spans="6:28">
      <c r="F652" s="48"/>
      <c r="G652" s="32"/>
      <c r="H652" s="68"/>
      <c r="I652" s="36"/>
      <c r="J652" s="27"/>
      <c r="K652" s="27"/>
      <c r="L652" s="27"/>
      <c r="M652" s="27"/>
      <c r="N652" s="27"/>
      <c r="O652" s="64"/>
      <c r="P652" s="64"/>
      <c r="Q652" s="27"/>
      <c r="R652" s="34"/>
      <c r="S652" s="36"/>
      <c r="T652" s="34"/>
      <c r="U652" s="71"/>
      <c r="V652" s="36"/>
      <c r="W652" s="36"/>
      <c r="X652" s="36"/>
      <c r="Y652" s="27"/>
      <c r="AA652" s="9"/>
      <c r="AB652" s="72"/>
    </row>
    <row r="653" spans="6:28">
      <c r="F653" s="48"/>
      <c r="G653" s="32"/>
      <c r="H653" s="68"/>
      <c r="I653" s="36"/>
      <c r="J653" s="27"/>
      <c r="K653" s="27"/>
      <c r="L653" s="27"/>
      <c r="M653" s="27"/>
      <c r="N653" s="27"/>
      <c r="O653" s="64"/>
      <c r="P653" s="64"/>
      <c r="Q653" s="27"/>
      <c r="R653" s="34"/>
      <c r="S653" s="36"/>
      <c r="T653" s="34"/>
      <c r="U653" s="71"/>
      <c r="V653" s="36"/>
      <c r="W653" s="36"/>
      <c r="X653" s="36"/>
      <c r="Y653" s="27"/>
      <c r="AA653" s="9"/>
      <c r="AB653" s="72"/>
    </row>
    <row r="654" spans="6:28">
      <c r="F654" s="48"/>
      <c r="G654" s="32"/>
      <c r="H654" s="68"/>
      <c r="I654" s="36"/>
      <c r="J654" s="27"/>
      <c r="K654" s="27"/>
      <c r="L654" s="27"/>
      <c r="M654" s="27"/>
      <c r="N654" s="27"/>
      <c r="O654" s="64"/>
      <c r="P654" s="64"/>
      <c r="Q654" s="27"/>
      <c r="R654" s="34"/>
      <c r="S654" s="36"/>
      <c r="T654" s="34"/>
      <c r="U654" s="71"/>
      <c r="V654" s="36"/>
      <c r="W654" s="36"/>
      <c r="X654" s="36"/>
      <c r="Y654" s="27"/>
      <c r="AA654" s="9"/>
      <c r="AB654" s="72"/>
    </row>
    <row r="655" spans="6:28">
      <c r="F655" s="48"/>
      <c r="G655" s="32"/>
      <c r="H655" s="68"/>
      <c r="I655" s="36"/>
      <c r="J655" s="27"/>
      <c r="K655" s="27"/>
      <c r="L655" s="27"/>
      <c r="M655" s="27"/>
      <c r="N655" s="27"/>
      <c r="O655" s="64"/>
      <c r="P655" s="64"/>
      <c r="Q655" s="27"/>
      <c r="R655" s="34"/>
      <c r="S655" s="36"/>
      <c r="T655" s="34"/>
      <c r="U655" s="71"/>
      <c r="V655" s="36"/>
      <c r="W655" s="36"/>
      <c r="X655" s="36"/>
      <c r="Y655" s="27"/>
      <c r="AA655" s="9"/>
      <c r="AB655" s="72"/>
    </row>
    <row r="656" spans="6:28">
      <c r="F656" s="48"/>
      <c r="G656" s="32"/>
      <c r="H656" s="68"/>
      <c r="I656" s="36"/>
      <c r="J656" s="27"/>
      <c r="K656" s="27"/>
      <c r="L656" s="27"/>
      <c r="M656" s="27"/>
      <c r="N656" s="27"/>
      <c r="O656" s="64"/>
      <c r="P656" s="64"/>
      <c r="Q656" s="27"/>
      <c r="R656" s="34"/>
      <c r="S656" s="36"/>
      <c r="T656" s="34"/>
      <c r="U656" s="71"/>
      <c r="V656" s="36"/>
      <c r="W656" s="36"/>
      <c r="X656" s="36"/>
      <c r="Y656" s="27"/>
      <c r="AA656" s="9"/>
      <c r="AB656" s="72"/>
    </row>
    <row r="657" spans="6:28">
      <c r="F657" s="48"/>
      <c r="G657" s="32"/>
      <c r="H657" s="68"/>
      <c r="I657" s="36"/>
      <c r="J657" s="27"/>
      <c r="K657" s="27"/>
      <c r="L657" s="27"/>
      <c r="M657" s="27"/>
      <c r="N657" s="27"/>
      <c r="O657" s="64"/>
      <c r="P657" s="64"/>
      <c r="Q657" s="27"/>
      <c r="R657" s="34"/>
      <c r="S657" s="36"/>
      <c r="T657" s="34"/>
      <c r="U657" s="71"/>
      <c r="V657" s="36"/>
      <c r="W657" s="36"/>
      <c r="X657" s="36"/>
      <c r="Y657" s="27"/>
      <c r="AA657" s="9"/>
      <c r="AB657" s="72"/>
    </row>
    <row r="658" spans="6:28">
      <c r="F658" s="48"/>
      <c r="G658" s="32"/>
      <c r="H658" s="68"/>
      <c r="I658" s="36"/>
      <c r="J658" s="27"/>
      <c r="K658" s="27"/>
      <c r="L658" s="27"/>
      <c r="M658" s="27"/>
      <c r="N658" s="27"/>
      <c r="O658" s="64"/>
      <c r="P658" s="64"/>
      <c r="Q658" s="27"/>
      <c r="R658" s="34"/>
      <c r="S658" s="36"/>
      <c r="T658" s="34"/>
      <c r="U658" s="71"/>
      <c r="V658" s="36"/>
      <c r="W658" s="36"/>
      <c r="X658" s="36"/>
      <c r="Y658" s="27"/>
      <c r="AA658" s="9"/>
      <c r="AB658" s="72"/>
    </row>
    <row r="659" spans="6:28">
      <c r="F659" s="48"/>
      <c r="G659" s="32"/>
      <c r="H659" s="68"/>
      <c r="I659" s="36"/>
      <c r="J659" s="27"/>
      <c r="K659" s="27"/>
      <c r="L659" s="27"/>
      <c r="M659" s="27"/>
      <c r="N659" s="27"/>
      <c r="O659" s="64"/>
      <c r="P659" s="64"/>
      <c r="Q659" s="27"/>
      <c r="R659" s="34"/>
      <c r="S659" s="36"/>
      <c r="T659" s="34"/>
      <c r="U659" s="71"/>
      <c r="V659" s="36"/>
      <c r="W659" s="36"/>
      <c r="X659" s="36"/>
      <c r="Y659" s="27"/>
      <c r="AA659" s="9"/>
      <c r="AB659" s="72"/>
    </row>
    <row r="660" spans="6:28">
      <c r="F660" s="48"/>
      <c r="G660" s="32"/>
      <c r="H660" s="68"/>
      <c r="I660" s="36"/>
      <c r="J660" s="27"/>
      <c r="K660" s="27"/>
      <c r="L660" s="27"/>
      <c r="M660" s="27"/>
      <c r="N660" s="27"/>
      <c r="O660" s="64"/>
      <c r="P660" s="64"/>
      <c r="Q660" s="27"/>
      <c r="R660" s="34"/>
      <c r="S660" s="36"/>
      <c r="T660" s="34"/>
      <c r="U660" s="71"/>
      <c r="V660" s="36"/>
      <c r="W660" s="36"/>
      <c r="X660" s="36"/>
      <c r="Y660" s="27"/>
      <c r="AA660" s="9"/>
      <c r="AB660" s="72"/>
    </row>
    <row r="661" spans="6:28">
      <c r="F661" s="48"/>
      <c r="G661" s="32"/>
      <c r="H661" s="68"/>
      <c r="I661" s="36"/>
      <c r="J661" s="27"/>
      <c r="K661" s="27"/>
      <c r="L661" s="27"/>
      <c r="M661" s="27"/>
      <c r="N661" s="27"/>
      <c r="O661" s="64"/>
      <c r="P661" s="64"/>
      <c r="Q661" s="27"/>
      <c r="R661" s="34"/>
      <c r="S661" s="36"/>
      <c r="T661" s="34"/>
      <c r="U661" s="71"/>
      <c r="V661" s="36"/>
      <c r="W661" s="36"/>
      <c r="X661" s="36"/>
      <c r="Y661" s="27"/>
      <c r="AA661" s="9"/>
      <c r="AB661" s="72"/>
    </row>
    <row r="662" spans="6:28">
      <c r="F662" s="48"/>
      <c r="G662" s="32"/>
      <c r="H662" s="68"/>
      <c r="I662" s="36"/>
      <c r="J662" s="27"/>
      <c r="K662" s="27"/>
      <c r="L662" s="27"/>
      <c r="M662" s="27"/>
      <c r="N662" s="27"/>
      <c r="O662" s="64"/>
      <c r="P662" s="64"/>
      <c r="Q662" s="27"/>
      <c r="R662" s="34"/>
      <c r="S662" s="36"/>
      <c r="T662" s="34"/>
      <c r="U662" s="71"/>
      <c r="V662" s="36"/>
      <c r="W662" s="36"/>
      <c r="X662" s="36"/>
      <c r="Y662" s="27"/>
      <c r="AA662" s="9"/>
      <c r="AB662" s="72"/>
    </row>
    <row r="663" spans="6:28">
      <c r="F663" s="48"/>
      <c r="G663" s="32"/>
      <c r="H663" s="68"/>
      <c r="I663" s="36"/>
      <c r="J663" s="27"/>
      <c r="K663" s="27"/>
      <c r="L663" s="27"/>
      <c r="M663" s="27"/>
      <c r="N663" s="27"/>
      <c r="O663" s="64"/>
      <c r="P663" s="64"/>
      <c r="Q663" s="27"/>
      <c r="R663" s="34"/>
      <c r="S663" s="36"/>
      <c r="T663" s="34"/>
      <c r="U663" s="71"/>
      <c r="V663" s="36"/>
      <c r="W663" s="36"/>
      <c r="X663" s="36"/>
      <c r="Y663" s="27"/>
      <c r="AA663" s="9"/>
      <c r="AB663" s="72"/>
    </row>
    <row r="664" spans="6:28">
      <c r="F664" s="48"/>
      <c r="G664" s="32"/>
      <c r="H664" s="68"/>
      <c r="I664" s="36"/>
      <c r="J664" s="27"/>
      <c r="K664" s="27"/>
      <c r="L664" s="27"/>
      <c r="M664" s="27"/>
      <c r="N664" s="27"/>
      <c r="O664" s="64"/>
      <c r="P664" s="64"/>
      <c r="Q664" s="27"/>
      <c r="R664" s="34"/>
      <c r="S664" s="36"/>
      <c r="T664" s="34"/>
      <c r="U664" s="71"/>
      <c r="V664" s="36"/>
      <c r="W664" s="36"/>
      <c r="X664" s="36"/>
      <c r="Y664" s="27"/>
      <c r="AA664" s="9"/>
      <c r="AB664" s="72"/>
    </row>
    <row r="665" spans="6:28">
      <c r="F665" s="48"/>
      <c r="G665" s="32"/>
      <c r="H665" s="68"/>
      <c r="I665" s="36"/>
      <c r="J665" s="27"/>
      <c r="K665" s="27"/>
      <c r="L665" s="27"/>
      <c r="M665" s="27"/>
      <c r="N665" s="27"/>
      <c r="O665" s="64"/>
      <c r="P665" s="64"/>
      <c r="Q665" s="27"/>
      <c r="R665" s="34"/>
      <c r="S665" s="36"/>
      <c r="T665" s="34"/>
      <c r="U665" s="71"/>
      <c r="V665" s="36"/>
      <c r="W665" s="36"/>
      <c r="X665" s="36"/>
      <c r="Y665" s="27"/>
      <c r="AA665" s="9"/>
      <c r="AB665" s="72"/>
    </row>
    <row r="666" spans="6:28">
      <c r="F666" s="48"/>
      <c r="G666" s="32"/>
      <c r="H666" s="68"/>
      <c r="I666" s="36"/>
      <c r="J666" s="27"/>
      <c r="K666" s="27"/>
      <c r="L666" s="27"/>
      <c r="M666" s="27"/>
      <c r="N666" s="27"/>
      <c r="O666" s="64"/>
      <c r="P666" s="64"/>
      <c r="Q666" s="27"/>
      <c r="R666" s="34"/>
      <c r="S666" s="36"/>
      <c r="T666" s="34"/>
      <c r="U666" s="71"/>
      <c r="V666" s="36"/>
      <c r="W666" s="36"/>
      <c r="X666" s="36"/>
      <c r="Y666" s="27"/>
      <c r="AA666" s="9"/>
      <c r="AB666" s="72"/>
    </row>
    <row r="667" spans="6:28">
      <c r="F667" s="48"/>
      <c r="G667" s="32"/>
      <c r="H667" s="68"/>
      <c r="I667" s="36"/>
      <c r="J667" s="27"/>
      <c r="K667" s="27"/>
      <c r="L667" s="27"/>
      <c r="M667" s="27"/>
      <c r="N667" s="27"/>
      <c r="O667" s="64"/>
      <c r="P667" s="64"/>
      <c r="Q667" s="27"/>
      <c r="R667" s="34"/>
      <c r="S667" s="36"/>
      <c r="T667" s="34"/>
      <c r="U667" s="71"/>
      <c r="V667" s="36"/>
      <c r="W667" s="36"/>
      <c r="X667" s="36"/>
      <c r="Y667" s="27"/>
      <c r="AA667" s="9"/>
      <c r="AB667" s="72"/>
    </row>
    <row r="668" spans="6:28">
      <c r="F668" s="48"/>
      <c r="G668" s="32"/>
      <c r="H668" s="68"/>
      <c r="I668" s="36"/>
      <c r="J668" s="27"/>
      <c r="K668" s="27"/>
      <c r="L668" s="27"/>
      <c r="M668" s="27"/>
      <c r="N668" s="27"/>
      <c r="O668" s="64"/>
      <c r="P668" s="64"/>
      <c r="Q668" s="27"/>
      <c r="R668" s="34"/>
      <c r="S668" s="36"/>
      <c r="T668" s="34"/>
      <c r="U668" s="71"/>
      <c r="V668" s="36"/>
      <c r="W668" s="36"/>
      <c r="X668" s="36"/>
      <c r="Y668" s="27"/>
      <c r="AA668" s="9"/>
      <c r="AB668" s="72"/>
    </row>
    <row r="669" spans="6:28">
      <c r="F669" s="48"/>
      <c r="G669" s="32"/>
      <c r="H669" s="68"/>
      <c r="I669" s="36"/>
      <c r="J669" s="27"/>
      <c r="K669" s="27"/>
      <c r="L669" s="27"/>
      <c r="M669" s="27"/>
      <c r="N669" s="27"/>
      <c r="O669" s="64"/>
      <c r="P669" s="64"/>
      <c r="Q669" s="27"/>
      <c r="R669" s="34"/>
      <c r="S669" s="36"/>
      <c r="T669" s="34"/>
      <c r="U669" s="71"/>
      <c r="V669" s="36"/>
      <c r="W669" s="36"/>
      <c r="X669" s="36"/>
      <c r="Y669" s="27"/>
      <c r="AA669" s="9"/>
      <c r="AB669" s="72"/>
    </row>
    <row r="670" spans="6:28">
      <c r="F670" s="48"/>
      <c r="G670" s="32"/>
      <c r="H670" s="68"/>
      <c r="I670" s="36"/>
      <c r="J670" s="27"/>
      <c r="K670" s="27"/>
      <c r="L670" s="27"/>
      <c r="M670" s="27"/>
      <c r="N670" s="27"/>
      <c r="O670" s="64"/>
      <c r="P670" s="64"/>
      <c r="Q670" s="27"/>
      <c r="R670" s="34"/>
      <c r="S670" s="36"/>
      <c r="T670" s="34"/>
      <c r="U670" s="71"/>
      <c r="V670" s="36"/>
      <c r="W670" s="36"/>
      <c r="X670" s="36"/>
      <c r="Y670" s="27"/>
      <c r="AA670" s="9"/>
      <c r="AB670" s="72"/>
    </row>
    <row r="671" spans="6:28">
      <c r="F671" s="48"/>
      <c r="G671" s="32"/>
      <c r="H671" s="68"/>
      <c r="I671" s="36"/>
      <c r="J671" s="27"/>
      <c r="K671" s="27"/>
      <c r="L671" s="27"/>
      <c r="M671" s="27"/>
      <c r="N671" s="27"/>
      <c r="O671" s="64"/>
      <c r="P671" s="64"/>
      <c r="Q671" s="27"/>
      <c r="R671" s="34"/>
      <c r="S671" s="36"/>
      <c r="T671" s="34"/>
      <c r="U671" s="71"/>
      <c r="V671" s="36"/>
      <c r="W671" s="36"/>
      <c r="X671" s="36"/>
      <c r="Y671" s="27"/>
      <c r="AA671" s="9"/>
      <c r="AB671" s="72"/>
    </row>
    <row r="672" spans="6:28">
      <c r="F672" s="48"/>
      <c r="G672" s="32"/>
      <c r="H672" s="68"/>
      <c r="I672" s="36"/>
      <c r="J672" s="27"/>
      <c r="K672" s="27"/>
      <c r="L672" s="27"/>
      <c r="M672" s="27"/>
      <c r="N672" s="27"/>
      <c r="O672" s="64"/>
      <c r="P672" s="64"/>
      <c r="Q672" s="27"/>
      <c r="R672" s="34"/>
      <c r="S672" s="36"/>
      <c r="T672" s="34"/>
      <c r="U672" s="71"/>
      <c r="V672" s="36"/>
      <c r="W672" s="36"/>
      <c r="X672" s="36"/>
      <c r="Y672" s="27"/>
      <c r="AA672" s="9"/>
      <c r="AB672" s="72"/>
    </row>
    <row r="673" spans="6:28">
      <c r="F673" s="48"/>
      <c r="G673" s="32"/>
      <c r="H673" s="68"/>
      <c r="I673" s="36"/>
      <c r="J673" s="27"/>
      <c r="K673" s="27"/>
      <c r="L673" s="27"/>
      <c r="M673" s="27"/>
      <c r="N673" s="27"/>
      <c r="O673" s="64"/>
      <c r="P673" s="64"/>
      <c r="Q673" s="27"/>
      <c r="R673" s="34"/>
      <c r="S673" s="36"/>
      <c r="T673" s="34"/>
      <c r="U673" s="71"/>
      <c r="V673" s="36"/>
      <c r="W673" s="36"/>
      <c r="X673" s="36"/>
      <c r="Y673" s="27"/>
      <c r="AA673" s="9"/>
      <c r="AB673" s="72"/>
    </row>
    <row r="674" spans="6:28">
      <c r="F674" s="48"/>
      <c r="G674" s="32"/>
      <c r="H674" s="68"/>
      <c r="I674" s="36"/>
      <c r="J674" s="27"/>
      <c r="K674" s="27"/>
      <c r="L674" s="27"/>
      <c r="M674" s="27"/>
      <c r="N674" s="27"/>
      <c r="O674" s="64"/>
      <c r="P674" s="64"/>
      <c r="Q674" s="27"/>
      <c r="R674" s="34"/>
      <c r="S674" s="36"/>
      <c r="T674" s="34"/>
      <c r="U674" s="71"/>
      <c r="V674" s="36"/>
      <c r="W674" s="36"/>
      <c r="X674" s="36"/>
      <c r="Y674" s="27"/>
      <c r="AA674" s="9"/>
      <c r="AB674" s="72"/>
    </row>
    <row r="675" spans="6:28">
      <c r="F675" s="48"/>
      <c r="G675" s="32"/>
      <c r="H675" s="68"/>
      <c r="I675" s="36"/>
      <c r="J675" s="27"/>
      <c r="K675" s="27"/>
      <c r="L675" s="27"/>
      <c r="M675" s="27"/>
      <c r="N675" s="27"/>
      <c r="O675" s="64"/>
      <c r="P675" s="64"/>
      <c r="Q675" s="27"/>
      <c r="R675" s="34"/>
      <c r="S675" s="36"/>
      <c r="T675" s="34"/>
      <c r="U675" s="71"/>
      <c r="V675" s="36"/>
      <c r="W675" s="36"/>
      <c r="X675" s="36"/>
      <c r="Y675" s="27"/>
      <c r="AA675" s="9"/>
      <c r="AB675" s="72"/>
    </row>
    <row r="676" spans="6:28">
      <c r="F676" s="48"/>
      <c r="G676" s="32"/>
      <c r="H676" s="68"/>
      <c r="I676" s="36"/>
      <c r="J676" s="27"/>
      <c r="K676" s="27"/>
      <c r="L676" s="27"/>
      <c r="M676" s="27"/>
      <c r="N676" s="27"/>
      <c r="O676" s="64"/>
      <c r="P676" s="64"/>
      <c r="Q676" s="27"/>
      <c r="R676" s="34"/>
      <c r="S676" s="36"/>
      <c r="T676" s="34"/>
      <c r="U676" s="71"/>
      <c r="V676" s="36"/>
      <c r="W676" s="36"/>
      <c r="X676" s="36"/>
      <c r="Y676" s="27"/>
      <c r="AA676" s="9"/>
      <c r="AB676" s="72"/>
    </row>
    <row r="677" spans="6:28">
      <c r="F677" s="48"/>
      <c r="G677" s="32"/>
      <c r="H677" s="68"/>
      <c r="I677" s="36"/>
      <c r="J677" s="27"/>
      <c r="K677" s="27"/>
      <c r="L677" s="27"/>
      <c r="M677" s="27"/>
      <c r="N677" s="27"/>
      <c r="O677" s="64"/>
      <c r="P677" s="64"/>
      <c r="Q677" s="27"/>
      <c r="R677" s="34"/>
      <c r="S677" s="36"/>
      <c r="T677" s="34"/>
      <c r="U677" s="71"/>
      <c r="V677" s="36"/>
      <c r="W677" s="36"/>
      <c r="X677" s="36"/>
      <c r="Y677" s="27"/>
      <c r="AA677" s="9"/>
      <c r="AB677" s="72"/>
    </row>
    <row r="678" spans="6:28">
      <c r="F678" s="48"/>
      <c r="G678" s="32"/>
      <c r="H678" s="68"/>
      <c r="I678" s="36"/>
      <c r="J678" s="27"/>
      <c r="K678" s="27"/>
      <c r="L678" s="27"/>
      <c r="M678" s="27"/>
      <c r="N678" s="27"/>
      <c r="O678" s="64"/>
      <c r="P678" s="64"/>
      <c r="Q678" s="27"/>
      <c r="R678" s="34"/>
      <c r="S678" s="36"/>
      <c r="T678" s="34"/>
      <c r="U678" s="71"/>
      <c r="V678" s="36"/>
      <c r="W678" s="36"/>
      <c r="X678" s="36"/>
      <c r="Y678" s="27"/>
      <c r="AA678" s="9"/>
      <c r="AB678" s="72"/>
    </row>
    <row r="679" spans="6:28">
      <c r="F679" s="48"/>
      <c r="G679" s="32"/>
      <c r="H679" s="68"/>
      <c r="I679" s="36"/>
      <c r="J679" s="27"/>
      <c r="K679" s="27"/>
      <c r="L679" s="27"/>
      <c r="M679" s="27"/>
      <c r="N679" s="27"/>
      <c r="O679" s="64"/>
      <c r="P679" s="64"/>
      <c r="Q679" s="27"/>
      <c r="R679" s="34"/>
      <c r="S679" s="36"/>
      <c r="T679" s="34"/>
      <c r="U679" s="71"/>
      <c r="V679" s="36"/>
      <c r="W679" s="36"/>
      <c r="X679" s="36"/>
      <c r="Y679" s="27"/>
      <c r="AA679" s="9"/>
      <c r="AB679" s="72"/>
    </row>
    <row r="680" spans="6:28">
      <c r="F680" s="48"/>
      <c r="G680" s="32"/>
      <c r="H680" s="68"/>
      <c r="I680" s="36"/>
      <c r="J680" s="27"/>
      <c r="K680" s="27"/>
      <c r="L680" s="27"/>
      <c r="M680" s="27"/>
      <c r="N680" s="27"/>
      <c r="O680" s="64"/>
      <c r="P680" s="64"/>
      <c r="Q680" s="27"/>
      <c r="R680" s="34"/>
      <c r="S680" s="36"/>
      <c r="T680" s="34"/>
      <c r="U680" s="71"/>
      <c r="V680" s="36"/>
      <c r="W680" s="36"/>
      <c r="X680" s="36"/>
      <c r="Y680" s="27"/>
      <c r="AA680" s="9"/>
      <c r="AB680" s="72"/>
    </row>
    <row r="681" spans="6:28">
      <c r="F681" s="48"/>
      <c r="G681" s="32"/>
      <c r="H681" s="68"/>
      <c r="I681" s="36"/>
      <c r="J681" s="27"/>
      <c r="K681" s="27"/>
      <c r="L681" s="27"/>
      <c r="M681" s="27"/>
      <c r="N681" s="27"/>
      <c r="O681" s="64"/>
      <c r="P681" s="64"/>
      <c r="Q681" s="27"/>
      <c r="R681" s="34"/>
      <c r="S681" s="36"/>
      <c r="T681" s="34"/>
      <c r="U681" s="71"/>
      <c r="V681" s="36"/>
      <c r="W681" s="36"/>
      <c r="X681" s="36"/>
      <c r="Y681" s="27"/>
      <c r="AA681" s="9"/>
      <c r="AB681" s="72"/>
    </row>
    <row r="682" spans="6:28">
      <c r="F682" s="48"/>
      <c r="G682" s="32"/>
      <c r="H682" s="68"/>
      <c r="I682" s="36"/>
      <c r="J682" s="27"/>
      <c r="K682" s="27"/>
      <c r="L682" s="27"/>
      <c r="M682" s="27"/>
      <c r="N682" s="27"/>
      <c r="O682" s="64"/>
      <c r="P682" s="64"/>
      <c r="Q682" s="27"/>
      <c r="R682" s="34"/>
      <c r="S682" s="36"/>
      <c r="T682" s="34"/>
      <c r="U682" s="71"/>
      <c r="V682" s="36"/>
      <c r="W682" s="36"/>
      <c r="X682" s="36"/>
      <c r="Y682" s="27"/>
      <c r="AA682" s="9"/>
      <c r="AB682" s="72"/>
    </row>
    <row r="683" spans="6:28">
      <c r="F683" s="48"/>
      <c r="G683" s="32"/>
      <c r="H683" s="68"/>
      <c r="I683" s="36"/>
      <c r="J683" s="27"/>
      <c r="K683" s="27"/>
      <c r="L683" s="27"/>
      <c r="M683" s="27"/>
      <c r="N683" s="27"/>
      <c r="O683" s="64"/>
      <c r="P683" s="64"/>
      <c r="Q683" s="27"/>
      <c r="R683" s="34"/>
      <c r="S683" s="36"/>
      <c r="T683" s="34"/>
      <c r="U683" s="71"/>
      <c r="V683" s="36"/>
      <c r="W683" s="36"/>
      <c r="X683" s="36"/>
      <c r="Y683" s="27"/>
      <c r="AA683" s="9"/>
      <c r="AB683" s="72"/>
    </row>
    <row r="684" spans="6:28">
      <c r="F684" s="48"/>
      <c r="G684" s="32"/>
      <c r="H684" s="68"/>
      <c r="I684" s="36"/>
      <c r="J684" s="27"/>
      <c r="K684" s="27"/>
      <c r="L684" s="27"/>
      <c r="M684" s="27"/>
      <c r="N684" s="27"/>
      <c r="O684" s="64"/>
      <c r="P684" s="64"/>
      <c r="Q684" s="27"/>
      <c r="R684" s="34"/>
      <c r="S684" s="36"/>
      <c r="T684" s="34"/>
      <c r="U684" s="71"/>
      <c r="V684" s="36"/>
      <c r="W684" s="36"/>
      <c r="X684" s="36"/>
      <c r="Y684" s="27"/>
      <c r="AA684" s="9"/>
      <c r="AB684" s="72"/>
    </row>
    <row r="685" spans="6:28">
      <c r="F685" s="48"/>
      <c r="G685" s="32"/>
      <c r="H685" s="68"/>
      <c r="I685" s="36"/>
      <c r="J685" s="27"/>
      <c r="K685" s="27"/>
      <c r="L685" s="27"/>
      <c r="M685" s="27"/>
      <c r="N685" s="27"/>
      <c r="O685" s="64"/>
      <c r="P685" s="64"/>
      <c r="Q685" s="27"/>
      <c r="R685" s="34"/>
      <c r="S685" s="36"/>
      <c r="T685" s="34"/>
      <c r="U685" s="71"/>
      <c r="V685" s="36"/>
      <c r="W685" s="36"/>
      <c r="X685" s="36"/>
      <c r="Y685" s="27"/>
      <c r="AA685" s="9"/>
      <c r="AB685" s="72"/>
    </row>
    <row r="686" spans="6:28">
      <c r="F686" s="48"/>
      <c r="G686" s="32"/>
      <c r="H686" s="68"/>
      <c r="I686" s="36"/>
      <c r="J686" s="27"/>
      <c r="K686" s="27"/>
      <c r="L686" s="27"/>
      <c r="M686" s="27"/>
      <c r="N686" s="27"/>
      <c r="O686" s="64"/>
      <c r="P686" s="64"/>
      <c r="Q686" s="27"/>
      <c r="R686" s="34"/>
      <c r="S686" s="36"/>
      <c r="T686" s="34"/>
      <c r="U686" s="71"/>
      <c r="V686" s="36"/>
      <c r="W686" s="36"/>
      <c r="X686" s="36"/>
      <c r="Y686" s="27"/>
      <c r="AA686" s="9"/>
      <c r="AB686" s="72"/>
    </row>
    <row r="687" spans="6:28">
      <c r="F687" s="48"/>
      <c r="G687" s="32"/>
      <c r="H687" s="68"/>
      <c r="I687" s="36"/>
      <c r="J687" s="27"/>
      <c r="K687" s="27"/>
      <c r="L687" s="27"/>
      <c r="M687" s="27"/>
      <c r="N687" s="27"/>
      <c r="O687" s="64"/>
      <c r="P687" s="64"/>
      <c r="Q687" s="27"/>
      <c r="R687" s="34"/>
      <c r="S687" s="36"/>
      <c r="T687" s="34"/>
      <c r="U687" s="71"/>
      <c r="V687" s="36"/>
      <c r="W687" s="36"/>
      <c r="X687" s="36"/>
      <c r="Y687" s="27"/>
      <c r="AA687" s="9"/>
      <c r="AB687" s="72"/>
    </row>
    <row r="688" spans="6:28">
      <c r="F688" s="48"/>
      <c r="G688" s="32"/>
      <c r="H688" s="68"/>
      <c r="I688" s="36"/>
      <c r="J688" s="27"/>
      <c r="K688" s="27"/>
      <c r="L688" s="27"/>
      <c r="M688" s="27"/>
      <c r="N688" s="27"/>
      <c r="O688" s="64"/>
      <c r="P688" s="64"/>
      <c r="Q688" s="27"/>
      <c r="R688" s="34"/>
      <c r="S688" s="36"/>
      <c r="T688" s="34"/>
      <c r="U688" s="71"/>
      <c r="V688" s="36"/>
      <c r="W688" s="36"/>
      <c r="X688" s="36"/>
      <c r="Y688" s="27"/>
      <c r="AA688" s="9"/>
      <c r="AB688" s="72"/>
    </row>
    <row r="689" spans="6:28">
      <c r="F689" s="48"/>
      <c r="G689" s="32"/>
      <c r="H689" s="68"/>
      <c r="I689" s="36"/>
      <c r="J689" s="27"/>
      <c r="K689" s="27"/>
      <c r="L689" s="27"/>
      <c r="M689" s="27"/>
      <c r="N689" s="27"/>
      <c r="O689" s="64"/>
      <c r="P689" s="64"/>
      <c r="Q689" s="27"/>
      <c r="R689" s="34"/>
      <c r="S689" s="36"/>
      <c r="T689" s="34"/>
      <c r="U689" s="71"/>
      <c r="V689" s="36"/>
      <c r="W689" s="36"/>
      <c r="X689" s="36"/>
      <c r="Y689" s="27"/>
      <c r="AA689" s="9"/>
      <c r="AB689" s="72"/>
    </row>
    <row r="690" spans="6:28">
      <c r="F690" s="48"/>
      <c r="G690" s="32"/>
      <c r="H690" s="68"/>
      <c r="I690" s="36"/>
      <c r="J690" s="27"/>
      <c r="K690" s="27"/>
      <c r="L690" s="27"/>
      <c r="M690" s="27"/>
      <c r="N690" s="27"/>
      <c r="O690" s="64"/>
      <c r="P690" s="64"/>
      <c r="Q690" s="27"/>
      <c r="R690" s="34"/>
      <c r="S690" s="36"/>
      <c r="T690" s="34"/>
      <c r="U690" s="71"/>
      <c r="V690" s="36"/>
      <c r="W690" s="36"/>
      <c r="X690" s="36"/>
      <c r="Y690" s="27"/>
      <c r="AA690" s="9"/>
      <c r="AB690" s="72"/>
    </row>
    <row r="691" spans="6:28">
      <c r="F691" s="48"/>
      <c r="G691" s="32"/>
      <c r="H691" s="68"/>
      <c r="I691" s="36"/>
      <c r="J691" s="27"/>
      <c r="K691" s="27"/>
      <c r="L691" s="27"/>
      <c r="M691" s="27"/>
      <c r="N691" s="27"/>
      <c r="O691" s="64"/>
      <c r="P691" s="64"/>
      <c r="Q691" s="27"/>
      <c r="R691" s="34"/>
      <c r="S691" s="36"/>
      <c r="T691" s="34"/>
      <c r="U691" s="71"/>
      <c r="V691" s="36"/>
      <c r="W691" s="36"/>
      <c r="X691" s="36"/>
      <c r="Y691" s="27"/>
      <c r="AA691" s="9"/>
      <c r="AB691" s="72"/>
    </row>
    <row r="692" spans="6:28">
      <c r="F692" s="48"/>
      <c r="G692" s="32"/>
      <c r="H692" s="68"/>
      <c r="I692" s="36"/>
      <c r="J692" s="27"/>
      <c r="K692" s="27"/>
      <c r="L692" s="27"/>
      <c r="M692" s="27"/>
      <c r="N692" s="27"/>
      <c r="O692" s="64"/>
      <c r="P692" s="64"/>
      <c r="Q692" s="27"/>
      <c r="R692" s="34"/>
      <c r="S692" s="36"/>
      <c r="T692" s="34"/>
      <c r="U692" s="71"/>
      <c r="V692" s="36"/>
      <c r="W692" s="36"/>
      <c r="X692" s="36"/>
      <c r="Y692" s="27"/>
      <c r="AA692" s="9"/>
      <c r="AB692" s="72"/>
    </row>
    <row r="693" spans="6:28">
      <c r="F693" s="48"/>
      <c r="G693" s="32"/>
      <c r="H693" s="68"/>
      <c r="I693" s="36"/>
      <c r="J693" s="27"/>
      <c r="K693" s="27"/>
      <c r="L693" s="27"/>
      <c r="M693" s="27"/>
      <c r="N693" s="27"/>
      <c r="O693" s="64"/>
      <c r="P693" s="64"/>
      <c r="Q693" s="27"/>
      <c r="R693" s="34"/>
      <c r="S693" s="36"/>
      <c r="T693" s="34"/>
      <c r="U693" s="71"/>
      <c r="V693" s="36"/>
      <c r="W693" s="36"/>
      <c r="X693" s="36"/>
      <c r="Y693" s="27"/>
      <c r="AA693" s="9"/>
      <c r="AB693" s="72"/>
    </row>
    <row r="694" spans="6:28">
      <c r="F694" s="48"/>
      <c r="G694" s="32"/>
      <c r="H694" s="68"/>
      <c r="I694" s="36"/>
      <c r="J694" s="27"/>
      <c r="K694" s="27"/>
      <c r="L694" s="27"/>
      <c r="M694" s="27"/>
      <c r="N694" s="27"/>
      <c r="O694" s="64"/>
      <c r="P694" s="64"/>
      <c r="Q694" s="27"/>
      <c r="R694" s="34"/>
      <c r="S694" s="36"/>
      <c r="T694" s="34"/>
      <c r="U694" s="71"/>
      <c r="V694" s="36"/>
      <c r="W694" s="36"/>
      <c r="X694" s="36"/>
      <c r="Y694" s="27"/>
      <c r="AA694" s="9"/>
      <c r="AB694" s="72"/>
    </row>
    <row r="695" spans="6:28">
      <c r="F695" s="48"/>
      <c r="G695" s="32"/>
      <c r="H695" s="68"/>
      <c r="I695" s="36"/>
      <c r="J695" s="27"/>
      <c r="K695" s="27"/>
      <c r="L695" s="27"/>
      <c r="M695" s="27"/>
      <c r="N695" s="27"/>
      <c r="O695" s="64"/>
      <c r="P695" s="64"/>
      <c r="Q695" s="27"/>
      <c r="R695" s="34"/>
      <c r="S695" s="36"/>
      <c r="T695" s="34"/>
      <c r="U695" s="71"/>
      <c r="V695" s="36"/>
      <c r="W695" s="36"/>
      <c r="X695" s="36"/>
      <c r="Y695" s="27"/>
      <c r="AA695" s="9"/>
      <c r="AB695" s="72"/>
    </row>
    <row r="696" spans="6:28">
      <c r="F696" s="48"/>
      <c r="G696" s="32"/>
      <c r="H696" s="68"/>
      <c r="I696" s="36"/>
      <c r="J696" s="27"/>
      <c r="K696" s="27"/>
      <c r="L696" s="27"/>
      <c r="M696" s="27"/>
      <c r="N696" s="27"/>
      <c r="O696" s="64"/>
      <c r="P696" s="64"/>
      <c r="Q696" s="27"/>
      <c r="R696" s="34"/>
      <c r="S696" s="36"/>
      <c r="T696" s="34"/>
      <c r="U696" s="71"/>
      <c r="V696" s="36"/>
      <c r="W696" s="36"/>
      <c r="X696" s="36"/>
      <c r="Y696" s="27"/>
      <c r="AA696" s="9"/>
      <c r="AB696" s="72"/>
    </row>
    <row r="697" spans="6:28">
      <c r="F697" s="48"/>
      <c r="G697" s="32"/>
      <c r="H697" s="68"/>
      <c r="I697" s="36"/>
      <c r="J697" s="27"/>
      <c r="K697" s="27"/>
      <c r="L697" s="27"/>
      <c r="M697" s="27"/>
      <c r="N697" s="27"/>
      <c r="O697" s="64"/>
      <c r="P697" s="64"/>
      <c r="Q697" s="27"/>
      <c r="R697" s="34"/>
      <c r="S697" s="36"/>
      <c r="T697" s="34"/>
      <c r="U697" s="71"/>
      <c r="V697" s="36"/>
      <c r="W697" s="36"/>
      <c r="X697" s="36"/>
      <c r="Y697" s="27"/>
      <c r="AA697" s="9"/>
      <c r="AB697" s="72"/>
    </row>
    <row r="698" spans="6:28">
      <c r="F698" s="48"/>
      <c r="G698" s="32"/>
      <c r="H698" s="68"/>
      <c r="I698" s="36"/>
      <c r="J698" s="27"/>
      <c r="K698" s="27"/>
      <c r="L698" s="27"/>
      <c r="M698" s="27"/>
      <c r="N698" s="27"/>
      <c r="O698" s="64"/>
      <c r="P698" s="64"/>
      <c r="Q698" s="27"/>
      <c r="R698" s="34"/>
      <c r="S698" s="36"/>
      <c r="T698" s="34"/>
      <c r="U698" s="71"/>
      <c r="V698" s="36"/>
      <c r="W698" s="36"/>
      <c r="X698" s="36"/>
      <c r="Y698" s="27"/>
      <c r="AA698" s="9"/>
      <c r="AB698" s="72"/>
    </row>
    <row r="699" spans="6:28">
      <c r="F699" s="48"/>
      <c r="G699" s="32"/>
      <c r="H699" s="68"/>
      <c r="I699" s="36"/>
      <c r="J699" s="27"/>
      <c r="K699" s="27"/>
      <c r="L699" s="27"/>
      <c r="M699" s="27"/>
      <c r="N699" s="27"/>
      <c r="O699" s="64"/>
      <c r="P699" s="64"/>
      <c r="Q699" s="27"/>
      <c r="R699" s="34"/>
      <c r="S699" s="36"/>
      <c r="T699" s="34"/>
      <c r="U699" s="71"/>
      <c r="V699" s="36"/>
      <c r="W699" s="36"/>
      <c r="X699" s="36"/>
      <c r="Y699" s="27"/>
      <c r="AA699" s="9"/>
      <c r="AB699" s="72"/>
    </row>
    <row r="700" spans="6:28">
      <c r="F700" s="48"/>
      <c r="G700" s="32"/>
      <c r="H700" s="68"/>
      <c r="I700" s="36"/>
      <c r="J700" s="27"/>
      <c r="K700" s="27"/>
      <c r="L700" s="27"/>
      <c r="M700" s="27"/>
      <c r="N700" s="27"/>
      <c r="O700" s="64"/>
      <c r="P700" s="64"/>
      <c r="Q700" s="27"/>
      <c r="R700" s="34"/>
      <c r="S700" s="36"/>
      <c r="T700" s="34"/>
      <c r="U700" s="71"/>
      <c r="V700" s="36"/>
      <c r="W700" s="36"/>
      <c r="X700" s="36"/>
      <c r="Y700" s="27"/>
      <c r="AA700" s="9"/>
      <c r="AB700" s="72"/>
    </row>
    <row r="701" spans="6:28">
      <c r="F701" s="48"/>
      <c r="G701" s="32"/>
      <c r="H701" s="68"/>
      <c r="I701" s="36"/>
      <c r="J701" s="27"/>
      <c r="K701" s="27"/>
      <c r="L701" s="27"/>
      <c r="M701" s="27"/>
      <c r="N701" s="27"/>
      <c r="O701" s="64"/>
      <c r="P701" s="64"/>
      <c r="Q701" s="27"/>
      <c r="R701" s="34"/>
      <c r="S701" s="36"/>
      <c r="T701" s="34"/>
      <c r="U701" s="71"/>
      <c r="V701" s="36"/>
      <c r="W701" s="36"/>
      <c r="X701" s="36"/>
      <c r="Y701" s="27"/>
      <c r="AA701" s="9"/>
      <c r="AB701" s="72"/>
    </row>
    <row r="702" spans="6:28">
      <c r="F702" s="48"/>
      <c r="G702" s="32"/>
      <c r="H702" s="68"/>
      <c r="I702" s="36"/>
      <c r="J702" s="27"/>
      <c r="K702" s="27"/>
      <c r="L702" s="27"/>
      <c r="M702" s="27"/>
      <c r="N702" s="27"/>
      <c r="O702" s="64"/>
      <c r="P702" s="64"/>
      <c r="Q702" s="27"/>
      <c r="R702" s="34"/>
      <c r="S702" s="36"/>
      <c r="T702" s="34"/>
      <c r="U702" s="71"/>
      <c r="V702" s="36"/>
      <c r="W702" s="36"/>
      <c r="X702" s="36"/>
      <c r="Y702" s="27"/>
      <c r="AA702" s="9"/>
      <c r="AB702" s="72"/>
    </row>
    <row r="703" spans="6:28">
      <c r="F703" s="48"/>
      <c r="G703" s="32"/>
      <c r="H703" s="68"/>
      <c r="I703" s="36"/>
      <c r="J703" s="27"/>
      <c r="K703" s="27"/>
      <c r="L703" s="27"/>
      <c r="M703" s="27"/>
      <c r="N703" s="27"/>
      <c r="O703" s="64"/>
      <c r="P703" s="64"/>
      <c r="Q703" s="27"/>
      <c r="R703" s="34"/>
      <c r="S703" s="36"/>
      <c r="T703" s="34"/>
      <c r="U703" s="71"/>
      <c r="V703" s="36"/>
      <c r="W703" s="36"/>
      <c r="X703" s="36"/>
      <c r="Y703" s="27"/>
      <c r="AA703" s="9"/>
      <c r="AB703" s="72"/>
    </row>
    <row r="704" spans="6:28">
      <c r="F704" s="48"/>
      <c r="G704" s="32"/>
      <c r="H704" s="68"/>
      <c r="I704" s="36"/>
      <c r="J704" s="27"/>
      <c r="K704" s="27"/>
      <c r="L704" s="27"/>
      <c r="M704" s="27"/>
      <c r="N704" s="27"/>
      <c r="O704" s="64"/>
      <c r="P704" s="64"/>
      <c r="Q704" s="27"/>
      <c r="R704" s="34"/>
      <c r="S704" s="36"/>
      <c r="T704" s="34"/>
      <c r="U704" s="71"/>
      <c r="V704" s="36"/>
      <c r="W704" s="36"/>
      <c r="X704" s="36"/>
      <c r="Y704" s="27"/>
      <c r="AA704" s="9"/>
      <c r="AB704" s="72"/>
    </row>
    <row r="705" spans="6:28">
      <c r="F705" s="48"/>
      <c r="G705" s="32"/>
      <c r="H705" s="68"/>
      <c r="I705" s="36"/>
      <c r="J705" s="27"/>
      <c r="K705" s="27"/>
      <c r="L705" s="27"/>
      <c r="M705" s="27"/>
      <c r="N705" s="27"/>
      <c r="O705" s="64"/>
      <c r="P705" s="64"/>
      <c r="Q705" s="27"/>
      <c r="R705" s="34"/>
      <c r="S705" s="36"/>
      <c r="T705" s="34"/>
      <c r="U705" s="71"/>
      <c r="V705" s="36"/>
      <c r="W705" s="36"/>
      <c r="X705" s="36"/>
      <c r="Y705" s="27"/>
      <c r="AA705" s="9"/>
      <c r="AB705" s="72"/>
    </row>
    <row r="706" spans="6:28">
      <c r="F706" s="48"/>
      <c r="G706" s="32"/>
      <c r="H706" s="68"/>
      <c r="I706" s="36"/>
      <c r="J706" s="27"/>
      <c r="K706" s="27"/>
      <c r="L706" s="27"/>
      <c r="M706" s="27"/>
      <c r="N706" s="27"/>
      <c r="O706" s="64"/>
      <c r="P706" s="64"/>
      <c r="Q706" s="27"/>
      <c r="R706" s="34"/>
      <c r="S706" s="36"/>
      <c r="T706" s="34"/>
      <c r="U706" s="71"/>
      <c r="V706" s="36"/>
      <c r="W706" s="36"/>
      <c r="X706" s="36"/>
      <c r="Y706" s="27"/>
      <c r="AA706" s="9"/>
      <c r="AB706" s="72"/>
    </row>
    <row r="707" spans="6:28">
      <c r="F707" s="48"/>
      <c r="G707" s="32"/>
      <c r="H707" s="68"/>
      <c r="I707" s="36"/>
      <c r="J707" s="27"/>
      <c r="K707" s="27"/>
      <c r="L707" s="27"/>
      <c r="M707" s="27"/>
      <c r="N707" s="27"/>
      <c r="O707" s="64"/>
      <c r="P707" s="64"/>
      <c r="Q707" s="27"/>
      <c r="R707" s="34"/>
      <c r="S707" s="36"/>
      <c r="T707" s="34"/>
      <c r="U707" s="71"/>
      <c r="V707" s="36"/>
      <c r="W707" s="36"/>
      <c r="X707" s="36"/>
      <c r="Y707" s="27"/>
      <c r="AA707" s="9"/>
      <c r="AB707" s="72"/>
    </row>
    <row r="708" spans="6:28">
      <c r="F708" s="48"/>
      <c r="G708" s="32"/>
      <c r="H708" s="68"/>
      <c r="I708" s="36"/>
      <c r="J708" s="27"/>
      <c r="K708" s="27"/>
      <c r="L708" s="27"/>
      <c r="M708" s="27"/>
      <c r="N708" s="27"/>
      <c r="O708" s="64"/>
      <c r="P708" s="64"/>
      <c r="Q708" s="27"/>
      <c r="R708" s="34"/>
      <c r="S708" s="36"/>
      <c r="T708" s="34"/>
      <c r="U708" s="71"/>
      <c r="V708" s="36"/>
      <c r="W708" s="36"/>
      <c r="X708" s="36"/>
      <c r="Y708" s="27"/>
      <c r="AA708" s="9"/>
      <c r="AB708" s="72"/>
    </row>
    <row r="709" spans="6:28">
      <c r="F709" s="48"/>
      <c r="G709" s="32"/>
      <c r="H709" s="68"/>
      <c r="I709" s="36"/>
      <c r="J709" s="27"/>
      <c r="K709" s="27"/>
      <c r="L709" s="27"/>
      <c r="M709" s="27"/>
      <c r="N709" s="27"/>
      <c r="O709" s="64"/>
      <c r="P709" s="64"/>
      <c r="Q709" s="27"/>
      <c r="R709" s="34"/>
      <c r="S709" s="36"/>
      <c r="T709" s="34"/>
      <c r="U709" s="71"/>
      <c r="V709" s="36"/>
      <c r="W709" s="36"/>
      <c r="X709" s="36"/>
      <c r="Y709" s="27"/>
      <c r="AA709" s="9"/>
      <c r="AB709" s="72"/>
    </row>
    <row r="710" spans="6:28">
      <c r="F710" s="48"/>
      <c r="G710" s="32"/>
      <c r="H710" s="68"/>
      <c r="I710" s="36"/>
      <c r="J710" s="27"/>
      <c r="K710" s="27"/>
      <c r="L710" s="27"/>
      <c r="M710" s="27"/>
      <c r="N710" s="27"/>
      <c r="O710" s="64"/>
      <c r="P710" s="64"/>
      <c r="Q710" s="27"/>
      <c r="R710" s="34"/>
      <c r="S710" s="36"/>
      <c r="T710" s="34"/>
      <c r="U710" s="71"/>
      <c r="V710" s="36"/>
      <c r="W710" s="36"/>
      <c r="X710" s="36"/>
      <c r="Y710" s="27"/>
      <c r="AA710" s="9"/>
      <c r="AB710" s="72"/>
    </row>
    <row r="711" spans="6:28">
      <c r="F711" s="48"/>
      <c r="G711" s="32"/>
      <c r="H711" s="68"/>
      <c r="I711" s="36"/>
      <c r="J711" s="27"/>
      <c r="K711" s="27"/>
      <c r="L711" s="27"/>
      <c r="M711" s="27"/>
      <c r="N711" s="27"/>
      <c r="O711" s="64"/>
      <c r="P711" s="64"/>
      <c r="Q711" s="27"/>
      <c r="R711" s="34"/>
      <c r="S711" s="36"/>
      <c r="T711" s="34"/>
      <c r="U711" s="71"/>
      <c r="V711" s="36"/>
      <c r="W711" s="36"/>
      <c r="X711" s="36"/>
      <c r="Y711" s="27"/>
      <c r="AA711" s="9"/>
      <c r="AB711" s="72"/>
    </row>
    <row r="712" spans="6:28">
      <c r="F712" s="48"/>
      <c r="G712" s="32"/>
      <c r="H712" s="68"/>
      <c r="I712" s="36"/>
      <c r="J712" s="27"/>
      <c r="K712" s="27"/>
      <c r="L712" s="27"/>
      <c r="M712" s="27"/>
      <c r="N712" s="27"/>
      <c r="O712" s="64"/>
      <c r="P712" s="64"/>
      <c r="Q712" s="27"/>
      <c r="R712" s="34"/>
      <c r="S712" s="36"/>
      <c r="T712" s="34"/>
      <c r="U712" s="71"/>
      <c r="V712" s="36"/>
      <c r="W712" s="36"/>
      <c r="X712" s="36"/>
      <c r="Y712" s="27"/>
      <c r="AA712" s="9"/>
      <c r="AB712" s="72"/>
    </row>
    <row r="713" spans="6:28">
      <c r="F713" s="48"/>
      <c r="G713" s="32"/>
      <c r="H713" s="68"/>
      <c r="I713" s="36"/>
      <c r="J713" s="27"/>
      <c r="K713" s="27"/>
      <c r="L713" s="27"/>
      <c r="M713" s="27"/>
      <c r="N713" s="27"/>
      <c r="O713" s="64"/>
      <c r="P713" s="64"/>
      <c r="Q713" s="27"/>
      <c r="R713" s="34"/>
      <c r="S713" s="36"/>
      <c r="T713" s="34"/>
      <c r="U713" s="71"/>
      <c r="V713" s="36"/>
      <c r="W713" s="36"/>
      <c r="X713" s="36"/>
      <c r="Y713" s="27"/>
      <c r="AA713" s="9"/>
      <c r="AB713" s="72"/>
    </row>
    <row r="714" spans="6:28">
      <c r="F714" s="48"/>
      <c r="G714" s="32"/>
      <c r="H714" s="68"/>
      <c r="I714" s="36"/>
      <c r="J714" s="27"/>
      <c r="K714" s="27"/>
      <c r="L714" s="27"/>
      <c r="M714" s="27"/>
      <c r="N714" s="27"/>
      <c r="O714" s="64"/>
      <c r="P714" s="64"/>
      <c r="Q714" s="27"/>
      <c r="R714" s="34"/>
      <c r="S714" s="36"/>
      <c r="T714" s="34"/>
      <c r="U714" s="71"/>
      <c r="V714" s="36"/>
      <c r="W714" s="36"/>
      <c r="X714" s="36"/>
      <c r="Y714" s="27"/>
      <c r="AA714" s="9"/>
      <c r="AB714" s="72"/>
    </row>
    <row r="715" spans="6:28">
      <c r="F715" s="48"/>
      <c r="G715" s="32"/>
      <c r="H715" s="68"/>
      <c r="I715" s="36"/>
      <c r="J715" s="27"/>
      <c r="K715" s="27"/>
      <c r="L715" s="27"/>
      <c r="M715" s="27"/>
      <c r="N715" s="27"/>
      <c r="O715" s="64"/>
      <c r="P715" s="64"/>
      <c r="Q715" s="27"/>
      <c r="R715" s="34"/>
      <c r="S715" s="36"/>
      <c r="T715" s="34"/>
      <c r="U715" s="71"/>
      <c r="V715" s="36"/>
      <c r="W715" s="36"/>
      <c r="X715" s="36"/>
      <c r="Y715" s="27"/>
      <c r="AA715" s="9"/>
      <c r="AB715" s="72"/>
    </row>
    <row r="716" spans="6:28">
      <c r="F716" s="48"/>
      <c r="G716" s="32"/>
      <c r="H716" s="68"/>
      <c r="I716" s="36"/>
      <c r="J716" s="27"/>
      <c r="K716" s="27"/>
      <c r="L716" s="27"/>
      <c r="M716" s="27"/>
      <c r="N716" s="27"/>
      <c r="O716" s="64"/>
      <c r="P716" s="64"/>
      <c r="Q716" s="27"/>
      <c r="R716" s="34"/>
      <c r="S716" s="36"/>
      <c r="T716" s="34"/>
      <c r="U716" s="71"/>
      <c r="V716" s="36"/>
      <c r="W716" s="36"/>
      <c r="X716" s="36"/>
      <c r="Y716" s="27"/>
      <c r="AA716" s="9"/>
      <c r="AB716" s="72"/>
    </row>
    <row r="717" spans="6:28">
      <c r="F717" s="48"/>
      <c r="G717" s="32"/>
      <c r="H717" s="68"/>
      <c r="I717" s="36"/>
      <c r="J717" s="27"/>
      <c r="K717" s="27"/>
      <c r="L717" s="27"/>
      <c r="M717" s="27"/>
      <c r="N717" s="27"/>
      <c r="O717" s="64"/>
      <c r="P717" s="64"/>
      <c r="Q717" s="27"/>
      <c r="R717" s="34"/>
      <c r="S717" s="36"/>
      <c r="T717" s="34"/>
      <c r="U717" s="71"/>
      <c r="V717" s="36"/>
      <c r="W717" s="36"/>
      <c r="X717" s="36"/>
      <c r="Y717" s="27"/>
      <c r="AA717" s="9"/>
      <c r="AB717" s="72"/>
    </row>
    <row r="718" spans="6:28">
      <c r="F718" s="48"/>
      <c r="G718" s="32"/>
      <c r="H718" s="68"/>
      <c r="I718" s="36"/>
      <c r="J718" s="27"/>
      <c r="K718" s="27"/>
      <c r="L718" s="27"/>
      <c r="M718" s="27"/>
      <c r="N718" s="27"/>
      <c r="O718" s="64"/>
      <c r="P718" s="64"/>
      <c r="Q718" s="27"/>
      <c r="R718" s="34"/>
      <c r="S718" s="36"/>
      <c r="T718" s="34"/>
      <c r="U718" s="71"/>
      <c r="V718" s="36"/>
      <c r="W718" s="36"/>
      <c r="X718" s="36"/>
      <c r="Y718" s="27"/>
      <c r="AA718" s="9"/>
      <c r="AB718" s="72"/>
    </row>
    <row r="719" spans="6:28">
      <c r="F719" s="48"/>
      <c r="G719" s="32"/>
      <c r="H719" s="68"/>
      <c r="I719" s="36"/>
      <c r="J719" s="27"/>
      <c r="K719" s="27"/>
      <c r="L719" s="27"/>
      <c r="M719" s="27"/>
      <c r="N719" s="27"/>
      <c r="O719" s="64"/>
      <c r="P719" s="64"/>
      <c r="Q719" s="27"/>
      <c r="R719" s="34"/>
      <c r="S719" s="36"/>
      <c r="T719" s="34"/>
      <c r="U719" s="71"/>
      <c r="V719" s="36"/>
      <c r="W719" s="36"/>
      <c r="X719" s="36"/>
      <c r="Y719" s="27"/>
      <c r="AA719" s="9"/>
      <c r="AB719" s="72"/>
    </row>
    <row r="720" spans="6:28">
      <c r="F720" s="48"/>
      <c r="G720" s="32"/>
      <c r="H720" s="68"/>
      <c r="I720" s="36"/>
      <c r="J720" s="27"/>
      <c r="K720" s="27"/>
      <c r="L720" s="27"/>
      <c r="M720" s="27"/>
      <c r="N720" s="27"/>
      <c r="O720" s="64"/>
      <c r="P720" s="64"/>
      <c r="Q720" s="27"/>
      <c r="R720" s="34"/>
      <c r="S720" s="36"/>
      <c r="T720" s="34"/>
      <c r="U720" s="71"/>
      <c r="V720" s="36"/>
      <c r="W720" s="36"/>
      <c r="X720" s="36"/>
      <c r="Y720" s="27"/>
      <c r="AA720" s="9"/>
      <c r="AB720" s="72"/>
    </row>
    <row r="721" spans="6:28">
      <c r="F721" s="48"/>
      <c r="G721" s="32"/>
      <c r="H721" s="68"/>
      <c r="I721" s="36"/>
      <c r="J721" s="27"/>
      <c r="K721" s="27"/>
      <c r="L721" s="27"/>
      <c r="M721" s="27"/>
      <c r="N721" s="27"/>
      <c r="O721" s="64"/>
      <c r="P721" s="64"/>
      <c r="Q721" s="27"/>
      <c r="R721" s="34"/>
      <c r="S721" s="36"/>
      <c r="T721" s="34"/>
      <c r="U721" s="71"/>
      <c r="V721" s="36"/>
      <c r="W721" s="36"/>
      <c r="X721" s="36"/>
      <c r="Y721" s="27"/>
      <c r="AA721" s="9"/>
      <c r="AB721" s="72"/>
    </row>
    <row r="722" spans="6:28">
      <c r="F722" s="48"/>
      <c r="G722" s="32"/>
      <c r="H722" s="68"/>
      <c r="I722" s="36"/>
      <c r="J722" s="27"/>
      <c r="K722" s="27"/>
      <c r="L722" s="27"/>
      <c r="M722" s="27"/>
      <c r="N722" s="27"/>
      <c r="O722" s="64"/>
      <c r="P722" s="64"/>
      <c r="Q722" s="27"/>
      <c r="R722" s="34"/>
      <c r="S722" s="36"/>
      <c r="T722" s="34"/>
      <c r="U722" s="71"/>
      <c r="V722" s="36"/>
      <c r="W722" s="36"/>
      <c r="X722" s="36"/>
      <c r="Y722" s="27"/>
      <c r="AA722" s="9"/>
      <c r="AB722" s="72"/>
    </row>
    <row r="723" spans="6:28">
      <c r="F723" s="48"/>
      <c r="G723" s="32"/>
      <c r="H723" s="68"/>
      <c r="I723" s="36"/>
      <c r="J723" s="27"/>
      <c r="K723" s="27"/>
      <c r="L723" s="27"/>
      <c r="M723" s="27"/>
      <c r="N723" s="27"/>
      <c r="O723" s="64"/>
      <c r="P723" s="64"/>
      <c r="Q723" s="27"/>
      <c r="R723" s="34"/>
      <c r="S723" s="36"/>
      <c r="T723" s="34"/>
      <c r="U723" s="71"/>
      <c r="V723" s="36"/>
      <c r="W723" s="36"/>
      <c r="X723" s="36"/>
      <c r="Y723" s="27"/>
      <c r="AA723" s="9"/>
      <c r="AB723" s="72"/>
    </row>
    <row r="724" spans="6:28">
      <c r="F724" s="48"/>
      <c r="G724" s="32"/>
      <c r="H724" s="68"/>
      <c r="I724" s="36"/>
      <c r="J724" s="27"/>
      <c r="K724" s="27"/>
      <c r="L724" s="27"/>
      <c r="M724" s="27"/>
      <c r="N724" s="27"/>
      <c r="O724" s="64"/>
      <c r="P724" s="64"/>
      <c r="Q724" s="27"/>
      <c r="R724" s="34"/>
      <c r="S724" s="36"/>
      <c r="T724" s="34"/>
      <c r="U724" s="71"/>
      <c r="V724" s="36"/>
      <c r="W724" s="36"/>
      <c r="X724" s="36"/>
      <c r="Y724" s="27"/>
      <c r="AA724" s="9"/>
      <c r="AB724" s="72"/>
    </row>
    <row r="725" spans="6:28">
      <c r="F725" s="48"/>
      <c r="G725" s="32"/>
      <c r="H725" s="68"/>
      <c r="I725" s="36"/>
      <c r="J725" s="27"/>
      <c r="K725" s="27"/>
      <c r="L725" s="27"/>
      <c r="M725" s="27"/>
      <c r="N725" s="27"/>
      <c r="O725" s="64"/>
      <c r="P725" s="64"/>
      <c r="Q725" s="27"/>
      <c r="R725" s="34"/>
      <c r="S725" s="36"/>
      <c r="T725" s="34"/>
      <c r="U725" s="71"/>
      <c r="V725" s="36"/>
      <c r="W725" s="36"/>
      <c r="X725" s="36"/>
      <c r="Y725" s="27"/>
      <c r="AA725" s="9"/>
      <c r="AB725" s="72"/>
    </row>
    <row r="726" spans="6:28">
      <c r="F726" s="48"/>
      <c r="G726" s="32"/>
      <c r="H726" s="68"/>
      <c r="I726" s="36"/>
      <c r="J726" s="27"/>
      <c r="K726" s="27"/>
      <c r="L726" s="27"/>
      <c r="M726" s="27"/>
      <c r="N726" s="27"/>
      <c r="O726" s="64"/>
      <c r="P726" s="64"/>
      <c r="Q726" s="27"/>
      <c r="R726" s="34"/>
      <c r="S726" s="36"/>
      <c r="T726" s="34"/>
      <c r="U726" s="71"/>
      <c r="V726" s="36"/>
      <c r="W726" s="36"/>
      <c r="X726" s="36"/>
      <c r="Y726" s="27"/>
      <c r="AA726" s="9"/>
      <c r="AB726" s="72"/>
    </row>
    <row r="727" spans="6:28">
      <c r="F727" s="48"/>
      <c r="G727" s="32"/>
      <c r="H727" s="68"/>
      <c r="I727" s="36"/>
      <c r="J727" s="27"/>
      <c r="K727" s="27"/>
      <c r="L727" s="27"/>
      <c r="M727" s="27"/>
      <c r="N727" s="27"/>
      <c r="O727" s="64"/>
      <c r="P727" s="64"/>
      <c r="Q727" s="27"/>
      <c r="R727" s="34"/>
      <c r="S727" s="36"/>
      <c r="T727" s="34"/>
      <c r="U727" s="71"/>
      <c r="V727" s="36"/>
      <c r="W727" s="36"/>
      <c r="X727" s="36"/>
      <c r="Y727" s="27"/>
      <c r="AA727" s="9"/>
      <c r="AB727" s="72"/>
    </row>
    <row r="728" spans="6:28">
      <c r="F728" s="48"/>
      <c r="G728" s="32"/>
      <c r="H728" s="68"/>
      <c r="I728" s="36"/>
      <c r="J728" s="27"/>
      <c r="K728" s="27"/>
      <c r="L728" s="27"/>
      <c r="M728" s="27"/>
      <c r="N728" s="27"/>
      <c r="O728" s="64"/>
      <c r="P728" s="64"/>
      <c r="Q728" s="27"/>
      <c r="R728" s="34"/>
      <c r="S728" s="36"/>
      <c r="T728" s="34"/>
      <c r="U728" s="71"/>
      <c r="V728" s="36"/>
      <c r="W728" s="36"/>
      <c r="X728" s="36"/>
      <c r="Y728" s="27"/>
      <c r="AA728" s="9"/>
      <c r="AB728" s="72"/>
    </row>
    <row r="729" spans="6:28">
      <c r="F729" s="48"/>
      <c r="G729" s="32"/>
      <c r="H729" s="68"/>
      <c r="I729" s="36"/>
      <c r="J729" s="27"/>
      <c r="K729" s="27"/>
      <c r="L729" s="27"/>
      <c r="M729" s="27"/>
      <c r="N729" s="27"/>
      <c r="O729" s="64"/>
      <c r="P729" s="64"/>
      <c r="Q729" s="27"/>
      <c r="R729" s="34"/>
      <c r="S729" s="36"/>
      <c r="T729" s="34"/>
      <c r="U729" s="71"/>
      <c r="V729" s="36"/>
      <c r="W729" s="36"/>
      <c r="X729" s="36"/>
      <c r="Y729" s="27"/>
      <c r="AA729" s="9"/>
      <c r="AB729" s="72"/>
    </row>
    <row r="730" spans="6:28">
      <c r="F730" s="48"/>
      <c r="G730" s="32"/>
      <c r="H730" s="68"/>
      <c r="I730" s="36"/>
      <c r="J730" s="27"/>
      <c r="K730" s="27"/>
      <c r="L730" s="27"/>
      <c r="M730" s="27"/>
      <c r="N730" s="27"/>
      <c r="O730" s="64"/>
      <c r="P730" s="64"/>
      <c r="Q730" s="27"/>
      <c r="R730" s="34"/>
      <c r="S730" s="36"/>
      <c r="T730" s="34"/>
      <c r="U730" s="71"/>
      <c r="V730" s="36"/>
      <c r="W730" s="36"/>
      <c r="X730" s="36"/>
      <c r="Y730" s="27"/>
      <c r="AA730" s="9"/>
      <c r="AB730" s="72"/>
    </row>
    <row r="731" spans="6:28">
      <c r="F731" s="48"/>
      <c r="G731" s="32"/>
      <c r="H731" s="68"/>
      <c r="I731" s="36"/>
      <c r="J731" s="27"/>
      <c r="K731" s="27"/>
      <c r="L731" s="27"/>
      <c r="M731" s="27"/>
      <c r="N731" s="27"/>
      <c r="O731" s="64"/>
      <c r="P731" s="64"/>
      <c r="Q731" s="27"/>
      <c r="R731" s="34"/>
      <c r="S731" s="36"/>
      <c r="T731" s="34"/>
      <c r="U731" s="71"/>
      <c r="V731" s="36"/>
      <c r="W731" s="36"/>
      <c r="X731" s="36"/>
      <c r="Y731" s="27"/>
      <c r="AA731" s="9"/>
      <c r="AB731" s="72"/>
    </row>
    <row r="732" spans="6:28">
      <c r="F732" s="48"/>
      <c r="G732" s="32"/>
      <c r="H732" s="68"/>
      <c r="I732" s="36"/>
      <c r="J732" s="27"/>
      <c r="K732" s="27"/>
      <c r="L732" s="27"/>
      <c r="M732" s="27"/>
      <c r="N732" s="27"/>
      <c r="O732" s="64"/>
      <c r="P732" s="64"/>
      <c r="Q732" s="27"/>
      <c r="R732" s="34"/>
      <c r="S732" s="36"/>
      <c r="T732" s="34"/>
      <c r="U732" s="71"/>
      <c r="V732" s="36"/>
      <c r="W732" s="36"/>
      <c r="X732" s="36"/>
      <c r="Y732" s="27"/>
      <c r="AA732" s="9"/>
      <c r="AB732" s="72"/>
    </row>
    <row r="733" spans="6:28">
      <c r="F733" s="48"/>
      <c r="G733" s="32"/>
      <c r="H733" s="68"/>
      <c r="I733" s="36"/>
      <c r="J733" s="27"/>
      <c r="K733" s="27"/>
      <c r="L733" s="27"/>
      <c r="M733" s="27"/>
      <c r="N733" s="27"/>
      <c r="O733" s="64"/>
      <c r="P733" s="64"/>
      <c r="Q733" s="27"/>
      <c r="R733" s="34"/>
      <c r="S733" s="36"/>
      <c r="T733" s="34"/>
      <c r="U733" s="71"/>
      <c r="V733" s="36"/>
      <c r="W733" s="36"/>
      <c r="X733" s="36"/>
      <c r="Y733" s="27"/>
      <c r="AA733" s="9"/>
      <c r="AB733" s="72"/>
    </row>
    <row r="734" spans="6:28">
      <c r="F734" s="48"/>
      <c r="G734" s="32"/>
      <c r="H734" s="68"/>
      <c r="I734" s="36"/>
      <c r="J734" s="27"/>
      <c r="K734" s="27"/>
      <c r="L734" s="27"/>
      <c r="M734" s="27"/>
      <c r="N734" s="27"/>
      <c r="O734" s="64"/>
      <c r="P734" s="64"/>
      <c r="Q734" s="27"/>
      <c r="R734" s="34"/>
      <c r="S734" s="36"/>
      <c r="T734" s="34"/>
      <c r="U734" s="71"/>
      <c r="V734" s="36"/>
      <c r="W734" s="36"/>
      <c r="X734" s="36"/>
      <c r="Y734" s="27"/>
      <c r="AA734" s="9"/>
      <c r="AB734" s="72"/>
    </row>
    <row r="735" spans="6:28">
      <c r="F735" s="48"/>
      <c r="G735" s="32"/>
      <c r="H735" s="68"/>
      <c r="I735" s="36"/>
      <c r="J735" s="27"/>
      <c r="K735" s="27"/>
      <c r="L735" s="27"/>
      <c r="M735" s="27"/>
      <c r="N735" s="27"/>
      <c r="O735" s="64"/>
      <c r="P735" s="64"/>
      <c r="Q735" s="27"/>
      <c r="R735" s="34"/>
      <c r="S735" s="36"/>
      <c r="T735" s="34"/>
      <c r="U735" s="71"/>
      <c r="V735" s="36"/>
      <c r="W735" s="36"/>
      <c r="X735" s="36"/>
      <c r="Y735" s="27"/>
      <c r="AA735" s="9"/>
      <c r="AB735" s="72"/>
    </row>
    <row r="736" spans="6:28">
      <c r="F736" s="48"/>
      <c r="G736" s="32"/>
      <c r="H736" s="68"/>
      <c r="I736" s="36"/>
      <c r="J736" s="27"/>
      <c r="K736" s="27"/>
      <c r="L736" s="27"/>
      <c r="M736" s="27"/>
      <c r="N736" s="27"/>
      <c r="O736" s="64"/>
      <c r="P736" s="64"/>
      <c r="Q736" s="27"/>
      <c r="R736" s="34"/>
      <c r="S736" s="36"/>
      <c r="T736" s="34"/>
      <c r="U736" s="71"/>
      <c r="V736" s="36"/>
      <c r="W736" s="36"/>
      <c r="X736" s="36"/>
      <c r="Y736" s="27"/>
      <c r="AA736" s="9"/>
      <c r="AB736" s="72"/>
    </row>
    <row r="737" spans="6:28">
      <c r="F737" s="48"/>
      <c r="G737" s="32"/>
      <c r="H737" s="68"/>
      <c r="I737" s="36"/>
      <c r="J737" s="27"/>
      <c r="K737" s="27"/>
      <c r="L737" s="27"/>
      <c r="M737" s="27"/>
      <c r="N737" s="27"/>
      <c r="O737" s="64"/>
      <c r="P737" s="64"/>
      <c r="Q737" s="27"/>
      <c r="R737" s="34"/>
      <c r="S737" s="36"/>
      <c r="T737" s="34"/>
      <c r="U737" s="71"/>
      <c r="V737" s="36"/>
      <c r="W737" s="36"/>
      <c r="X737" s="36"/>
      <c r="Y737" s="27"/>
      <c r="AA737" s="9"/>
      <c r="AB737" s="72"/>
    </row>
    <row r="738" spans="6:28">
      <c r="F738" s="48"/>
      <c r="G738" s="32"/>
      <c r="H738" s="68"/>
      <c r="I738" s="36"/>
      <c r="J738" s="27"/>
      <c r="K738" s="27"/>
      <c r="L738" s="27"/>
      <c r="M738" s="27"/>
      <c r="N738" s="27"/>
      <c r="O738" s="64"/>
      <c r="P738" s="64"/>
      <c r="Q738" s="27"/>
      <c r="R738" s="34"/>
      <c r="S738" s="36"/>
      <c r="T738" s="34"/>
      <c r="U738" s="71"/>
      <c r="V738" s="36"/>
      <c r="W738" s="36"/>
      <c r="X738" s="36"/>
      <c r="Y738" s="27"/>
      <c r="AA738" s="9"/>
      <c r="AB738" s="72"/>
    </row>
    <row r="739" spans="6:28">
      <c r="F739" s="48"/>
      <c r="G739" s="32"/>
      <c r="H739" s="68"/>
      <c r="I739" s="36"/>
      <c r="J739" s="27"/>
      <c r="K739" s="27"/>
      <c r="L739" s="27"/>
      <c r="M739" s="27"/>
      <c r="N739" s="27"/>
      <c r="O739" s="64"/>
      <c r="P739" s="64"/>
      <c r="Q739" s="27"/>
      <c r="R739" s="34"/>
      <c r="S739" s="36"/>
      <c r="T739" s="34"/>
      <c r="U739" s="71"/>
      <c r="V739" s="36"/>
      <c r="W739" s="36"/>
      <c r="X739" s="36"/>
      <c r="Y739" s="27"/>
      <c r="AA739" s="9"/>
      <c r="AB739" s="72"/>
    </row>
    <row r="740" spans="6:28">
      <c r="F740" s="48"/>
      <c r="G740" s="32"/>
      <c r="H740" s="68"/>
      <c r="I740" s="36"/>
      <c r="J740" s="27"/>
      <c r="K740" s="27"/>
      <c r="L740" s="27"/>
      <c r="M740" s="27"/>
      <c r="N740" s="27"/>
      <c r="O740" s="64"/>
      <c r="P740" s="64"/>
      <c r="Q740" s="27"/>
      <c r="R740" s="34"/>
      <c r="S740" s="36"/>
      <c r="T740" s="34"/>
      <c r="U740" s="71"/>
      <c r="V740" s="36"/>
      <c r="W740" s="36"/>
      <c r="X740" s="36"/>
      <c r="Y740" s="27"/>
      <c r="AA740" s="9"/>
      <c r="AB740" s="72"/>
    </row>
    <row r="741" spans="6:28">
      <c r="F741" s="48"/>
      <c r="G741" s="32"/>
      <c r="H741" s="68"/>
      <c r="I741" s="36"/>
      <c r="J741" s="27"/>
      <c r="K741" s="27"/>
      <c r="L741" s="27"/>
      <c r="M741" s="27"/>
      <c r="N741" s="27"/>
      <c r="O741" s="64"/>
      <c r="P741" s="64"/>
      <c r="Q741" s="27"/>
      <c r="R741" s="34"/>
      <c r="S741" s="36"/>
      <c r="T741" s="34"/>
      <c r="U741" s="71"/>
      <c r="V741" s="36"/>
      <c r="W741" s="36"/>
      <c r="X741" s="36"/>
      <c r="Y741" s="27"/>
      <c r="AA741" s="9"/>
      <c r="AB741" s="72"/>
    </row>
    <row r="742" spans="6:28">
      <c r="F742" s="48"/>
      <c r="G742" s="32"/>
      <c r="H742" s="68"/>
      <c r="I742" s="36"/>
      <c r="J742" s="27"/>
      <c r="K742" s="27"/>
      <c r="L742" s="27"/>
      <c r="M742" s="27"/>
      <c r="N742" s="27"/>
      <c r="O742" s="64"/>
      <c r="P742" s="64"/>
      <c r="Q742" s="27"/>
      <c r="R742" s="34"/>
      <c r="S742" s="36"/>
      <c r="T742" s="34"/>
      <c r="U742" s="71"/>
      <c r="V742" s="36"/>
      <c r="W742" s="36"/>
      <c r="X742" s="36"/>
      <c r="Y742" s="27"/>
      <c r="AA742" s="9"/>
      <c r="AB742" s="72"/>
    </row>
    <row r="743" spans="6:28">
      <c r="F743" s="48"/>
      <c r="G743" s="32"/>
      <c r="H743" s="68"/>
      <c r="I743" s="36"/>
      <c r="J743" s="27"/>
      <c r="K743" s="27"/>
      <c r="L743" s="27"/>
      <c r="M743" s="27"/>
      <c r="N743" s="27"/>
      <c r="O743" s="64"/>
      <c r="P743" s="64"/>
      <c r="Q743" s="27"/>
      <c r="R743" s="34"/>
      <c r="S743" s="36"/>
      <c r="T743" s="34"/>
      <c r="U743" s="71"/>
      <c r="V743" s="36"/>
      <c r="W743" s="36"/>
      <c r="X743" s="36"/>
      <c r="Y743" s="27"/>
      <c r="AA743" s="9"/>
      <c r="AB743" s="72"/>
    </row>
    <row r="744" spans="6:28">
      <c r="F744" s="48"/>
      <c r="G744" s="32"/>
      <c r="H744" s="68"/>
      <c r="I744" s="36"/>
      <c r="J744" s="27"/>
      <c r="K744" s="27"/>
      <c r="L744" s="27"/>
      <c r="M744" s="27"/>
      <c r="N744" s="27"/>
      <c r="O744" s="64"/>
      <c r="P744" s="64"/>
      <c r="Q744" s="27"/>
      <c r="R744" s="34"/>
      <c r="S744" s="36"/>
      <c r="T744" s="34"/>
      <c r="U744" s="71"/>
      <c r="V744" s="36"/>
      <c r="W744" s="36"/>
      <c r="X744" s="36"/>
      <c r="Y744" s="27"/>
      <c r="AA744" s="9"/>
      <c r="AB744" s="72"/>
    </row>
    <row r="745" spans="6:28">
      <c r="F745" s="48"/>
      <c r="G745" s="32"/>
      <c r="H745" s="68"/>
      <c r="I745" s="36"/>
      <c r="J745" s="27"/>
      <c r="K745" s="27"/>
      <c r="L745" s="27"/>
      <c r="M745" s="27"/>
      <c r="N745" s="27"/>
      <c r="O745" s="64"/>
      <c r="P745" s="64"/>
      <c r="Q745" s="27"/>
      <c r="R745" s="34"/>
      <c r="S745" s="36"/>
      <c r="T745" s="34"/>
      <c r="U745" s="71"/>
      <c r="V745" s="36"/>
      <c r="W745" s="36"/>
      <c r="X745" s="36"/>
      <c r="Y745" s="27"/>
      <c r="AA745" s="9"/>
      <c r="AB745" s="72"/>
    </row>
    <row r="746" spans="6:28">
      <c r="F746" s="48"/>
      <c r="G746" s="32"/>
      <c r="H746" s="68"/>
      <c r="I746" s="36"/>
      <c r="J746" s="27"/>
      <c r="K746" s="27"/>
      <c r="L746" s="27"/>
      <c r="M746" s="27"/>
      <c r="N746" s="27"/>
      <c r="O746" s="64"/>
      <c r="P746" s="64"/>
      <c r="Q746" s="27"/>
      <c r="R746" s="34"/>
      <c r="S746" s="36"/>
      <c r="T746" s="34"/>
      <c r="U746" s="71"/>
      <c r="V746" s="36"/>
      <c r="W746" s="36"/>
      <c r="X746" s="36"/>
      <c r="Y746" s="27"/>
      <c r="AA746" s="9"/>
      <c r="AB746" s="72"/>
    </row>
    <row r="747" spans="6:28">
      <c r="F747" s="48"/>
      <c r="G747" s="32"/>
      <c r="H747" s="68"/>
      <c r="I747" s="36"/>
      <c r="J747" s="27"/>
      <c r="K747" s="27"/>
      <c r="L747" s="27"/>
      <c r="M747" s="27"/>
      <c r="N747" s="27"/>
      <c r="O747" s="64"/>
      <c r="P747" s="64"/>
      <c r="Q747" s="27"/>
      <c r="R747" s="34"/>
      <c r="S747" s="36"/>
      <c r="T747" s="34"/>
      <c r="U747" s="71"/>
      <c r="V747" s="36"/>
      <c r="W747" s="36"/>
      <c r="X747" s="36"/>
      <c r="Y747" s="27"/>
      <c r="AA747" s="9"/>
      <c r="AB747" s="72"/>
    </row>
    <row r="748" spans="6:28">
      <c r="F748" s="48"/>
      <c r="G748" s="32"/>
      <c r="H748" s="68"/>
      <c r="I748" s="36"/>
      <c r="J748" s="27"/>
      <c r="K748" s="27"/>
      <c r="L748" s="27"/>
      <c r="M748" s="27"/>
      <c r="N748" s="27"/>
      <c r="O748" s="64"/>
      <c r="P748" s="64"/>
      <c r="Q748" s="27"/>
      <c r="R748" s="34"/>
      <c r="S748" s="36"/>
      <c r="T748" s="34"/>
      <c r="U748" s="71"/>
      <c r="V748" s="36"/>
      <c r="W748" s="36"/>
      <c r="X748" s="36"/>
      <c r="Y748" s="27"/>
      <c r="AA748" s="9"/>
      <c r="AB748" s="72"/>
    </row>
    <row r="749" spans="6:28">
      <c r="F749" s="48"/>
      <c r="G749" s="32"/>
      <c r="H749" s="68"/>
      <c r="I749" s="36"/>
      <c r="J749" s="27"/>
      <c r="K749" s="27"/>
      <c r="L749" s="27"/>
      <c r="M749" s="27"/>
      <c r="N749" s="27"/>
      <c r="O749" s="64"/>
      <c r="P749" s="64"/>
      <c r="Q749" s="27"/>
      <c r="R749" s="34"/>
      <c r="S749" s="36"/>
      <c r="T749" s="34"/>
      <c r="U749" s="71"/>
      <c r="V749" s="36"/>
      <c r="W749" s="36"/>
      <c r="X749" s="36"/>
      <c r="Y749" s="27"/>
      <c r="AA749" s="9"/>
      <c r="AB749" s="72"/>
    </row>
    <row r="750" spans="6:28">
      <c r="F750" s="48"/>
      <c r="G750" s="32"/>
      <c r="H750" s="68"/>
      <c r="I750" s="36"/>
      <c r="J750" s="27"/>
      <c r="K750" s="27"/>
      <c r="L750" s="27"/>
      <c r="M750" s="27"/>
      <c r="N750" s="27"/>
      <c r="O750" s="64"/>
      <c r="P750" s="64"/>
      <c r="Q750" s="27"/>
      <c r="R750" s="34"/>
      <c r="S750" s="36"/>
      <c r="T750" s="34"/>
      <c r="U750" s="71"/>
      <c r="V750" s="36"/>
      <c r="W750" s="36"/>
      <c r="X750" s="36"/>
      <c r="Y750" s="27"/>
      <c r="AA750" s="9"/>
      <c r="AB750" s="72"/>
    </row>
    <row r="751" spans="6:28">
      <c r="F751" s="48"/>
      <c r="G751" s="32"/>
      <c r="H751" s="68"/>
      <c r="I751" s="36"/>
      <c r="J751" s="27"/>
      <c r="K751" s="27"/>
      <c r="L751" s="27"/>
      <c r="M751" s="27"/>
      <c r="N751" s="27"/>
      <c r="O751" s="64"/>
      <c r="P751" s="64"/>
      <c r="Q751" s="27"/>
      <c r="R751" s="34"/>
      <c r="S751" s="36"/>
      <c r="T751" s="34"/>
      <c r="U751" s="71"/>
      <c r="V751" s="36"/>
      <c r="W751" s="36"/>
      <c r="X751" s="36"/>
      <c r="Y751" s="27"/>
      <c r="AA751" s="9"/>
      <c r="AB751" s="72"/>
    </row>
    <row r="752" spans="6:28">
      <c r="F752" s="48"/>
      <c r="G752" s="32"/>
      <c r="H752" s="68"/>
      <c r="I752" s="36"/>
      <c r="J752" s="27"/>
      <c r="K752" s="27"/>
      <c r="L752" s="27"/>
      <c r="M752" s="27"/>
      <c r="N752" s="27"/>
      <c r="O752" s="64"/>
      <c r="P752" s="64"/>
      <c r="Q752" s="27"/>
      <c r="R752" s="34"/>
      <c r="S752" s="36"/>
      <c r="T752" s="34"/>
      <c r="U752" s="71"/>
      <c r="V752" s="36"/>
      <c r="W752" s="36"/>
      <c r="X752" s="36"/>
      <c r="Y752" s="27"/>
      <c r="AA752" s="9"/>
      <c r="AB752" s="72"/>
    </row>
    <row r="753" spans="6:28">
      <c r="F753" s="48"/>
      <c r="G753" s="32"/>
      <c r="H753" s="68"/>
      <c r="I753" s="36"/>
      <c r="J753" s="27"/>
      <c r="K753" s="27"/>
      <c r="L753" s="27"/>
      <c r="M753" s="27"/>
      <c r="N753" s="27"/>
      <c r="O753" s="64"/>
      <c r="P753" s="64"/>
      <c r="Q753" s="27"/>
      <c r="R753" s="34"/>
      <c r="S753" s="36"/>
      <c r="T753" s="34"/>
      <c r="U753" s="71"/>
      <c r="V753" s="36"/>
      <c r="W753" s="36"/>
      <c r="X753" s="36"/>
      <c r="Y753" s="27"/>
      <c r="AA753" s="9"/>
      <c r="AB753" s="72"/>
    </row>
    <row r="754" spans="6:28">
      <c r="F754" s="48"/>
      <c r="G754" s="32"/>
      <c r="H754" s="68"/>
      <c r="I754" s="36"/>
      <c r="J754" s="27"/>
      <c r="K754" s="27"/>
      <c r="L754" s="27"/>
      <c r="M754" s="27"/>
      <c r="N754" s="27"/>
      <c r="O754" s="64"/>
      <c r="P754" s="64"/>
      <c r="Q754" s="27"/>
      <c r="R754" s="34"/>
      <c r="S754" s="36"/>
      <c r="T754" s="34"/>
      <c r="U754" s="71"/>
      <c r="V754" s="36"/>
      <c r="W754" s="36"/>
      <c r="X754" s="36"/>
      <c r="Y754" s="27"/>
      <c r="AA754" s="9"/>
      <c r="AB754" s="72"/>
    </row>
    <row r="755" spans="6:28">
      <c r="F755" s="48"/>
      <c r="G755" s="32"/>
      <c r="H755" s="68"/>
      <c r="I755" s="36"/>
      <c r="J755" s="27"/>
      <c r="K755" s="27"/>
      <c r="L755" s="27"/>
      <c r="M755" s="27"/>
      <c r="N755" s="27"/>
      <c r="O755" s="64"/>
      <c r="P755" s="64"/>
      <c r="Q755" s="27"/>
      <c r="R755" s="34"/>
      <c r="S755" s="36"/>
      <c r="T755" s="34"/>
      <c r="U755" s="71"/>
      <c r="V755" s="36"/>
      <c r="W755" s="36"/>
      <c r="X755" s="36"/>
      <c r="Y755" s="27"/>
      <c r="AA755" s="9"/>
      <c r="AB755" s="72"/>
    </row>
    <row r="756" spans="6:28">
      <c r="F756" s="48"/>
      <c r="G756" s="32"/>
      <c r="H756" s="68"/>
      <c r="I756" s="36"/>
      <c r="J756" s="27"/>
      <c r="K756" s="27"/>
      <c r="L756" s="27"/>
      <c r="M756" s="27"/>
      <c r="N756" s="27"/>
      <c r="O756" s="64"/>
      <c r="P756" s="64"/>
      <c r="Q756" s="27"/>
      <c r="R756" s="34"/>
      <c r="S756" s="36"/>
      <c r="T756" s="34"/>
      <c r="U756" s="71"/>
      <c r="V756" s="36"/>
      <c r="W756" s="36"/>
      <c r="X756" s="36"/>
      <c r="Y756" s="27"/>
      <c r="AA756" s="9"/>
      <c r="AB756" s="72"/>
    </row>
    <row r="757" spans="6:28">
      <c r="F757" s="48"/>
      <c r="G757" s="32"/>
      <c r="H757" s="68"/>
      <c r="I757" s="36"/>
      <c r="J757" s="27"/>
      <c r="K757" s="27"/>
      <c r="L757" s="27"/>
      <c r="M757" s="27"/>
      <c r="N757" s="27"/>
      <c r="O757" s="64"/>
      <c r="P757" s="64"/>
      <c r="Q757" s="27"/>
      <c r="R757" s="34"/>
      <c r="S757" s="36"/>
      <c r="T757" s="34"/>
      <c r="U757" s="71"/>
      <c r="V757" s="36"/>
      <c r="W757" s="36"/>
      <c r="X757" s="36"/>
      <c r="Y757" s="27"/>
      <c r="AA757" s="9"/>
      <c r="AB757" s="72"/>
    </row>
    <row r="758" spans="6:28">
      <c r="F758" s="48"/>
      <c r="G758" s="32"/>
      <c r="H758" s="68"/>
      <c r="I758" s="36"/>
      <c r="J758" s="27"/>
      <c r="K758" s="27"/>
      <c r="L758" s="27"/>
      <c r="M758" s="27"/>
      <c r="N758" s="27"/>
      <c r="O758" s="64"/>
      <c r="P758" s="64"/>
      <c r="Q758" s="27"/>
      <c r="R758" s="34"/>
      <c r="S758" s="36"/>
      <c r="T758" s="34"/>
      <c r="U758" s="71"/>
      <c r="V758" s="36"/>
      <c r="W758" s="36"/>
      <c r="X758" s="36"/>
      <c r="Y758" s="27"/>
      <c r="AA758" s="9"/>
      <c r="AB758" s="72"/>
    </row>
    <row r="759" spans="6:28">
      <c r="F759" s="48"/>
      <c r="G759" s="32"/>
      <c r="H759" s="68"/>
      <c r="I759" s="36"/>
      <c r="J759" s="27"/>
      <c r="K759" s="27"/>
      <c r="L759" s="27"/>
      <c r="M759" s="27"/>
      <c r="N759" s="27"/>
      <c r="O759" s="64"/>
      <c r="P759" s="64"/>
      <c r="Q759" s="27"/>
      <c r="R759" s="34"/>
      <c r="S759" s="36"/>
      <c r="T759" s="34"/>
      <c r="U759" s="71"/>
      <c r="V759" s="36"/>
      <c r="W759" s="36"/>
      <c r="X759" s="36"/>
      <c r="Y759" s="27"/>
      <c r="AA759" s="9"/>
      <c r="AB759" s="72"/>
    </row>
    <row r="760" spans="6:28">
      <c r="F760" s="48"/>
      <c r="G760" s="32"/>
      <c r="H760" s="68"/>
      <c r="I760" s="36"/>
      <c r="J760" s="27"/>
      <c r="K760" s="27"/>
      <c r="L760" s="27"/>
      <c r="M760" s="27"/>
      <c r="N760" s="27"/>
      <c r="O760" s="64"/>
      <c r="P760" s="64"/>
      <c r="Q760" s="27"/>
      <c r="R760" s="34"/>
      <c r="S760" s="36"/>
      <c r="T760" s="34"/>
      <c r="U760" s="71"/>
      <c r="V760" s="36"/>
      <c r="W760" s="36"/>
      <c r="X760" s="36"/>
      <c r="Y760" s="27"/>
      <c r="AA760" s="9"/>
      <c r="AB760" s="72"/>
    </row>
    <row r="761" spans="6:28">
      <c r="F761" s="48"/>
      <c r="G761" s="32"/>
      <c r="H761" s="68"/>
      <c r="I761" s="36"/>
      <c r="J761" s="27"/>
      <c r="K761" s="27"/>
      <c r="L761" s="27"/>
      <c r="M761" s="27"/>
      <c r="N761" s="27"/>
      <c r="O761" s="64"/>
      <c r="P761" s="64"/>
      <c r="Q761" s="27"/>
      <c r="R761" s="34"/>
      <c r="S761" s="36"/>
      <c r="T761" s="34"/>
      <c r="U761" s="71"/>
      <c r="V761" s="36"/>
      <c r="W761" s="36"/>
      <c r="X761" s="36"/>
      <c r="Y761" s="27"/>
      <c r="AA761" s="9"/>
      <c r="AB761" s="72"/>
    </row>
    <row r="762" spans="6:28">
      <c r="F762" s="48"/>
      <c r="G762" s="32"/>
      <c r="H762" s="68"/>
      <c r="I762" s="36"/>
      <c r="J762" s="27"/>
      <c r="K762" s="27"/>
      <c r="L762" s="27"/>
      <c r="M762" s="27"/>
      <c r="N762" s="27"/>
      <c r="O762" s="64"/>
      <c r="P762" s="64"/>
      <c r="Q762" s="27"/>
      <c r="R762" s="34"/>
      <c r="S762" s="36"/>
      <c r="T762" s="34"/>
      <c r="U762" s="71"/>
      <c r="V762" s="36"/>
      <c r="W762" s="36"/>
      <c r="X762" s="36"/>
      <c r="Y762" s="27"/>
      <c r="AA762" s="9"/>
      <c r="AB762" s="72"/>
    </row>
    <row r="763" spans="6:28">
      <c r="F763" s="48"/>
      <c r="G763" s="32"/>
      <c r="H763" s="68"/>
      <c r="I763" s="36"/>
      <c r="J763" s="27"/>
      <c r="K763" s="27"/>
      <c r="L763" s="27"/>
      <c r="M763" s="27"/>
      <c r="N763" s="27"/>
      <c r="O763" s="64"/>
      <c r="P763" s="64"/>
      <c r="Q763" s="27"/>
      <c r="R763" s="34"/>
      <c r="S763" s="36"/>
      <c r="T763" s="34"/>
      <c r="U763" s="71"/>
      <c r="V763" s="36"/>
      <c r="W763" s="36"/>
      <c r="X763" s="36"/>
      <c r="Y763" s="27"/>
      <c r="AA763" s="9"/>
      <c r="AB763" s="72"/>
    </row>
    <row r="764" spans="6:28">
      <c r="F764" s="48"/>
      <c r="G764" s="32"/>
      <c r="H764" s="68"/>
      <c r="I764" s="36"/>
      <c r="J764" s="27"/>
      <c r="K764" s="27"/>
      <c r="L764" s="27"/>
      <c r="M764" s="27"/>
      <c r="N764" s="27"/>
      <c r="O764" s="64"/>
      <c r="P764" s="64"/>
      <c r="Q764" s="27"/>
      <c r="R764" s="34"/>
      <c r="S764" s="36"/>
      <c r="T764" s="34"/>
      <c r="U764" s="71"/>
      <c r="V764" s="36"/>
      <c r="W764" s="36"/>
      <c r="X764" s="36"/>
      <c r="Y764" s="27"/>
      <c r="AA764" s="9"/>
      <c r="AB764" s="72"/>
    </row>
    <row r="765" spans="6:28">
      <c r="F765" s="48"/>
      <c r="G765" s="32"/>
      <c r="H765" s="68"/>
      <c r="I765" s="36"/>
      <c r="J765" s="27"/>
      <c r="K765" s="27"/>
      <c r="L765" s="27"/>
      <c r="M765" s="27"/>
      <c r="N765" s="27"/>
      <c r="O765" s="64"/>
      <c r="P765" s="64"/>
      <c r="Q765" s="27"/>
      <c r="R765" s="34"/>
      <c r="S765" s="36"/>
      <c r="T765" s="34"/>
      <c r="U765" s="71"/>
      <c r="V765" s="36"/>
      <c r="W765" s="36"/>
      <c r="X765" s="36"/>
      <c r="Y765" s="27"/>
      <c r="AA765" s="9"/>
      <c r="AB765" s="72"/>
    </row>
    <row r="766" spans="6:28">
      <c r="F766" s="48"/>
      <c r="G766" s="32"/>
      <c r="H766" s="68"/>
      <c r="I766" s="36"/>
      <c r="J766" s="27"/>
      <c r="K766" s="27"/>
      <c r="L766" s="27"/>
      <c r="M766" s="27"/>
      <c r="N766" s="27"/>
      <c r="O766" s="64"/>
      <c r="P766" s="64"/>
      <c r="Q766" s="27"/>
      <c r="R766" s="34"/>
      <c r="S766" s="36"/>
      <c r="T766" s="34"/>
      <c r="U766" s="71"/>
      <c r="V766" s="36"/>
      <c r="W766" s="36"/>
      <c r="X766" s="36"/>
      <c r="Y766" s="27"/>
      <c r="AA766" s="9"/>
      <c r="AB766" s="72"/>
    </row>
    <row r="767" spans="6:28">
      <c r="F767" s="48"/>
      <c r="G767" s="32"/>
      <c r="H767" s="68"/>
      <c r="I767" s="36"/>
      <c r="J767" s="27"/>
      <c r="K767" s="27"/>
      <c r="L767" s="27"/>
      <c r="M767" s="27"/>
      <c r="N767" s="27"/>
      <c r="O767" s="64"/>
      <c r="P767" s="64"/>
      <c r="Q767" s="27"/>
      <c r="R767" s="34"/>
      <c r="S767" s="36"/>
      <c r="T767" s="34"/>
      <c r="U767" s="71"/>
      <c r="V767" s="36"/>
      <c r="W767" s="36"/>
      <c r="X767" s="36"/>
      <c r="Y767" s="27"/>
      <c r="AA767" s="9"/>
      <c r="AB767" s="72"/>
    </row>
    <row r="768" spans="6:28">
      <c r="F768" s="48"/>
      <c r="G768" s="32"/>
      <c r="H768" s="68"/>
      <c r="I768" s="36"/>
      <c r="J768" s="27"/>
      <c r="K768" s="27"/>
      <c r="L768" s="27"/>
      <c r="M768" s="27"/>
      <c r="N768" s="27"/>
      <c r="O768" s="64"/>
      <c r="P768" s="64"/>
      <c r="Q768" s="27"/>
      <c r="R768" s="34"/>
      <c r="S768" s="36"/>
      <c r="T768" s="34"/>
      <c r="U768" s="71"/>
      <c r="V768" s="36"/>
      <c r="W768" s="36"/>
      <c r="X768" s="36"/>
      <c r="Y768" s="27"/>
      <c r="AA768" s="9"/>
      <c r="AB768" s="72"/>
    </row>
    <row r="769" spans="6:28">
      <c r="F769" s="48"/>
      <c r="G769" s="32"/>
      <c r="H769" s="68"/>
      <c r="I769" s="36"/>
      <c r="J769" s="27"/>
      <c r="K769" s="27"/>
      <c r="L769" s="27"/>
      <c r="M769" s="27"/>
      <c r="N769" s="27"/>
      <c r="O769" s="64"/>
      <c r="P769" s="64"/>
      <c r="Q769" s="27"/>
      <c r="R769" s="34"/>
      <c r="S769" s="36"/>
      <c r="T769" s="34"/>
      <c r="U769" s="71"/>
      <c r="V769" s="36"/>
      <c r="W769" s="36"/>
      <c r="X769" s="36"/>
      <c r="Y769" s="27"/>
      <c r="AA769" s="9"/>
      <c r="AB769" s="72"/>
    </row>
    <row r="770" spans="6:28">
      <c r="F770" s="48"/>
      <c r="G770" s="32"/>
      <c r="H770" s="68"/>
      <c r="I770" s="36"/>
      <c r="J770" s="27"/>
      <c r="K770" s="27"/>
      <c r="L770" s="27"/>
      <c r="M770" s="27"/>
      <c r="N770" s="27"/>
      <c r="O770" s="64"/>
      <c r="P770" s="64"/>
      <c r="Q770" s="27"/>
      <c r="R770" s="34"/>
      <c r="S770" s="36"/>
      <c r="T770" s="34"/>
      <c r="U770" s="71"/>
      <c r="V770" s="36"/>
      <c r="W770" s="36"/>
      <c r="X770" s="36"/>
      <c r="Y770" s="27"/>
      <c r="AA770" s="9"/>
      <c r="AB770" s="72"/>
    </row>
    <row r="771" spans="6:28">
      <c r="F771" s="48"/>
      <c r="G771" s="32"/>
      <c r="H771" s="68"/>
      <c r="I771" s="36"/>
      <c r="J771" s="27"/>
      <c r="K771" s="27"/>
      <c r="L771" s="27"/>
      <c r="M771" s="27"/>
      <c r="N771" s="27"/>
      <c r="O771" s="64"/>
      <c r="P771" s="64"/>
      <c r="Q771" s="27"/>
      <c r="R771" s="34"/>
      <c r="S771" s="36"/>
      <c r="T771" s="34"/>
      <c r="U771" s="71"/>
      <c r="V771" s="36"/>
      <c r="W771" s="36"/>
      <c r="X771" s="36"/>
      <c r="Y771" s="27"/>
      <c r="AA771" s="9"/>
      <c r="AB771" s="72"/>
    </row>
    <row r="772" spans="6:28">
      <c r="F772" s="48"/>
      <c r="G772" s="32"/>
      <c r="H772" s="68"/>
      <c r="I772" s="36"/>
      <c r="J772" s="27"/>
      <c r="K772" s="27"/>
      <c r="L772" s="27"/>
      <c r="M772" s="27"/>
      <c r="N772" s="27"/>
      <c r="O772" s="64"/>
      <c r="P772" s="64"/>
      <c r="Q772" s="27"/>
      <c r="R772" s="34"/>
      <c r="S772" s="36"/>
      <c r="T772" s="34"/>
      <c r="U772" s="71"/>
      <c r="V772" s="36"/>
      <c r="W772" s="36"/>
      <c r="X772" s="36"/>
      <c r="Y772" s="27"/>
      <c r="AA772" s="9"/>
      <c r="AB772" s="72"/>
    </row>
    <row r="773" spans="6:28">
      <c r="F773" s="48"/>
      <c r="G773" s="32"/>
      <c r="H773" s="68"/>
      <c r="I773" s="36"/>
      <c r="J773" s="27"/>
      <c r="K773" s="27"/>
      <c r="L773" s="27"/>
      <c r="M773" s="27"/>
      <c r="N773" s="27"/>
      <c r="O773" s="64"/>
      <c r="P773" s="64"/>
      <c r="Q773" s="27"/>
      <c r="R773" s="34"/>
      <c r="S773" s="36"/>
      <c r="T773" s="34"/>
      <c r="U773" s="71"/>
      <c r="V773" s="36"/>
      <c r="W773" s="36"/>
      <c r="X773" s="36"/>
      <c r="Y773" s="27"/>
      <c r="AA773" s="9"/>
      <c r="AB773" s="72"/>
    </row>
    <row r="774" spans="6:28">
      <c r="F774" s="48"/>
      <c r="G774" s="32"/>
      <c r="H774" s="68"/>
      <c r="I774" s="36"/>
      <c r="J774" s="27"/>
      <c r="K774" s="27"/>
      <c r="L774" s="27"/>
      <c r="M774" s="27"/>
      <c r="N774" s="27"/>
      <c r="O774" s="64"/>
      <c r="P774" s="64"/>
      <c r="Q774" s="27"/>
      <c r="R774" s="34"/>
      <c r="S774" s="36"/>
      <c r="T774" s="34"/>
      <c r="U774" s="71"/>
      <c r="V774" s="36"/>
      <c r="W774" s="36"/>
      <c r="X774" s="36"/>
      <c r="Y774" s="27"/>
      <c r="AA774" s="9"/>
      <c r="AB774" s="72"/>
    </row>
    <row r="775" spans="6:28">
      <c r="F775" s="48"/>
      <c r="G775" s="32"/>
      <c r="H775" s="68"/>
      <c r="I775" s="36"/>
      <c r="J775" s="27"/>
      <c r="K775" s="27"/>
      <c r="L775" s="27"/>
      <c r="M775" s="27"/>
      <c r="N775" s="27"/>
      <c r="O775" s="64"/>
      <c r="P775" s="64"/>
      <c r="Q775" s="27"/>
      <c r="R775" s="34"/>
      <c r="S775" s="36"/>
      <c r="T775" s="34"/>
      <c r="U775" s="71"/>
      <c r="V775" s="36"/>
      <c r="W775" s="36"/>
      <c r="X775" s="36"/>
      <c r="Y775" s="27"/>
      <c r="AA775" s="9"/>
      <c r="AB775" s="72"/>
    </row>
    <row r="776" spans="6:28">
      <c r="F776" s="48"/>
      <c r="G776" s="32"/>
      <c r="H776" s="68"/>
      <c r="I776" s="36"/>
      <c r="J776" s="27"/>
      <c r="K776" s="27"/>
      <c r="L776" s="27"/>
      <c r="M776" s="27"/>
      <c r="N776" s="27"/>
      <c r="O776" s="64"/>
      <c r="P776" s="64"/>
      <c r="Q776" s="27"/>
      <c r="R776" s="34"/>
      <c r="S776" s="36"/>
      <c r="T776" s="34"/>
      <c r="U776" s="71"/>
      <c r="V776" s="36"/>
      <c r="W776" s="36"/>
      <c r="X776" s="36"/>
      <c r="Y776" s="27"/>
      <c r="AA776" s="9"/>
      <c r="AB776" s="72"/>
    </row>
    <row r="777" spans="6:28">
      <c r="F777" s="48"/>
      <c r="G777" s="32"/>
      <c r="H777" s="68"/>
      <c r="I777" s="36"/>
      <c r="J777" s="27"/>
      <c r="K777" s="27"/>
      <c r="L777" s="27"/>
      <c r="M777" s="27"/>
      <c r="N777" s="27"/>
      <c r="O777" s="64"/>
      <c r="P777" s="64"/>
      <c r="Q777" s="27"/>
      <c r="R777" s="34"/>
      <c r="S777" s="36"/>
      <c r="T777" s="34"/>
      <c r="U777" s="71"/>
      <c r="V777" s="36"/>
      <c r="W777" s="36"/>
      <c r="X777" s="36"/>
      <c r="Y777" s="27"/>
      <c r="AA777" s="9"/>
      <c r="AB777" s="72"/>
    </row>
    <row r="778" spans="6:28">
      <c r="F778" s="48"/>
      <c r="G778" s="32"/>
      <c r="H778" s="68"/>
      <c r="I778" s="36"/>
      <c r="J778" s="27"/>
      <c r="K778" s="27"/>
      <c r="L778" s="27"/>
      <c r="M778" s="27"/>
      <c r="N778" s="27"/>
      <c r="O778" s="64"/>
      <c r="P778" s="64"/>
      <c r="Q778" s="27"/>
      <c r="R778" s="34"/>
      <c r="S778" s="36"/>
      <c r="T778" s="34"/>
      <c r="U778" s="71"/>
      <c r="V778" s="36"/>
      <c r="W778" s="36"/>
      <c r="X778" s="36"/>
      <c r="Y778" s="27"/>
      <c r="AA778" s="9"/>
      <c r="AB778" s="72"/>
    </row>
    <row r="779" spans="6:28">
      <c r="F779" s="48"/>
      <c r="G779" s="32"/>
      <c r="H779" s="68"/>
      <c r="I779" s="36"/>
      <c r="J779" s="27"/>
      <c r="K779" s="27"/>
      <c r="L779" s="27"/>
      <c r="M779" s="27"/>
      <c r="N779" s="27"/>
      <c r="O779" s="64"/>
      <c r="P779" s="64"/>
      <c r="Q779" s="27"/>
      <c r="R779" s="34"/>
      <c r="S779" s="36"/>
      <c r="T779" s="34"/>
      <c r="U779" s="71"/>
      <c r="V779" s="36"/>
      <c r="W779" s="36"/>
      <c r="X779" s="36"/>
      <c r="Y779" s="27"/>
      <c r="AA779" s="9"/>
      <c r="AB779" s="72"/>
    </row>
    <row r="780" spans="6:28">
      <c r="F780" s="48"/>
      <c r="G780" s="32"/>
      <c r="H780" s="68"/>
      <c r="I780" s="36"/>
      <c r="J780" s="27"/>
      <c r="K780" s="27"/>
      <c r="L780" s="27"/>
      <c r="M780" s="27"/>
      <c r="N780" s="27"/>
      <c r="O780" s="64"/>
      <c r="P780" s="64"/>
      <c r="Q780" s="27"/>
      <c r="R780" s="34"/>
      <c r="S780" s="36"/>
      <c r="T780" s="34"/>
      <c r="U780" s="71"/>
      <c r="V780" s="36"/>
      <c r="W780" s="36"/>
      <c r="X780" s="36"/>
      <c r="Y780" s="27"/>
      <c r="AA780" s="9"/>
      <c r="AB780" s="72"/>
    </row>
    <row r="781" spans="6:28">
      <c r="F781" s="48"/>
      <c r="G781" s="32"/>
      <c r="H781" s="68"/>
      <c r="I781" s="36"/>
      <c r="J781" s="27"/>
      <c r="K781" s="27"/>
      <c r="L781" s="27"/>
      <c r="M781" s="27"/>
      <c r="N781" s="27"/>
      <c r="O781" s="64"/>
      <c r="P781" s="64"/>
      <c r="Q781" s="27"/>
      <c r="R781" s="34"/>
      <c r="S781" s="36"/>
      <c r="T781" s="34"/>
      <c r="U781" s="71"/>
      <c r="V781" s="36"/>
      <c r="W781" s="36"/>
      <c r="X781" s="36"/>
      <c r="Y781" s="27"/>
      <c r="AA781" s="9"/>
      <c r="AB781" s="72"/>
    </row>
    <row r="782" spans="6:28">
      <c r="F782" s="48"/>
      <c r="G782" s="32"/>
      <c r="H782" s="68"/>
      <c r="I782" s="36"/>
      <c r="J782" s="27"/>
      <c r="K782" s="27"/>
      <c r="L782" s="27"/>
      <c r="M782" s="27"/>
      <c r="N782" s="27"/>
      <c r="O782" s="64"/>
      <c r="P782" s="64"/>
      <c r="Q782" s="27"/>
      <c r="R782" s="34"/>
      <c r="S782" s="36"/>
      <c r="T782" s="34"/>
      <c r="U782" s="71"/>
      <c r="V782" s="36"/>
      <c r="W782" s="36"/>
      <c r="X782" s="36"/>
      <c r="Y782" s="27"/>
      <c r="AA782" s="9"/>
      <c r="AB782" s="72"/>
    </row>
    <row r="783" spans="6:28">
      <c r="F783" s="48"/>
      <c r="G783" s="32"/>
      <c r="H783" s="68"/>
      <c r="I783" s="36"/>
      <c r="J783" s="27"/>
      <c r="K783" s="27"/>
      <c r="L783" s="27"/>
      <c r="M783" s="27"/>
      <c r="N783" s="27"/>
      <c r="O783" s="64"/>
      <c r="P783" s="64"/>
      <c r="Q783" s="27"/>
      <c r="R783" s="34"/>
      <c r="S783" s="36"/>
      <c r="T783" s="34"/>
      <c r="U783" s="71"/>
      <c r="V783" s="36"/>
      <c r="W783" s="36"/>
      <c r="X783" s="36"/>
      <c r="Y783" s="27"/>
      <c r="AA783" s="9"/>
      <c r="AB783" s="72"/>
    </row>
    <row r="784" spans="6:28">
      <c r="F784" s="48"/>
      <c r="G784" s="32"/>
      <c r="H784" s="68"/>
      <c r="I784" s="36"/>
      <c r="J784" s="27"/>
      <c r="K784" s="27"/>
      <c r="L784" s="27"/>
      <c r="M784" s="27"/>
      <c r="N784" s="27"/>
      <c r="O784" s="64"/>
      <c r="P784" s="64"/>
      <c r="Q784" s="27"/>
      <c r="R784" s="34"/>
      <c r="S784" s="36"/>
      <c r="T784" s="34"/>
      <c r="U784" s="71"/>
      <c r="V784" s="36"/>
      <c r="W784" s="36"/>
      <c r="X784" s="36"/>
      <c r="Y784" s="27"/>
      <c r="AA784" s="9"/>
      <c r="AB784" s="72"/>
    </row>
    <row r="785" spans="6:28">
      <c r="F785" s="48"/>
      <c r="G785" s="32"/>
      <c r="H785" s="68"/>
      <c r="I785" s="36"/>
      <c r="J785" s="27"/>
      <c r="K785" s="27"/>
      <c r="L785" s="27"/>
      <c r="M785" s="27"/>
      <c r="N785" s="27"/>
      <c r="O785" s="64"/>
      <c r="P785" s="64"/>
      <c r="Q785" s="27"/>
      <c r="R785" s="34"/>
      <c r="S785" s="36"/>
      <c r="T785" s="34"/>
      <c r="U785" s="71"/>
      <c r="V785" s="36"/>
      <c r="W785" s="36"/>
      <c r="X785" s="36"/>
      <c r="Y785" s="27"/>
      <c r="AA785" s="9"/>
      <c r="AB785" s="72"/>
    </row>
    <row r="786" spans="6:28">
      <c r="F786" s="48"/>
      <c r="G786" s="32"/>
      <c r="H786" s="68"/>
      <c r="I786" s="36"/>
      <c r="J786" s="27"/>
      <c r="K786" s="27"/>
      <c r="L786" s="27"/>
      <c r="M786" s="27"/>
      <c r="N786" s="27"/>
      <c r="O786" s="64"/>
      <c r="P786" s="64"/>
      <c r="Q786" s="27"/>
      <c r="R786" s="34"/>
      <c r="S786" s="36"/>
      <c r="T786" s="34"/>
      <c r="U786" s="71"/>
      <c r="V786" s="36"/>
      <c r="W786" s="36"/>
      <c r="X786" s="36"/>
      <c r="Y786" s="27"/>
      <c r="AA786" s="9"/>
      <c r="AB786" s="72"/>
    </row>
    <row r="787" spans="6:28">
      <c r="F787" s="48"/>
      <c r="G787" s="32"/>
      <c r="H787" s="68"/>
      <c r="I787" s="36"/>
      <c r="J787" s="27"/>
      <c r="K787" s="27"/>
      <c r="L787" s="27"/>
      <c r="M787" s="27"/>
      <c r="N787" s="27"/>
      <c r="O787" s="64"/>
      <c r="P787" s="64"/>
      <c r="Q787" s="27"/>
      <c r="R787" s="34"/>
      <c r="S787" s="36"/>
      <c r="T787" s="34"/>
      <c r="U787" s="71"/>
      <c r="V787" s="36"/>
      <c r="W787" s="36"/>
      <c r="X787" s="36"/>
      <c r="Y787" s="27"/>
      <c r="AA787" s="9"/>
      <c r="AB787" s="72"/>
    </row>
    <row r="788" spans="6:28">
      <c r="F788" s="48"/>
      <c r="G788" s="32"/>
      <c r="H788" s="68"/>
      <c r="I788" s="36"/>
      <c r="J788" s="27"/>
      <c r="K788" s="27"/>
      <c r="L788" s="27"/>
      <c r="M788" s="27"/>
      <c r="N788" s="27"/>
      <c r="O788" s="64"/>
      <c r="P788" s="64"/>
      <c r="Q788" s="27"/>
      <c r="R788" s="34"/>
      <c r="S788" s="36"/>
      <c r="T788" s="34"/>
      <c r="U788" s="71"/>
      <c r="V788" s="36"/>
      <c r="W788" s="36"/>
      <c r="X788" s="36"/>
      <c r="Y788" s="27"/>
      <c r="AA788" s="9"/>
      <c r="AB788" s="72"/>
    </row>
    <row r="789" spans="6:28">
      <c r="F789" s="48"/>
      <c r="G789" s="32"/>
      <c r="H789" s="68"/>
      <c r="I789" s="36"/>
      <c r="J789" s="27"/>
      <c r="K789" s="27"/>
      <c r="L789" s="27"/>
      <c r="M789" s="27"/>
      <c r="N789" s="27"/>
      <c r="O789" s="64"/>
      <c r="P789" s="64"/>
      <c r="Q789" s="27"/>
      <c r="R789" s="34"/>
      <c r="S789" s="36"/>
      <c r="T789" s="34"/>
      <c r="U789" s="71"/>
      <c r="V789" s="36"/>
      <c r="W789" s="36"/>
      <c r="X789" s="36"/>
      <c r="Y789" s="27"/>
      <c r="AA789" s="9"/>
      <c r="AB789" s="72"/>
    </row>
    <row r="790" spans="6:28">
      <c r="F790" s="48"/>
      <c r="G790" s="32"/>
      <c r="H790" s="68"/>
      <c r="I790" s="36"/>
      <c r="J790" s="27"/>
      <c r="K790" s="27"/>
      <c r="L790" s="27"/>
      <c r="M790" s="27"/>
      <c r="N790" s="27"/>
      <c r="O790" s="64"/>
      <c r="P790" s="64"/>
      <c r="Q790" s="27"/>
      <c r="R790" s="34"/>
      <c r="S790" s="36"/>
      <c r="T790" s="34"/>
      <c r="U790" s="71"/>
      <c r="V790" s="36"/>
      <c r="W790" s="36"/>
      <c r="X790" s="36"/>
      <c r="Y790" s="27"/>
      <c r="AA790" s="9"/>
      <c r="AB790" s="72"/>
    </row>
    <row r="791" spans="6:28">
      <c r="F791" s="48"/>
      <c r="G791" s="32"/>
      <c r="H791" s="68"/>
      <c r="I791" s="36"/>
      <c r="J791" s="27"/>
      <c r="K791" s="27"/>
      <c r="L791" s="27"/>
      <c r="M791" s="27"/>
      <c r="N791" s="27"/>
      <c r="O791" s="64"/>
      <c r="P791" s="64"/>
      <c r="Q791" s="27"/>
      <c r="R791" s="34"/>
      <c r="S791" s="36"/>
      <c r="T791" s="34"/>
      <c r="U791" s="71"/>
      <c r="V791" s="36"/>
      <c r="W791" s="36"/>
      <c r="X791" s="36"/>
      <c r="Y791" s="27"/>
      <c r="AA791" s="9"/>
      <c r="AB791" s="72"/>
    </row>
    <row r="792" spans="6:28">
      <c r="F792" s="48"/>
      <c r="G792" s="32"/>
      <c r="H792" s="68"/>
      <c r="I792" s="36"/>
      <c r="J792" s="27"/>
      <c r="K792" s="27"/>
      <c r="L792" s="27"/>
      <c r="M792" s="27"/>
      <c r="N792" s="27"/>
      <c r="O792" s="64"/>
      <c r="P792" s="64"/>
      <c r="Q792" s="27"/>
      <c r="R792" s="34"/>
      <c r="S792" s="36"/>
      <c r="T792" s="34"/>
      <c r="U792" s="71"/>
      <c r="V792" s="36"/>
      <c r="W792" s="36"/>
      <c r="X792" s="36"/>
      <c r="Y792" s="27"/>
      <c r="AA792" s="9"/>
      <c r="AB792" s="72"/>
    </row>
    <row r="793" spans="6:28">
      <c r="F793" s="48"/>
      <c r="G793" s="32"/>
      <c r="H793" s="68"/>
      <c r="I793" s="36"/>
      <c r="J793" s="27"/>
      <c r="K793" s="27"/>
      <c r="L793" s="27"/>
      <c r="M793" s="27"/>
      <c r="N793" s="27"/>
      <c r="O793" s="64"/>
      <c r="P793" s="64"/>
      <c r="Q793" s="27"/>
      <c r="R793" s="34"/>
      <c r="S793" s="36"/>
      <c r="T793" s="34"/>
      <c r="U793" s="71"/>
      <c r="V793" s="36"/>
      <c r="W793" s="36"/>
      <c r="X793" s="36"/>
      <c r="Y793" s="27"/>
      <c r="AA793" s="9"/>
      <c r="AB793" s="72"/>
    </row>
    <row r="794" spans="6:28">
      <c r="F794" s="48"/>
      <c r="G794" s="32"/>
      <c r="H794" s="68"/>
      <c r="I794" s="36"/>
      <c r="J794" s="27"/>
      <c r="K794" s="27"/>
      <c r="L794" s="27"/>
      <c r="M794" s="27"/>
      <c r="N794" s="27"/>
      <c r="O794" s="64"/>
      <c r="P794" s="64"/>
      <c r="Q794" s="27"/>
      <c r="R794" s="34"/>
      <c r="S794" s="36"/>
      <c r="T794" s="34"/>
      <c r="U794" s="71"/>
      <c r="V794" s="36"/>
      <c r="W794" s="36"/>
      <c r="X794" s="36"/>
      <c r="Y794" s="27"/>
      <c r="AA794" s="9"/>
      <c r="AB794" s="72"/>
    </row>
    <row r="795" spans="6:28">
      <c r="F795" s="48"/>
      <c r="G795" s="32"/>
      <c r="H795" s="68"/>
      <c r="I795" s="36"/>
      <c r="J795" s="27"/>
      <c r="K795" s="27"/>
      <c r="L795" s="27"/>
      <c r="M795" s="27"/>
      <c r="N795" s="27"/>
      <c r="O795" s="64"/>
      <c r="P795" s="64"/>
      <c r="Q795" s="27"/>
      <c r="R795" s="34"/>
      <c r="S795" s="36"/>
      <c r="T795" s="34"/>
      <c r="U795" s="71"/>
      <c r="V795" s="36"/>
      <c r="W795" s="36"/>
      <c r="X795" s="36"/>
      <c r="Y795" s="27"/>
      <c r="AA795" s="9"/>
      <c r="AB795" s="72"/>
    </row>
    <row r="796" spans="6:28">
      <c r="F796" s="48"/>
      <c r="G796" s="32"/>
      <c r="H796" s="68"/>
      <c r="I796" s="36"/>
      <c r="J796" s="27"/>
      <c r="K796" s="27"/>
      <c r="L796" s="27"/>
      <c r="M796" s="27"/>
      <c r="N796" s="27"/>
      <c r="O796" s="64"/>
      <c r="P796" s="64"/>
      <c r="Q796" s="27"/>
      <c r="R796" s="34"/>
      <c r="S796" s="36"/>
      <c r="T796" s="34"/>
      <c r="U796" s="71"/>
      <c r="V796" s="36"/>
      <c r="W796" s="36"/>
      <c r="X796" s="36"/>
      <c r="Y796" s="27"/>
      <c r="AA796" s="9"/>
      <c r="AB796" s="72"/>
    </row>
    <row r="797" spans="6:28">
      <c r="F797" s="48"/>
      <c r="G797" s="32"/>
      <c r="H797" s="68"/>
      <c r="I797" s="36"/>
      <c r="J797" s="27"/>
      <c r="K797" s="27"/>
      <c r="L797" s="27"/>
      <c r="M797" s="27"/>
      <c r="N797" s="27"/>
      <c r="O797" s="64"/>
      <c r="P797" s="64"/>
      <c r="Q797" s="27"/>
      <c r="R797" s="34"/>
      <c r="S797" s="36"/>
      <c r="T797" s="34"/>
      <c r="U797" s="71"/>
      <c r="V797" s="36"/>
      <c r="W797" s="36"/>
      <c r="X797" s="36"/>
      <c r="Y797" s="27"/>
      <c r="AA797" s="9"/>
      <c r="AB797" s="72"/>
    </row>
    <row r="798" spans="6:28">
      <c r="F798" s="48"/>
      <c r="G798" s="32"/>
      <c r="H798" s="68"/>
      <c r="I798" s="36"/>
      <c r="J798" s="27"/>
      <c r="K798" s="27"/>
      <c r="L798" s="27"/>
      <c r="M798" s="27"/>
      <c r="N798" s="27"/>
      <c r="O798" s="64"/>
      <c r="P798" s="64"/>
      <c r="Q798" s="27"/>
      <c r="R798" s="34"/>
      <c r="S798" s="36"/>
      <c r="T798" s="34"/>
      <c r="U798" s="71"/>
      <c r="V798" s="36"/>
      <c r="W798" s="36"/>
      <c r="X798" s="36"/>
      <c r="Y798" s="27"/>
      <c r="AA798" s="9"/>
      <c r="AB798" s="72"/>
    </row>
    <row r="799" spans="6:28">
      <c r="F799" s="48"/>
      <c r="G799" s="32"/>
      <c r="H799" s="68"/>
      <c r="I799" s="36"/>
      <c r="J799" s="27"/>
      <c r="K799" s="27"/>
      <c r="L799" s="27"/>
      <c r="M799" s="27"/>
      <c r="N799" s="27"/>
      <c r="O799" s="64"/>
      <c r="P799" s="64"/>
      <c r="Q799" s="27"/>
      <c r="R799" s="34"/>
      <c r="S799" s="36"/>
      <c r="T799" s="34"/>
      <c r="U799" s="71"/>
      <c r="V799" s="36"/>
      <c r="W799" s="36"/>
      <c r="X799" s="36"/>
      <c r="Y799" s="27"/>
      <c r="AA799" s="9"/>
      <c r="AB799" s="72"/>
    </row>
    <row r="800" spans="6:28">
      <c r="F800" s="48"/>
      <c r="G800" s="32"/>
      <c r="H800" s="68"/>
      <c r="I800" s="36"/>
      <c r="J800" s="27"/>
      <c r="K800" s="27"/>
      <c r="L800" s="27"/>
      <c r="M800" s="27"/>
      <c r="N800" s="27"/>
      <c r="O800" s="64"/>
      <c r="P800" s="64"/>
      <c r="Q800" s="27"/>
      <c r="R800" s="34"/>
      <c r="S800" s="36"/>
      <c r="T800" s="34"/>
      <c r="U800" s="71"/>
      <c r="V800" s="36"/>
      <c r="W800" s="36"/>
      <c r="X800" s="36"/>
      <c r="Y800" s="27"/>
      <c r="AA800" s="9"/>
      <c r="AB800" s="72"/>
    </row>
    <row r="801" spans="6:28">
      <c r="F801" s="48"/>
      <c r="G801" s="32"/>
      <c r="H801" s="68"/>
      <c r="I801" s="36"/>
      <c r="J801" s="27"/>
      <c r="K801" s="27"/>
      <c r="L801" s="27"/>
      <c r="M801" s="27"/>
      <c r="N801" s="27"/>
      <c r="O801" s="64"/>
      <c r="P801" s="64"/>
      <c r="Q801" s="27"/>
      <c r="R801" s="34"/>
      <c r="S801" s="36"/>
      <c r="T801" s="34"/>
      <c r="U801" s="71"/>
      <c r="V801" s="36"/>
      <c r="W801" s="36"/>
      <c r="X801" s="36"/>
      <c r="Y801" s="27"/>
      <c r="AA801" s="9"/>
      <c r="AB801" s="72"/>
    </row>
    <row r="802" spans="6:28">
      <c r="F802" s="48"/>
      <c r="G802" s="32"/>
      <c r="H802" s="68"/>
      <c r="I802" s="36"/>
      <c r="J802" s="27"/>
      <c r="K802" s="27"/>
      <c r="L802" s="27"/>
      <c r="M802" s="27"/>
      <c r="N802" s="27"/>
      <c r="O802" s="64"/>
      <c r="P802" s="64"/>
      <c r="Q802" s="27"/>
      <c r="R802" s="34"/>
      <c r="S802" s="36"/>
      <c r="T802" s="34"/>
      <c r="U802" s="71"/>
      <c r="V802" s="36"/>
      <c r="W802" s="36"/>
      <c r="X802" s="36"/>
      <c r="Y802" s="27"/>
      <c r="AA802" s="9"/>
      <c r="AB802" s="72"/>
    </row>
    <row r="803" spans="6:28">
      <c r="F803" s="48"/>
      <c r="G803" s="32"/>
      <c r="H803" s="68"/>
      <c r="I803" s="36"/>
      <c r="J803" s="27"/>
      <c r="K803" s="27"/>
      <c r="L803" s="27"/>
      <c r="M803" s="27"/>
      <c r="N803" s="27"/>
      <c r="O803" s="64"/>
      <c r="P803" s="64"/>
      <c r="Q803" s="27"/>
      <c r="R803" s="34"/>
      <c r="S803" s="36"/>
      <c r="T803" s="34"/>
      <c r="U803" s="71"/>
      <c r="V803" s="36"/>
      <c r="W803" s="36"/>
      <c r="X803" s="36"/>
      <c r="Y803" s="27"/>
      <c r="AA803" s="9"/>
      <c r="AB803" s="72"/>
    </row>
    <row r="804" spans="6:28">
      <c r="F804" s="48"/>
      <c r="G804" s="32"/>
      <c r="H804" s="68"/>
      <c r="I804" s="36"/>
      <c r="J804" s="27"/>
      <c r="K804" s="27"/>
      <c r="L804" s="27"/>
      <c r="M804" s="27"/>
      <c r="N804" s="27"/>
      <c r="O804" s="64"/>
      <c r="P804" s="64"/>
      <c r="Q804" s="27"/>
      <c r="R804" s="34"/>
      <c r="S804" s="36"/>
      <c r="T804" s="34"/>
      <c r="U804" s="71"/>
      <c r="V804" s="36"/>
      <c r="W804" s="36"/>
      <c r="X804" s="36"/>
      <c r="Y804" s="27"/>
      <c r="AA804" s="9"/>
      <c r="AB804" s="72"/>
    </row>
    <row r="805" spans="6:28">
      <c r="F805" s="48"/>
      <c r="G805" s="32"/>
      <c r="H805" s="68"/>
      <c r="I805" s="36"/>
      <c r="J805" s="27"/>
      <c r="K805" s="27"/>
      <c r="L805" s="27"/>
      <c r="M805" s="27"/>
      <c r="N805" s="27"/>
      <c r="O805" s="64"/>
      <c r="P805" s="64"/>
      <c r="Q805" s="27"/>
      <c r="R805" s="34"/>
      <c r="S805" s="36"/>
      <c r="T805" s="34"/>
      <c r="U805" s="71"/>
      <c r="V805" s="36"/>
      <c r="W805" s="36"/>
      <c r="X805" s="36"/>
      <c r="Y805" s="27"/>
      <c r="AA805" s="9"/>
      <c r="AB805" s="72"/>
    </row>
    <row r="806" spans="6:28">
      <c r="F806" s="48"/>
      <c r="G806" s="32"/>
      <c r="H806" s="68"/>
      <c r="I806" s="36"/>
      <c r="J806" s="27"/>
      <c r="K806" s="27"/>
      <c r="L806" s="27"/>
      <c r="M806" s="27"/>
      <c r="N806" s="27"/>
      <c r="O806" s="64"/>
      <c r="P806" s="64"/>
      <c r="Q806" s="27"/>
      <c r="R806" s="34"/>
      <c r="S806" s="36"/>
      <c r="T806" s="34"/>
      <c r="U806" s="71"/>
      <c r="V806" s="36"/>
      <c r="W806" s="36"/>
      <c r="X806" s="36"/>
      <c r="Y806" s="27"/>
      <c r="AA806" s="9"/>
      <c r="AB806" s="72"/>
    </row>
    <row r="807" spans="6:28">
      <c r="F807" s="48"/>
      <c r="G807" s="32"/>
      <c r="H807" s="68"/>
      <c r="I807" s="36"/>
      <c r="J807" s="27"/>
      <c r="K807" s="27"/>
      <c r="L807" s="27"/>
      <c r="M807" s="27"/>
      <c r="N807" s="27"/>
      <c r="O807" s="64"/>
      <c r="P807" s="64"/>
      <c r="Q807" s="27"/>
      <c r="R807" s="34"/>
      <c r="S807" s="36"/>
      <c r="T807" s="34"/>
      <c r="U807" s="71"/>
      <c r="V807" s="36"/>
      <c r="W807" s="36"/>
      <c r="X807" s="36"/>
      <c r="Y807" s="27"/>
      <c r="AA807" s="9"/>
      <c r="AB807" s="72"/>
    </row>
    <row r="808" spans="6:28">
      <c r="F808" s="48"/>
      <c r="G808" s="32"/>
      <c r="H808" s="68"/>
      <c r="I808" s="36"/>
      <c r="J808" s="27"/>
      <c r="K808" s="27"/>
      <c r="L808" s="27"/>
      <c r="M808" s="27"/>
      <c r="N808" s="27"/>
      <c r="O808" s="64"/>
      <c r="P808" s="64"/>
      <c r="Q808" s="27"/>
      <c r="R808" s="34"/>
      <c r="S808" s="36"/>
      <c r="T808" s="34"/>
      <c r="U808" s="71"/>
      <c r="V808" s="36"/>
      <c r="W808" s="36"/>
      <c r="X808" s="36"/>
      <c r="Y808" s="27"/>
      <c r="AA808" s="9"/>
      <c r="AB808" s="72"/>
    </row>
    <row r="809" spans="6:28">
      <c r="F809" s="48"/>
      <c r="G809" s="32"/>
      <c r="H809" s="68"/>
      <c r="I809" s="36"/>
      <c r="J809" s="27"/>
      <c r="K809" s="27"/>
      <c r="L809" s="27"/>
      <c r="M809" s="27"/>
      <c r="N809" s="27"/>
      <c r="O809" s="64"/>
      <c r="P809" s="64"/>
      <c r="Q809" s="27"/>
      <c r="R809" s="34"/>
      <c r="S809" s="36"/>
      <c r="T809" s="34"/>
      <c r="U809" s="71"/>
      <c r="V809" s="36"/>
      <c r="W809" s="36"/>
      <c r="X809" s="36"/>
      <c r="Y809" s="27"/>
      <c r="AA809" s="9"/>
      <c r="AB809" s="72"/>
    </row>
    <row r="810" spans="6:28">
      <c r="F810" s="48"/>
      <c r="G810" s="32"/>
      <c r="H810" s="68"/>
      <c r="I810" s="36"/>
      <c r="J810" s="27"/>
      <c r="K810" s="27"/>
      <c r="L810" s="27"/>
      <c r="M810" s="27"/>
      <c r="N810" s="27"/>
      <c r="O810" s="64"/>
      <c r="P810" s="64"/>
      <c r="Q810" s="27"/>
      <c r="R810" s="34"/>
      <c r="S810" s="36"/>
      <c r="T810" s="34"/>
      <c r="U810" s="71"/>
      <c r="V810" s="36"/>
      <c r="W810" s="36"/>
      <c r="X810" s="36"/>
      <c r="Y810" s="27"/>
      <c r="AA810" s="9"/>
      <c r="AB810" s="72"/>
    </row>
    <row r="811" spans="6:28">
      <c r="F811" s="48"/>
      <c r="G811" s="32"/>
      <c r="H811" s="68"/>
      <c r="I811" s="36"/>
      <c r="J811" s="27"/>
      <c r="K811" s="27"/>
      <c r="L811" s="27"/>
      <c r="M811" s="27"/>
      <c r="N811" s="27"/>
      <c r="O811" s="64"/>
      <c r="P811" s="64"/>
      <c r="Q811" s="27"/>
      <c r="R811" s="34"/>
      <c r="S811" s="36"/>
      <c r="T811" s="34"/>
      <c r="U811" s="71"/>
      <c r="V811" s="36"/>
      <c r="W811" s="36"/>
      <c r="X811" s="36"/>
      <c r="Y811" s="27"/>
      <c r="AA811" s="9"/>
      <c r="AB811" s="72"/>
    </row>
    <row r="812" spans="6:28">
      <c r="F812" s="48"/>
      <c r="G812" s="32"/>
      <c r="H812" s="68"/>
      <c r="I812" s="36"/>
      <c r="J812" s="27"/>
      <c r="K812" s="27"/>
      <c r="L812" s="27"/>
      <c r="M812" s="27"/>
      <c r="N812" s="27"/>
      <c r="O812" s="64"/>
      <c r="P812" s="64"/>
      <c r="Q812" s="27"/>
      <c r="R812" s="34"/>
      <c r="S812" s="36"/>
      <c r="T812" s="34"/>
      <c r="U812" s="71"/>
      <c r="V812" s="36"/>
      <c r="W812" s="36"/>
      <c r="X812" s="36"/>
      <c r="Y812" s="27"/>
      <c r="AA812" s="9"/>
      <c r="AB812" s="72"/>
    </row>
    <row r="813" spans="6:28">
      <c r="F813" s="48"/>
      <c r="G813" s="32"/>
      <c r="H813" s="68"/>
      <c r="I813" s="36"/>
      <c r="J813" s="27"/>
      <c r="K813" s="27"/>
      <c r="L813" s="27"/>
      <c r="M813" s="27"/>
      <c r="N813" s="27"/>
      <c r="O813" s="64"/>
      <c r="P813" s="64"/>
      <c r="Q813" s="27"/>
      <c r="R813" s="34"/>
      <c r="S813" s="36"/>
      <c r="T813" s="34"/>
      <c r="U813" s="71"/>
      <c r="V813" s="36"/>
      <c r="W813" s="36"/>
      <c r="X813" s="36"/>
      <c r="Y813" s="27"/>
      <c r="AA813" s="9"/>
      <c r="AB813" s="72"/>
    </row>
    <row r="814" spans="6:28">
      <c r="F814" s="48"/>
      <c r="G814" s="32"/>
      <c r="H814" s="68"/>
      <c r="I814" s="36"/>
      <c r="J814" s="27"/>
      <c r="K814" s="27"/>
      <c r="L814" s="27"/>
      <c r="M814" s="27"/>
      <c r="N814" s="27"/>
      <c r="O814" s="64"/>
      <c r="P814" s="64"/>
      <c r="Q814" s="27"/>
      <c r="R814" s="34"/>
      <c r="S814" s="36"/>
      <c r="T814" s="34"/>
      <c r="U814" s="71"/>
      <c r="V814" s="36"/>
      <c r="W814" s="36"/>
      <c r="X814" s="36"/>
      <c r="Y814" s="27"/>
      <c r="AA814" s="9"/>
      <c r="AB814" s="72"/>
    </row>
    <row r="815" spans="6:28">
      <c r="F815" s="48"/>
      <c r="G815" s="32"/>
      <c r="H815" s="68"/>
      <c r="I815" s="36"/>
      <c r="J815" s="27"/>
      <c r="K815" s="27"/>
      <c r="L815" s="27"/>
      <c r="M815" s="27"/>
      <c r="N815" s="27"/>
      <c r="O815" s="64"/>
      <c r="P815" s="64"/>
      <c r="Q815" s="27"/>
      <c r="R815" s="34"/>
      <c r="S815" s="36"/>
      <c r="T815" s="34"/>
      <c r="U815" s="71"/>
      <c r="V815" s="36"/>
      <c r="W815" s="36"/>
      <c r="X815" s="36"/>
      <c r="Y815" s="27"/>
      <c r="AA815" s="9"/>
      <c r="AB815" s="72"/>
    </row>
    <row r="816" spans="6:28">
      <c r="F816" s="48"/>
      <c r="G816" s="32"/>
      <c r="H816" s="68"/>
      <c r="I816" s="36"/>
      <c r="J816" s="27"/>
      <c r="K816" s="27"/>
      <c r="L816" s="27"/>
      <c r="M816" s="27"/>
      <c r="N816" s="27"/>
      <c r="O816" s="64"/>
      <c r="P816" s="64"/>
      <c r="Q816" s="27"/>
      <c r="R816" s="34"/>
      <c r="S816" s="36"/>
      <c r="T816" s="34"/>
      <c r="U816" s="71"/>
      <c r="V816" s="36"/>
      <c r="W816" s="36"/>
      <c r="X816" s="36"/>
      <c r="Y816" s="27"/>
      <c r="AA816" s="9"/>
      <c r="AB816" s="72"/>
    </row>
    <row r="817" spans="6:28">
      <c r="F817" s="48"/>
      <c r="G817" s="32"/>
      <c r="H817" s="68"/>
      <c r="I817" s="36"/>
      <c r="J817" s="27"/>
      <c r="K817" s="27"/>
      <c r="L817" s="27"/>
      <c r="M817" s="27"/>
      <c r="N817" s="27"/>
      <c r="O817" s="64"/>
      <c r="P817" s="64"/>
      <c r="Q817" s="27"/>
      <c r="R817" s="34"/>
      <c r="S817" s="36"/>
      <c r="T817" s="34"/>
      <c r="U817" s="71"/>
      <c r="V817" s="36"/>
      <c r="W817" s="36"/>
      <c r="X817" s="36"/>
      <c r="Y817" s="27"/>
      <c r="AA817" s="9"/>
      <c r="AB817" s="72"/>
    </row>
    <row r="818" spans="6:28">
      <c r="F818" s="48"/>
      <c r="G818" s="32"/>
      <c r="H818" s="68"/>
      <c r="I818" s="36"/>
      <c r="J818" s="27"/>
      <c r="K818" s="27"/>
      <c r="L818" s="27"/>
      <c r="M818" s="27"/>
      <c r="N818" s="27"/>
      <c r="O818" s="64"/>
      <c r="P818" s="64"/>
      <c r="Q818" s="27"/>
      <c r="R818" s="34"/>
      <c r="S818" s="36"/>
      <c r="T818" s="34"/>
      <c r="U818" s="71"/>
      <c r="V818" s="36"/>
      <c r="W818" s="36"/>
      <c r="X818" s="36"/>
      <c r="Y818" s="27"/>
      <c r="AA818" s="9"/>
      <c r="AB818" s="72"/>
    </row>
    <row r="819" spans="6:28">
      <c r="F819" s="48"/>
      <c r="G819" s="32"/>
      <c r="H819" s="68"/>
      <c r="I819" s="36"/>
      <c r="J819" s="27"/>
      <c r="K819" s="27"/>
      <c r="L819" s="27"/>
      <c r="M819" s="27"/>
      <c r="N819" s="27"/>
      <c r="O819" s="64"/>
      <c r="P819" s="64"/>
      <c r="Q819" s="27"/>
      <c r="R819" s="34"/>
      <c r="S819" s="36"/>
      <c r="T819" s="34"/>
      <c r="U819" s="71"/>
      <c r="V819" s="36"/>
      <c r="W819" s="36"/>
      <c r="X819" s="36"/>
      <c r="Y819" s="27"/>
      <c r="AA819" s="9"/>
      <c r="AB819" s="72"/>
    </row>
    <row r="820" spans="6:28">
      <c r="F820" s="48"/>
      <c r="G820" s="32"/>
      <c r="H820" s="68"/>
      <c r="I820" s="36"/>
      <c r="J820" s="27"/>
      <c r="K820" s="27"/>
      <c r="L820" s="27"/>
      <c r="M820" s="27"/>
      <c r="N820" s="27"/>
      <c r="O820" s="64"/>
      <c r="P820" s="64"/>
      <c r="Q820" s="27"/>
      <c r="R820" s="34"/>
      <c r="S820" s="36"/>
      <c r="T820" s="34"/>
      <c r="U820" s="71"/>
      <c r="V820" s="36"/>
      <c r="W820" s="36"/>
      <c r="X820" s="36"/>
      <c r="Y820" s="27"/>
      <c r="AA820" s="9"/>
      <c r="AB820" s="72"/>
    </row>
    <row r="821" spans="6:28">
      <c r="F821" s="48"/>
      <c r="G821" s="32"/>
      <c r="H821" s="68"/>
      <c r="I821" s="36"/>
      <c r="J821" s="27"/>
      <c r="K821" s="27"/>
      <c r="L821" s="27"/>
      <c r="M821" s="27"/>
      <c r="N821" s="27"/>
      <c r="O821" s="64"/>
      <c r="P821" s="64"/>
      <c r="Q821" s="27"/>
      <c r="R821" s="34"/>
      <c r="S821" s="36"/>
      <c r="T821" s="34"/>
      <c r="U821" s="71"/>
      <c r="V821" s="36"/>
      <c r="W821" s="36"/>
      <c r="X821" s="36"/>
      <c r="Y821" s="27"/>
      <c r="AA821" s="9"/>
      <c r="AB821" s="72"/>
    </row>
    <row r="822" spans="6:28">
      <c r="F822" s="48"/>
      <c r="G822" s="32"/>
      <c r="H822" s="68"/>
      <c r="I822" s="36"/>
      <c r="J822" s="27"/>
      <c r="K822" s="27"/>
      <c r="L822" s="27"/>
      <c r="M822" s="27"/>
      <c r="N822" s="27"/>
      <c r="O822" s="64"/>
      <c r="P822" s="64"/>
      <c r="Q822" s="27"/>
      <c r="R822" s="34"/>
      <c r="S822" s="36"/>
      <c r="T822" s="34"/>
      <c r="U822" s="71"/>
      <c r="V822" s="36"/>
      <c r="W822" s="36"/>
      <c r="X822" s="36"/>
      <c r="Y822" s="27"/>
      <c r="AA822" s="9"/>
      <c r="AB822" s="72"/>
    </row>
    <row r="823" spans="6:28">
      <c r="F823" s="48"/>
      <c r="G823" s="32"/>
      <c r="H823" s="68"/>
      <c r="I823" s="36"/>
      <c r="J823" s="27"/>
      <c r="K823" s="27"/>
      <c r="L823" s="27"/>
      <c r="M823" s="27"/>
      <c r="N823" s="27"/>
      <c r="O823" s="64"/>
      <c r="P823" s="64"/>
      <c r="Q823" s="27"/>
      <c r="R823" s="34"/>
      <c r="S823" s="36"/>
      <c r="T823" s="34"/>
      <c r="U823" s="71"/>
      <c r="V823" s="36"/>
      <c r="W823" s="36"/>
      <c r="X823" s="36"/>
      <c r="Y823" s="27"/>
      <c r="AA823" s="9"/>
      <c r="AB823" s="72"/>
    </row>
    <row r="824" spans="6:28">
      <c r="F824" s="48"/>
      <c r="G824" s="32"/>
      <c r="H824" s="68"/>
      <c r="I824" s="36"/>
      <c r="J824" s="27"/>
      <c r="K824" s="27"/>
      <c r="L824" s="27"/>
      <c r="M824" s="27"/>
      <c r="N824" s="27"/>
      <c r="O824" s="64"/>
      <c r="P824" s="64"/>
      <c r="Q824" s="27"/>
      <c r="R824" s="34"/>
      <c r="S824" s="36"/>
      <c r="T824" s="34"/>
      <c r="U824" s="71"/>
      <c r="V824" s="36"/>
      <c r="W824" s="36"/>
      <c r="X824" s="36"/>
      <c r="Y824" s="27"/>
      <c r="AA824" s="9"/>
      <c r="AB824" s="72"/>
    </row>
    <row r="825" spans="6:28">
      <c r="F825" s="48"/>
      <c r="G825" s="32"/>
      <c r="H825" s="68"/>
      <c r="I825" s="36"/>
      <c r="J825" s="27"/>
      <c r="K825" s="27"/>
      <c r="L825" s="27"/>
      <c r="M825" s="27"/>
      <c r="N825" s="27"/>
      <c r="O825" s="64"/>
      <c r="P825" s="64"/>
      <c r="Q825" s="27"/>
      <c r="R825" s="34"/>
      <c r="S825" s="36"/>
      <c r="T825" s="34"/>
      <c r="U825" s="71"/>
      <c r="V825" s="36"/>
      <c r="W825" s="36"/>
      <c r="X825" s="36"/>
      <c r="Y825" s="27"/>
      <c r="AA825" s="9"/>
      <c r="AB825" s="72"/>
    </row>
    <row r="826" spans="6:28">
      <c r="F826" s="48"/>
      <c r="G826" s="32"/>
      <c r="H826" s="68"/>
      <c r="I826" s="36"/>
      <c r="J826" s="27"/>
      <c r="K826" s="27"/>
      <c r="L826" s="27"/>
      <c r="M826" s="27"/>
      <c r="N826" s="27"/>
      <c r="O826" s="64"/>
      <c r="P826" s="64"/>
      <c r="Q826" s="27"/>
      <c r="R826" s="34"/>
      <c r="S826" s="36"/>
      <c r="T826" s="34"/>
      <c r="U826" s="71"/>
      <c r="V826" s="36"/>
      <c r="W826" s="36"/>
      <c r="X826" s="36"/>
      <c r="Y826" s="27"/>
      <c r="AA826" s="9"/>
      <c r="AB826" s="72"/>
    </row>
    <row r="827" spans="6:28">
      <c r="F827" s="48"/>
      <c r="G827" s="32"/>
      <c r="H827" s="68"/>
      <c r="I827" s="36"/>
      <c r="J827" s="27"/>
      <c r="K827" s="27"/>
      <c r="L827" s="27"/>
      <c r="M827" s="27"/>
      <c r="N827" s="27"/>
      <c r="O827" s="64"/>
      <c r="P827" s="64"/>
      <c r="Q827" s="27"/>
      <c r="R827" s="34"/>
      <c r="S827" s="36"/>
      <c r="T827" s="34"/>
      <c r="U827" s="71"/>
      <c r="V827" s="36"/>
      <c r="W827" s="36"/>
      <c r="X827" s="36"/>
      <c r="Y827" s="27"/>
      <c r="AA827" s="9"/>
      <c r="AB827" s="72"/>
    </row>
    <row r="828" spans="6:28">
      <c r="F828" s="48"/>
      <c r="G828" s="32"/>
      <c r="H828" s="68"/>
      <c r="I828" s="36"/>
      <c r="J828" s="27"/>
      <c r="K828" s="27"/>
      <c r="L828" s="27"/>
      <c r="M828" s="27"/>
      <c r="N828" s="27"/>
      <c r="O828" s="64"/>
      <c r="P828" s="64"/>
      <c r="Q828" s="27"/>
      <c r="R828" s="34"/>
      <c r="S828" s="36"/>
      <c r="T828" s="34"/>
      <c r="U828" s="71"/>
      <c r="V828" s="36"/>
      <c r="W828" s="36"/>
      <c r="X828" s="36"/>
      <c r="Y828" s="27"/>
      <c r="AA828" s="9"/>
      <c r="AB828" s="72"/>
    </row>
    <row r="829" spans="6:28">
      <c r="F829" s="48"/>
      <c r="G829" s="32"/>
      <c r="H829" s="68"/>
      <c r="I829" s="36"/>
      <c r="J829" s="27"/>
      <c r="K829" s="27"/>
      <c r="L829" s="27"/>
      <c r="M829" s="27"/>
      <c r="N829" s="27"/>
      <c r="O829" s="64"/>
      <c r="P829" s="64"/>
      <c r="Q829" s="27"/>
      <c r="R829" s="34"/>
      <c r="S829" s="36"/>
      <c r="T829" s="34"/>
      <c r="U829" s="71"/>
      <c r="V829" s="36"/>
      <c r="W829" s="36"/>
      <c r="X829" s="36"/>
      <c r="Y829" s="27"/>
      <c r="AA829" s="9"/>
      <c r="AB829" s="72"/>
    </row>
    <row r="830" spans="6:28">
      <c r="F830" s="48"/>
      <c r="G830" s="32"/>
      <c r="H830" s="68"/>
      <c r="I830" s="36"/>
      <c r="J830" s="27"/>
      <c r="K830" s="27"/>
      <c r="L830" s="27"/>
      <c r="M830" s="27"/>
      <c r="N830" s="27"/>
      <c r="O830" s="64"/>
      <c r="P830" s="64"/>
      <c r="Q830" s="27"/>
      <c r="R830" s="34"/>
      <c r="S830" s="36"/>
      <c r="T830" s="34"/>
      <c r="U830" s="71"/>
      <c r="V830" s="36"/>
      <c r="W830" s="36"/>
      <c r="X830" s="36"/>
      <c r="Y830" s="27"/>
      <c r="AA830" s="9"/>
      <c r="AB830" s="72"/>
    </row>
    <row r="831" spans="6:28">
      <c r="F831" s="48"/>
      <c r="G831" s="32"/>
      <c r="H831" s="68"/>
      <c r="I831" s="36"/>
      <c r="J831" s="27"/>
      <c r="K831" s="27"/>
      <c r="L831" s="27"/>
      <c r="M831" s="27"/>
      <c r="N831" s="27"/>
      <c r="O831" s="64"/>
      <c r="P831" s="64"/>
      <c r="Q831" s="27"/>
      <c r="R831" s="34"/>
      <c r="S831" s="36"/>
      <c r="T831" s="34"/>
      <c r="U831" s="71"/>
      <c r="V831" s="36"/>
      <c r="W831" s="36"/>
      <c r="X831" s="36"/>
      <c r="Y831" s="27"/>
      <c r="AA831" s="9"/>
      <c r="AB831" s="72"/>
    </row>
    <row r="832" spans="6:28">
      <c r="F832" s="48"/>
      <c r="G832" s="32"/>
      <c r="H832" s="68"/>
      <c r="I832" s="36"/>
      <c r="J832" s="27"/>
      <c r="K832" s="27"/>
      <c r="L832" s="27"/>
      <c r="M832" s="27"/>
      <c r="N832" s="27"/>
      <c r="O832" s="64"/>
      <c r="P832" s="64"/>
      <c r="Q832" s="27"/>
      <c r="R832" s="34"/>
      <c r="S832" s="36"/>
      <c r="T832" s="34"/>
      <c r="U832" s="71"/>
      <c r="V832" s="36"/>
      <c r="W832" s="36"/>
      <c r="X832" s="36"/>
      <c r="Y832" s="27"/>
      <c r="AA832" s="9"/>
      <c r="AB832" s="72"/>
    </row>
    <row r="833" spans="6:28">
      <c r="F833" s="48"/>
      <c r="G833" s="32"/>
      <c r="H833" s="68"/>
      <c r="I833" s="36"/>
      <c r="J833" s="27"/>
      <c r="K833" s="27"/>
      <c r="L833" s="27"/>
      <c r="M833" s="27"/>
      <c r="N833" s="27"/>
      <c r="O833" s="64"/>
      <c r="P833" s="64"/>
      <c r="Q833" s="27"/>
      <c r="R833" s="34"/>
      <c r="S833" s="36"/>
      <c r="T833" s="34"/>
      <c r="U833" s="71"/>
      <c r="V833" s="36"/>
      <c r="W833" s="36"/>
      <c r="X833" s="36"/>
      <c r="Y833" s="27"/>
      <c r="AA833" s="9"/>
      <c r="AB833" s="72"/>
    </row>
    <row r="834" spans="6:28">
      <c r="F834" s="48"/>
      <c r="G834" s="32"/>
      <c r="H834" s="68"/>
      <c r="I834" s="36"/>
      <c r="J834" s="27"/>
      <c r="K834" s="27"/>
      <c r="L834" s="27"/>
      <c r="M834" s="27"/>
      <c r="N834" s="27"/>
      <c r="O834" s="64"/>
      <c r="P834" s="64"/>
      <c r="Q834" s="27"/>
      <c r="R834" s="34"/>
      <c r="S834" s="36"/>
      <c r="T834" s="34"/>
      <c r="U834" s="71"/>
      <c r="V834" s="36"/>
      <c r="W834" s="36"/>
      <c r="X834" s="36"/>
      <c r="Y834" s="27"/>
      <c r="AA834" s="9"/>
      <c r="AB834" s="72"/>
    </row>
    <row r="835" spans="6:28">
      <c r="F835" s="48"/>
      <c r="G835" s="32"/>
      <c r="H835" s="68"/>
      <c r="I835" s="36"/>
      <c r="J835" s="27"/>
      <c r="K835" s="27"/>
      <c r="L835" s="27"/>
      <c r="M835" s="27"/>
      <c r="N835" s="27"/>
      <c r="O835" s="64"/>
      <c r="P835" s="64"/>
      <c r="Q835" s="27"/>
      <c r="R835" s="34"/>
      <c r="S835" s="36"/>
      <c r="T835" s="34"/>
      <c r="U835" s="71"/>
      <c r="V835" s="36"/>
      <c r="W835" s="36"/>
      <c r="X835" s="36"/>
      <c r="Y835" s="27"/>
      <c r="AA835" s="9"/>
      <c r="AB835" s="72"/>
    </row>
    <row r="836" spans="6:28">
      <c r="F836" s="48"/>
      <c r="G836" s="32"/>
      <c r="H836" s="68"/>
      <c r="I836" s="36"/>
      <c r="J836" s="27"/>
      <c r="K836" s="27"/>
      <c r="L836" s="27"/>
      <c r="M836" s="27"/>
      <c r="N836" s="27"/>
      <c r="O836" s="64"/>
      <c r="P836" s="64"/>
      <c r="Q836" s="27"/>
      <c r="R836" s="34"/>
      <c r="S836" s="36"/>
      <c r="T836" s="34"/>
      <c r="U836" s="71"/>
      <c r="V836" s="36"/>
      <c r="W836" s="36"/>
      <c r="X836" s="36"/>
      <c r="Y836" s="27"/>
      <c r="AA836" s="9"/>
      <c r="AB836" s="72"/>
    </row>
    <row r="837" spans="6:28">
      <c r="F837" s="48"/>
      <c r="G837" s="32"/>
      <c r="H837" s="68"/>
      <c r="I837" s="36"/>
      <c r="J837" s="27"/>
      <c r="K837" s="27"/>
      <c r="L837" s="27"/>
      <c r="M837" s="27"/>
      <c r="N837" s="27"/>
      <c r="O837" s="64"/>
      <c r="P837" s="64"/>
      <c r="Q837" s="27"/>
      <c r="R837" s="34"/>
      <c r="S837" s="36"/>
      <c r="T837" s="34"/>
      <c r="U837" s="71"/>
      <c r="V837" s="36"/>
      <c r="W837" s="36"/>
      <c r="X837" s="36"/>
      <c r="Y837" s="27"/>
      <c r="AA837" s="9"/>
      <c r="AB837" s="72"/>
    </row>
    <row r="838" spans="6:28">
      <c r="F838" s="48"/>
      <c r="G838" s="32"/>
      <c r="H838" s="68"/>
      <c r="I838" s="36"/>
      <c r="J838" s="27"/>
      <c r="K838" s="27"/>
      <c r="L838" s="27"/>
      <c r="M838" s="27"/>
      <c r="N838" s="27"/>
      <c r="O838" s="64"/>
      <c r="P838" s="64"/>
      <c r="Q838" s="27"/>
      <c r="R838" s="34"/>
      <c r="S838" s="36"/>
      <c r="T838" s="34"/>
      <c r="U838" s="71"/>
      <c r="V838" s="36"/>
      <c r="W838" s="36"/>
      <c r="X838" s="36"/>
      <c r="Y838" s="27"/>
      <c r="AA838" s="9"/>
      <c r="AB838" s="72"/>
    </row>
    <row r="839" spans="6:28">
      <c r="F839" s="48"/>
      <c r="G839" s="32"/>
      <c r="H839" s="68"/>
      <c r="I839" s="36"/>
      <c r="J839" s="27"/>
      <c r="K839" s="27"/>
      <c r="L839" s="27"/>
      <c r="M839" s="27"/>
      <c r="N839" s="27"/>
      <c r="O839" s="64"/>
      <c r="P839" s="64"/>
      <c r="Q839" s="27"/>
      <c r="R839" s="34"/>
      <c r="S839" s="36"/>
      <c r="T839" s="34"/>
      <c r="U839" s="71"/>
      <c r="V839" s="36"/>
      <c r="W839" s="36"/>
      <c r="X839" s="36"/>
      <c r="Y839" s="27"/>
      <c r="AA839" s="9"/>
      <c r="AB839" s="72"/>
    </row>
    <row r="840" spans="6:28">
      <c r="F840" s="48"/>
      <c r="G840" s="32"/>
      <c r="H840" s="68"/>
      <c r="I840" s="36"/>
      <c r="J840" s="27"/>
      <c r="K840" s="27"/>
      <c r="L840" s="27"/>
      <c r="M840" s="27"/>
      <c r="N840" s="27"/>
      <c r="O840" s="64"/>
      <c r="P840" s="64"/>
      <c r="Q840" s="27"/>
      <c r="R840" s="34"/>
      <c r="S840" s="36"/>
      <c r="T840" s="34"/>
      <c r="U840" s="71"/>
      <c r="V840" s="36"/>
      <c r="W840" s="36"/>
      <c r="X840" s="36"/>
      <c r="Y840" s="27"/>
      <c r="AA840" s="9"/>
      <c r="AB840" s="72"/>
    </row>
    <row r="841" spans="6:28">
      <c r="F841" s="48"/>
      <c r="G841" s="32"/>
      <c r="H841" s="68"/>
      <c r="I841" s="36"/>
      <c r="J841" s="27"/>
      <c r="K841" s="27"/>
      <c r="L841" s="27"/>
      <c r="M841" s="27"/>
      <c r="N841" s="27"/>
      <c r="O841" s="64"/>
      <c r="P841" s="64"/>
      <c r="Q841" s="27"/>
      <c r="R841" s="34"/>
      <c r="S841" s="36"/>
      <c r="T841" s="34"/>
      <c r="U841" s="71"/>
      <c r="V841" s="36"/>
      <c r="W841" s="36"/>
      <c r="X841" s="36"/>
      <c r="Y841" s="27"/>
      <c r="AA841" s="9"/>
      <c r="AB841" s="72"/>
    </row>
    <row r="842" spans="6:28">
      <c r="F842" s="48"/>
      <c r="G842" s="32"/>
      <c r="H842" s="68"/>
      <c r="I842" s="36"/>
      <c r="J842" s="27"/>
      <c r="K842" s="27"/>
      <c r="L842" s="27"/>
      <c r="M842" s="27"/>
      <c r="N842" s="27"/>
      <c r="O842" s="64"/>
      <c r="P842" s="64"/>
      <c r="Q842" s="27"/>
      <c r="R842" s="34"/>
      <c r="S842" s="36"/>
      <c r="T842" s="34"/>
      <c r="U842" s="71"/>
      <c r="V842" s="36"/>
      <c r="W842" s="36"/>
      <c r="X842" s="36"/>
      <c r="Y842" s="27"/>
      <c r="AA842" s="9"/>
      <c r="AB842" s="72"/>
    </row>
    <row r="843" spans="6:28">
      <c r="F843" s="48"/>
      <c r="G843" s="32"/>
      <c r="H843" s="68"/>
      <c r="I843" s="36"/>
      <c r="J843" s="27"/>
      <c r="K843" s="27"/>
      <c r="L843" s="27"/>
      <c r="M843" s="27"/>
      <c r="N843" s="27"/>
      <c r="O843" s="64"/>
      <c r="P843" s="64"/>
      <c r="Q843" s="27"/>
      <c r="R843" s="34"/>
      <c r="S843" s="36"/>
      <c r="T843" s="34"/>
      <c r="U843" s="71"/>
      <c r="V843" s="36"/>
      <c r="W843" s="36"/>
      <c r="X843" s="36"/>
      <c r="Y843" s="27"/>
      <c r="AA843" s="9"/>
      <c r="AB843" s="72"/>
    </row>
    <row r="844" spans="6:28">
      <c r="F844" s="48"/>
      <c r="G844" s="32"/>
      <c r="H844" s="68"/>
      <c r="I844" s="36"/>
      <c r="J844" s="27"/>
      <c r="K844" s="27"/>
      <c r="L844" s="27"/>
      <c r="M844" s="27"/>
      <c r="N844" s="27"/>
      <c r="O844" s="64"/>
      <c r="P844" s="64"/>
      <c r="Q844" s="27"/>
      <c r="R844" s="34"/>
      <c r="S844" s="36"/>
      <c r="T844" s="34"/>
      <c r="U844" s="71"/>
      <c r="V844" s="36"/>
      <c r="W844" s="36"/>
      <c r="X844" s="36"/>
      <c r="Y844" s="27"/>
      <c r="AA844" s="9"/>
      <c r="AB844" s="72"/>
    </row>
    <row r="845" spans="6:28">
      <c r="F845" s="48"/>
      <c r="G845" s="32"/>
      <c r="H845" s="68"/>
      <c r="I845" s="36"/>
      <c r="J845" s="27"/>
      <c r="K845" s="27"/>
      <c r="L845" s="27"/>
      <c r="M845" s="27"/>
      <c r="N845" s="27"/>
      <c r="O845" s="64"/>
      <c r="P845" s="64"/>
      <c r="Q845" s="27"/>
      <c r="R845" s="34"/>
      <c r="S845" s="36"/>
      <c r="T845" s="34"/>
      <c r="U845" s="71"/>
      <c r="V845" s="36"/>
      <c r="W845" s="36"/>
      <c r="X845" s="36"/>
      <c r="Y845" s="27"/>
      <c r="AA845" s="9"/>
      <c r="AB845" s="72"/>
    </row>
    <row r="846" spans="6:28">
      <c r="F846" s="48"/>
      <c r="G846" s="32"/>
      <c r="H846" s="68"/>
      <c r="I846" s="36"/>
      <c r="J846" s="27"/>
      <c r="K846" s="27"/>
      <c r="L846" s="27"/>
      <c r="M846" s="27"/>
      <c r="N846" s="27"/>
      <c r="O846" s="64"/>
      <c r="P846" s="64"/>
      <c r="Q846" s="27"/>
      <c r="R846" s="34"/>
      <c r="S846" s="36"/>
      <c r="T846" s="34"/>
      <c r="U846" s="71"/>
      <c r="V846" s="36"/>
      <c r="W846" s="36"/>
      <c r="X846" s="36"/>
      <c r="Y846" s="27"/>
      <c r="AA846" s="9"/>
      <c r="AB846" s="72"/>
    </row>
    <row r="847" spans="6:28">
      <c r="F847" s="48"/>
      <c r="G847" s="32"/>
      <c r="H847" s="68"/>
      <c r="I847" s="36"/>
      <c r="J847" s="27"/>
      <c r="K847" s="27"/>
      <c r="L847" s="27"/>
      <c r="M847" s="27"/>
      <c r="N847" s="27"/>
      <c r="O847" s="64"/>
      <c r="P847" s="64"/>
      <c r="Q847" s="27"/>
      <c r="R847" s="34"/>
      <c r="S847" s="36"/>
      <c r="T847" s="34"/>
      <c r="U847" s="71"/>
      <c r="V847" s="36"/>
      <c r="W847" s="36"/>
      <c r="X847" s="36"/>
      <c r="Y847" s="27"/>
      <c r="AA847" s="9"/>
      <c r="AB847" s="72"/>
    </row>
    <row r="848" spans="6:28">
      <c r="F848" s="48"/>
      <c r="G848" s="32"/>
      <c r="H848" s="68"/>
      <c r="I848" s="36"/>
      <c r="J848" s="27"/>
      <c r="K848" s="27"/>
      <c r="L848" s="27"/>
      <c r="M848" s="27"/>
      <c r="N848" s="27"/>
      <c r="O848" s="64"/>
      <c r="P848" s="64"/>
      <c r="Q848" s="27"/>
      <c r="R848" s="34"/>
      <c r="S848" s="36"/>
      <c r="T848" s="34"/>
      <c r="U848" s="71"/>
      <c r="V848" s="36"/>
      <c r="W848" s="36"/>
      <c r="X848" s="36"/>
      <c r="Y848" s="27"/>
      <c r="AA848" s="9"/>
      <c r="AB848" s="72"/>
    </row>
    <row r="849" spans="6:28">
      <c r="F849" s="48"/>
      <c r="G849" s="32"/>
      <c r="H849" s="68"/>
      <c r="I849" s="36"/>
      <c r="J849" s="27"/>
      <c r="K849" s="27"/>
      <c r="L849" s="27"/>
      <c r="M849" s="27"/>
      <c r="N849" s="27"/>
      <c r="O849" s="64"/>
      <c r="P849" s="64"/>
      <c r="Q849" s="27"/>
      <c r="R849" s="34"/>
      <c r="S849" s="36"/>
      <c r="T849" s="34"/>
      <c r="U849" s="71"/>
      <c r="V849" s="36"/>
      <c r="W849" s="36"/>
      <c r="X849" s="36"/>
      <c r="Y849" s="27"/>
      <c r="AA849" s="9"/>
      <c r="AB849" s="72"/>
    </row>
    <row r="850" spans="6:28">
      <c r="F850" s="48"/>
      <c r="G850" s="32"/>
      <c r="H850" s="68"/>
      <c r="I850" s="36"/>
      <c r="J850" s="27"/>
      <c r="K850" s="27"/>
      <c r="L850" s="27"/>
      <c r="M850" s="27"/>
      <c r="N850" s="27"/>
      <c r="O850" s="64"/>
      <c r="P850" s="64"/>
      <c r="Q850" s="27"/>
      <c r="R850" s="34"/>
      <c r="S850" s="36"/>
      <c r="T850" s="34"/>
      <c r="U850" s="71"/>
      <c r="V850" s="36"/>
      <c r="W850" s="36"/>
      <c r="X850" s="36"/>
      <c r="Y850" s="27"/>
      <c r="AA850" s="9"/>
      <c r="AB850" s="72"/>
    </row>
    <row r="851" spans="6:28">
      <c r="F851" s="48"/>
      <c r="G851" s="32"/>
      <c r="H851" s="68"/>
      <c r="I851" s="36"/>
      <c r="J851" s="27"/>
      <c r="K851" s="27"/>
      <c r="L851" s="27"/>
      <c r="M851" s="27"/>
      <c r="N851" s="27"/>
      <c r="O851" s="64"/>
      <c r="P851" s="64"/>
      <c r="Q851" s="27"/>
      <c r="R851" s="34"/>
      <c r="S851" s="36"/>
      <c r="T851" s="34"/>
      <c r="U851" s="71"/>
      <c r="V851" s="36"/>
      <c r="W851" s="36"/>
      <c r="X851" s="36"/>
      <c r="Y851" s="27"/>
      <c r="AA851" s="9"/>
      <c r="AB851" s="72"/>
    </row>
    <row r="852" spans="6:28">
      <c r="F852" s="48"/>
      <c r="G852" s="32"/>
      <c r="H852" s="68"/>
      <c r="I852" s="36"/>
      <c r="J852" s="27"/>
      <c r="K852" s="27"/>
      <c r="L852" s="27"/>
      <c r="M852" s="27"/>
      <c r="N852" s="27"/>
      <c r="O852" s="64"/>
      <c r="P852" s="64"/>
      <c r="Q852" s="27"/>
      <c r="R852" s="34"/>
      <c r="S852" s="36"/>
      <c r="T852" s="34"/>
      <c r="U852" s="71"/>
      <c r="V852" s="36"/>
      <c r="W852" s="36"/>
      <c r="X852" s="36"/>
      <c r="Y852" s="27"/>
      <c r="AA852" s="9"/>
      <c r="AB852" s="72"/>
    </row>
    <row r="853" spans="6:28">
      <c r="F853" s="48"/>
      <c r="G853" s="32"/>
      <c r="H853" s="68"/>
      <c r="I853" s="36"/>
      <c r="J853" s="27"/>
      <c r="K853" s="27"/>
      <c r="L853" s="27"/>
      <c r="M853" s="27"/>
      <c r="N853" s="27"/>
      <c r="O853" s="64"/>
      <c r="P853" s="64"/>
      <c r="Q853" s="27"/>
      <c r="R853" s="34"/>
      <c r="S853" s="36"/>
      <c r="T853" s="34"/>
      <c r="U853" s="71"/>
      <c r="V853" s="36"/>
      <c r="W853" s="36"/>
      <c r="X853" s="36"/>
      <c r="Y853" s="27"/>
      <c r="AA853" s="9"/>
      <c r="AB853" s="72"/>
    </row>
    <row r="854" spans="6:28">
      <c r="F854" s="48"/>
      <c r="G854" s="32"/>
      <c r="H854" s="68"/>
      <c r="I854" s="36"/>
      <c r="J854" s="27"/>
      <c r="K854" s="27"/>
      <c r="L854" s="27"/>
      <c r="M854" s="27"/>
      <c r="N854" s="27"/>
      <c r="O854" s="64"/>
      <c r="P854" s="64"/>
      <c r="Q854" s="27"/>
      <c r="R854" s="34"/>
      <c r="S854" s="36"/>
      <c r="T854" s="34"/>
      <c r="U854" s="71"/>
      <c r="V854" s="36"/>
      <c r="W854" s="36"/>
      <c r="X854" s="36"/>
      <c r="Y854" s="27"/>
      <c r="AA854" s="9"/>
      <c r="AB854" s="72"/>
    </row>
    <row r="855" spans="6:28">
      <c r="F855" s="48"/>
      <c r="G855" s="32"/>
      <c r="H855" s="68"/>
      <c r="I855" s="36"/>
      <c r="J855" s="27"/>
      <c r="K855" s="27"/>
      <c r="L855" s="27"/>
      <c r="M855" s="27"/>
      <c r="N855" s="27"/>
      <c r="O855" s="64"/>
      <c r="P855" s="64"/>
      <c r="Q855" s="27"/>
      <c r="R855" s="34"/>
      <c r="S855" s="36"/>
      <c r="T855" s="34"/>
      <c r="U855" s="71"/>
      <c r="V855" s="36"/>
      <c r="W855" s="36"/>
      <c r="X855" s="36"/>
      <c r="Y855" s="27"/>
      <c r="AA855" s="9"/>
      <c r="AB855" s="72"/>
    </row>
    <row r="856" spans="6:28">
      <c r="F856" s="48"/>
      <c r="G856" s="32"/>
      <c r="H856" s="68"/>
      <c r="I856" s="36"/>
      <c r="J856" s="27"/>
      <c r="K856" s="27"/>
      <c r="L856" s="27"/>
      <c r="M856" s="27"/>
      <c r="N856" s="27"/>
      <c r="O856" s="64"/>
      <c r="P856" s="64"/>
      <c r="Q856" s="27"/>
      <c r="R856" s="34"/>
      <c r="S856" s="36"/>
      <c r="T856" s="34"/>
      <c r="U856" s="71"/>
      <c r="V856" s="36"/>
      <c r="W856" s="36"/>
      <c r="X856" s="36"/>
      <c r="Y856" s="27"/>
      <c r="AA856" s="9"/>
      <c r="AB856" s="72"/>
    </row>
    <row r="857" spans="6:28">
      <c r="F857" s="48"/>
      <c r="G857" s="32"/>
      <c r="H857" s="68"/>
      <c r="I857" s="36"/>
      <c r="J857" s="27"/>
      <c r="K857" s="27"/>
      <c r="L857" s="27"/>
      <c r="M857" s="27"/>
      <c r="N857" s="27"/>
      <c r="O857" s="64"/>
      <c r="P857" s="64"/>
      <c r="Q857" s="27"/>
      <c r="R857" s="34"/>
      <c r="S857" s="36"/>
      <c r="T857" s="34"/>
      <c r="U857" s="71"/>
      <c r="V857" s="36"/>
      <c r="W857" s="36"/>
      <c r="X857" s="36"/>
      <c r="Y857" s="27"/>
      <c r="AA857" s="9"/>
      <c r="AB857" s="72"/>
    </row>
    <row r="858" spans="6:28">
      <c r="F858" s="48"/>
      <c r="G858" s="32"/>
      <c r="H858" s="68"/>
      <c r="I858" s="36"/>
      <c r="J858" s="27"/>
      <c r="K858" s="27"/>
      <c r="L858" s="27"/>
      <c r="M858" s="27"/>
      <c r="N858" s="27"/>
      <c r="O858" s="64"/>
      <c r="P858" s="64"/>
      <c r="Q858" s="27"/>
      <c r="R858" s="34"/>
      <c r="S858" s="36"/>
      <c r="T858" s="34"/>
      <c r="U858" s="71"/>
      <c r="V858" s="36"/>
      <c r="W858" s="36"/>
      <c r="X858" s="36"/>
      <c r="Y858" s="27"/>
      <c r="AA858" s="9"/>
      <c r="AB858" s="72"/>
    </row>
    <row r="859" spans="6:28">
      <c r="F859" s="48"/>
      <c r="G859" s="32"/>
      <c r="H859" s="68"/>
      <c r="I859" s="36"/>
      <c r="J859" s="27"/>
      <c r="K859" s="27"/>
      <c r="L859" s="27"/>
      <c r="M859" s="27"/>
      <c r="N859" s="27"/>
      <c r="O859" s="64"/>
      <c r="P859" s="64"/>
      <c r="Q859" s="27"/>
      <c r="R859" s="34"/>
      <c r="S859" s="36"/>
      <c r="T859" s="34"/>
      <c r="U859" s="71"/>
      <c r="V859" s="36"/>
      <c r="W859" s="36"/>
      <c r="X859" s="36"/>
      <c r="Y859" s="27"/>
      <c r="AA859" s="9"/>
      <c r="AB859" s="72"/>
    </row>
    <row r="860" spans="6:28">
      <c r="F860" s="48"/>
      <c r="G860" s="32"/>
      <c r="H860" s="68"/>
      <c r="I860" s="36"/>
      <c r="J860" s="27"/>
      <c r="K860" s="27"/>
      <c r="L860" s="27"/>
      <c r="M860" s="27"/>
      <c r="N860" s="27"/>
      <c r="O860" s="64"/>
      <c r="P860" s="64"/>
      <c r="Q860" s="27"/>
      <c r="R860" s="34"/>
      <c r="S860" s="36"/>
      <c r="T860" s="34"/>
      <c r="U860" s="71"/>
      <c r="V860" s="36"/>
      <c r="W860" s="36"/>
      <c r="X860" s="36"/>
      <c r="Y860" s="27"/>
      <c r="AA860" s="9"/>
      <c r="AB860" s="72"/>
    </row>
    <row r="861" spans="6:28">
      <c r="F861" s="48"/>
      <c r="G861" s="32"/>
      <c r="H861" s="68"/>
      <c r="I861" s="36"/>
      <c r="J861" s="27"/>
      <c r="K861" s="27"/>
      <c r="L861" s="27"/>
      <c r="M861" s="27"/>
      <c r="N861" s="27"/>
      <c r="O861" s="64"/>
      <c r="P861" s="64"/>
      <c r="Q861" s="27"/>
      <c r="R861" s="34"/>
      <c r="S861" s="36"/>
      <c r="T861" s="34"/>
      <c r="U861" s="71"/>
      <c r="V861" s="36"/>
      <c r="W861" s="36"/>
      <c r="X861" s="36"/>
      <c r="Y861" s="27"/>
      <c r="AA861" s="9"/>
      <c r="AB861" s="72"/>
    </row>
    <row r="862" spans="6:28">
      <c r="F862" s="48"/>
      <c r="G862" s="32"/>
      <c r="H862" s="68"/>
      <c r="I862" s="36"/>
      <c r="J862" s="27"/>
      <c r="K862" s="27"/>
      <c r="L862" s="27"/>
      <c r="M862" s="27"/>
      <c r="N862" s="27"/>
      <c r="O862" s="64"/>
      <c r="P862" s="64"/>
      <c r="Q862" s="27"/>
      <c r="R862" s="34"/>
      <c r="S862" s="36"/>
      <c r="T862" s="34"/>
      <c r="U862" s="71"/>
      <c r="V862" s="36"/>
      <c r="W862" s="36"/>
      <c r="X862" s="36"/>
      <c r="Y862" s="27"/>
      <c r="AA862" s="9"/>
      <c r="AB862" s="72"/>
    </row>
    <row r="863" spans="6:28">
      <c r="F863" s="48"/>
      <c r="G863" s="32"/>
      <c r="H863" s="68"/>
      <c r="I863" s="36"/>
      <c r="J863" s="27"/>
      <c r="K863" s="27"/>
      <c r="L863" s="27"/>
      <c r="M863" s="27"/>
      <c r="N863" s="27"/>
      <c r="O863" s="64"/>
      <c r="P863" s="64"/>
      <c r="Q863" s="27"/>
      <c r="R863" s="34"/>
      <c r="S863" s="36"/>
      <c r="T863" s="34"/>
      <c r="U863" s="71"/>
      <c r="V863" s="36"/>
      <c r="W863" s="36"/>
      <c r="X863" s="36"/>
      <c r="Y863" s="27"/>
      <c r="AA863" s="9"/>
      <c r="AB863" s="72"/>
    </row>
    <row r="864" spans="6:28">
      <c r="F864" s="48"/>
      <c r="G864" s="32"/>
      <c r="H864" s="68"/>
      <c r="I864" s="36"/>
      <c r="J864" s="27"/>
      <c r="K864" s="27"/>
      <c r="L864" s="27"/>
      <c r="M864" s="27"/>
      <c r="N864" s="27"/>
      <c r="O864" s="64"/>
      <c r="P864" s="64"/>
      <c r="Q864" s="27"/>
      <c r="R864" s="34"/>
      <c r="S864" s="36"/>
      <c r="T864" s="34"/>
      <c r="U864" s="71"/>
      <c r="V864" s="36"/>
      <c r="W864" s="36"/>
      <c r="X864" s="36"/>
      <c r="Y864" s="27"/>
      <c r="AA864" s="9"/>
      <c r="AB864" s="72"/>
    </row>
    <row r="865" spans="6:28">
      <c r="F865" s="48"/>
      <c r="G865" s="32"/>
      <c r="H865" s="68"/>
      <c r="I865" s="36"/>
      <c r="J865" s="27"/>
      <c r="K865" s="27"/>
      <c r="L865" s="27"/>
      <c r="M865" s="27"/>
      <c r="N865" s="27"/>
      <c r="O865" s="64"/>
      <c r="P865" s="64"/>
      <c r="Q865" s="27"/>
      <c r="R865" s="34"/>
      <c r="S865" s="36"/>
      <c r="T865" s="34"/>
      <c r="U865" s="71"/>
      <c r="V865" s="36"/>
      <c r="W865" s="36"/>
      <c r="X865" s="36"/>
      <c r="Y865" s="27"/>
      <c r="AA865" s="9"/>
      <c r="AB865" s="72"/>
    </row>
    <row r="866" spans="6:28">
      <c r="F866" s="48"/>
      <c r="G866" s="32"/>
      <c r="H866" s="68"/>
      <c r="I866" s="36"/>
      <c r="J866" s="27"/>
      <c r="K866" s="27"/>
      <c r="L866" s="27"/>
      <c r="M866" s="27"/>
      <c r="N866" s="27"/>
      <c r="O866" s="64"/>
      <c r="P866" s="64"/>
      <c r="Q866" s="27"/>
      <c r="R866" s="34"/>
      <c r="S866" s="36"/>
      <c r="T866" s="34"/>
      <c r="U866" s="71"/>
      <c r="V866" s="36"/>
      <c r="W866" s="36"/>
      <c r="X866" s="36"/>
      <c r="Y866" s="27"/>
      <c r="AA866" s="9"/>
      <c r="AB866" s="72"/>
    </row>
    <row r="867" spans="6:28">
      <c r="F867" s="48"/>
      <c r="G867" s="32"/>
      <c r="H867" s="68"/>
      <c r="I867" s="36"/>
      <c r="J867" s="27"/>
      <c r="K867" s="27"/>
      <c r="L867" s="27"/>
      <c r="M867" s="27"/>
      <c r="N867" s="27"/>
      <c r="O867" s="64"/>
      <c r="P867" s="64"/>
      <c r="Q867" s="27"/>
      <c r="R867" s="34"/>
      <c r="S867" s="36"/>
      <c r="T867" s="34"/>
      <c r="U867" s="71"/>
      <c r="V867" s="36"/>
      <c r="W867" s="36"/>
      <c r="X867" s="36"/>
      <c r="Y867" s="27"/>
      <c r="AA867" s="9"/>
      <c r="AB867" s="72"/>
    </row>
    <row r="868" spans="6:28">
      <c r="F868" s="48"/>
      <c r="G868" s="32"/>
      <c r="H868" s="68"/>
      <c r="I868" s="36"/>
      <c r="J868" s="27"/>
      <c r="K868" s="27"/>
      <c r="L868" s="27"/>
      <c r="M868" s="27"/>
      <c r="N868" s="27"/>
      <c r="O868" s="64"/>
      <c r="P868" s="64"/>
      <c r="Q868" s="27"/>
      <c r="R868" s="34"/>
      <c r="S868" s="36"/>
      <c r="T868" s="34"/>
      <c r="U868" s="71"/>
      <c r="V868" s="36"/>
      <c r="W868" s="36"/>
      <c r="X868" s="36"/>
      <c r="Y868" s="27"/>
      <c r="AA868" s="9"/>
      <c r="AB868" s="72"/>
    </row>
    <row r="869" spans="6:28">
      <c r="F869" s="48"/>
      <c r="G869" s="32"/>
      <c r="H869" s="68"/>
      <c r="I869" s="36"/>
      <c r="J869" s="27"/>
      <c r="K869" s="27"/>
      <c r="L869" s="27"/>
      <c r="M869" s="27"/>
      <c r="N869" s="27"/>
      <c r="O869" s="64"/>
      <c r="P869" s="64"/>
      <c r="Q869" s="27"/>
      <c r="R869" s="34"/>
      <c r="S869" s="36"/>
      <c r="T869" s="34"/>
      <c r="U869" s="71"/>
      <c r="V869" s="36"/>
      <c r="W869" s="36"/>
      <c r="X869" s="36"/>
      <c r="Y869" s="27"/>
      <c r="AA869" s="9"/>
      <c r="AB869" s="72"/>
    </row>
    <row r="870" spans="6:28">
      <c r="F870" s="48"/>
      <c r="G870" s="32"/>
      <c r="H870" s="68"/>
      <c r="I870" s="36"/>
      <c r="J870" s="27"/>
      <c r="K870" s="27"/>
      <c r="L870" s="27"/>
      <c r="M870" s="27"/>
      <c r="N870" s="27"/>
      <c r="O870" s="64"/>
      <c r="P870" s="64"/>
      <c r="Q870" s="27"/>
      <c r="R870" s="34"/>
      <c r="S870" s="36"/>
      <c r="T870" s="34"/>
      <c r="U870" s="71"/>
      <c r="V870" s="36"/>
      <c r="W870" s="36"/>
      <c r="X870" s="36"/>
      <c r="Y870" s="27"/>
      <c r="AA870" s="9"/>
      <c r="AB870" s="72"/>
    </row>
    <row r="871" spans="6:28">
      <c r="F871" s="48"/>
      <c r="G871" s="32"/>
      <c r="H871" s="68"/>
      <c r="I871" s="36"/>
      <c r="J871" s="27"/>
      <c r="K871" s="27"/>
      <c r="L871" s="27"/>
      <c r="M871" s="27"/>
      <c r="N871" s="27"/>
      <c r="O871" s="64"/>
      <c r="P871" s="64"/>
      <c r="Q871" s="27"/>
      <c r="R871" s="34"/>
      <c r="S871" s="36"/>
      <c r="T871" s="34"/>
      <c r="U871" s="71"/>
      <c r="V871" s="36"/>
      <c r="W871" s="36"/>
      <c r="X871" s="36"/>
      <c r="Y871" s="27"/>
      <c r="AA871" s="9"/>
      <c r="AB871" s="72"/>
    </row>
    <row r="872" spans="6:28">
      <c r="F872" s="48"/>
      <c r="G872" s="32"/>
      <c r="H872" s="68"/>
      <c r="I872" s="36"/>
      <c r="J872" s="27"/>
      <c r="K872" s="27"/>
      <c r="L872" s="27"/>
      <c r="M872" s="27"/>
      <c r="N872" s="27"/>
      <c r="O872" s="64"/>
      <c r="P872" s="64"/>
      <c r="Q872" s="27"/>
      <c r="R872" s="34"/>
      <c r="S872" s="36"/>
      <c r="T872" s="34"/>
      <c r="U872" s="71"/>
      <c r="V872" s="36"/>
      <c r="W872" s="36"/>
      <c r="X872" s="36"/>
      <c r="Y872" s="27"/>
      <c r="AA872" s="9"/>
      <c r="AB872" s="72"/>
    </row>
    <row r="873" spans="6:28">
      <c r="F873" s="48"/>
      <c r="G873" s="32"/>
      <c r="H873" s="68"/>
      <c r="I873" s="36"/>
      <c r="J873" s="27"/>
      <c r="K873" s="27"/>
      <c r="L873" s="27"/>
      <c r="M873" s="27"/>
      <c r="N873" s="27"/>
      <c r="O873" s="64"/>
      <c r="P873" s="64"/>
      <c r="Q873" s="27"/>
      <c r="R873" s="34"/>
      <c r="S873" s="36"/>
      <c r="T873" s="34"/>
      <c r="U873" s="71"/>
      <c r="V873" s="36"/>
      <c r="W873" s="36"/>
      <c r="X873" s="36"/>
      <c r="Y873" s="27"/>
      <c r="AA873" s="9"/>
      <c r="AB873" s="72"/>
    </row>
    <row r="874" spans="6:28">
      <c r="F874" s="48"/>
      <c r="G874" s="32"/>
      <c r="H874" s="68"/>
      <c r="I874" s="36"/>
      <c r="J874" s="27"/>
      <c r="K874" s="27"/>
      <c r="L874" s="27"/>
      <c r="M874" s="27"/>
      <c r="N874" s="27"/>
      <c r="O874" s="64"/>
      <c r="P874" s="64"/>
      <c r="Q874" s="27"/>
      <c r="R874" s="34"/>
      <c r="S874" s="36"/>
      <c r="T874" s="34"/>
      <c r="U874" s="71"/>
      <c r="V874" s="36"/>
      <c r="W874" s="36"/>
      <c r="X874" s="36"/>
      <c r="Y874" s="27"/>
      <c r="AA874" s="9"/>
      <c r="AB874" s="72"/>
    </row>
    <row r="875" spans="6:28">
      <c r="F875" s="48"/>
      <c r="G875" s="32"/>
      <c r="H875" s="68"/>
      <c r="I875" s="36"/>
      <c r="J875" s="27"/>
      <c r="K875" s="27"/>
      <c r="L875" s="27"/>
      <c r="M875" s="27"/>
      <c r="N875" s="27"/>
      <c r="O875" s="64"/>
      <c r="P875" s="64"/>
      <c r="Q875" s="27"/>
      <c r="R875" s="34"/>
      <c r="S875" s="36"/>
      <c r="T875" s="34"/>
      <c r="U875" s="71"/>
      <c r="V875" s="36"/>
      <c r="W875" s="36"/>
      <c r="X875" s="36"/>
      <c r="Y875" s="27"/>
      <c r="AA875" s="9"/>
      <c r="AB875" s="72"/>
    </row>
    <row r="876" spans="6:28">
      <c r="F876" s="48"/>
      <c r="G876" s="32"/>
      <c r="H876" s="68"/>
      <c r="I876" s="36"/>
      <c r="J876" s="27"/>
      <c r="K876" s="27"/>
      <c r="L876" s="27"/>
      <c r="M876" s="27"/>
      <c r="N876" s="27"/>
      <c r="O876" s="64"/>
      <c r="P876" s="64"/>
      <c r="Q876" s="27"/>
      <c r="R876" s="34"/>
      <c r="S876" s="36"/>
      <c r="T876" s="34"/>
      <c r="U876" s="71"/>
      <c r="V876" s="36"/>
      <c r="W876" s="36"/>
      <c r="X876" s="36"/>
      <c r="Y876" s="27"/>
      <c r="AA876" s="9"/>
      <c r="AB876" s="72"/>
    </row>
    <row r="877" spans="6:28">
      <c r="F877" s="48"/>
      <c r="G877" s="32"/>
      <c r="H877" s="68"/>
      <c r="I877" s="36"/>
      <c r="J877" s="27"/>
      <c r="K877" s="27"/>
      <c r="L877" s="27"/>
      <c r="M877" s="27"/>
      <c r="N877" s="27"/>
      <c r="O877" s="64"/>
      <c r="P877" s="64"/>
      <c r="Q877" s="27"/>
      <c r="R877" s="34"/>
      <c r="S877" s="36"/>
      <c r="T877" s="34"/>
      <c r="U877" s="71"/>
      <c r="V877" s="36"/>
      <c r="W877" s="36"/>
      <c r="X877" s="36"/>
      <c r="Y877" s="27"/>
      <c r="AA877" s="9"/>
      <c r="AB877" s="72"/>
    </row>
    <row r="878" spans="6:28">
      <c r="F878" s="48"/>
      <c r="G878" s="32"/>
      <c r="H878" s="68"/>
      <c r="I878" s="36"/>
      <c r="J878" s="27"/>
      <c r="K878" s="27"/>
      <c r="L878" s="27"/>
      <c r="M878" s="27"/>
      <c r="N878" s="27"/>
      <c r="O878" s="64"/>
      <c r="P878" s="64"/>
      <c r="Q878" s="27"/>
      <c r="R878" s="34"/>
      <c r="S878" s="36"/>
      <c r="T878" s="34"/>
      <c r="U878" s="71"/>
      <c r="V878" s="36"/>
      <c r="W878" s="36"/>
      <c r="X878" s="36"/>
      <c r="Y878" s="27"/>
      <c r="AA878" s="9"/>
      <c r="AB878" s="72"/>
    </row>
    <row r="879" spans="6:28">
      <c r="F879" s="48"/>
      <c r="G879" s="32"/>
      <c r="H879" s="68"/>
      <c r="I879" s="36"/>
      <c r="J879" s="27"/>
      <c r="K879" s="27"/>
      <c r="L879" s="27"/>
      <c r="M879" s="27"/>
      <c r="N879" s="27"/>
      <c r="O879" s="64"/>
      <c r="P879" s="64"/>
      <c r="Q879" s="27"/>
      <c r="R879" s="34"/>
      <c r="S879" s="36"/>
      <c r="T879" s="34"/>
      <c r="U879" s="71"/>
      <c r="V879" s="36"/>
      <c r="W879" s="36"/>
      <c r="X879" s="36"/>
      <c r="Y879" s="27"/>
      <c r="AA879" s="9"/>
      <c r="AB879" s="72"/>
    </row>
    <row r="880" spans="6:28">
      <c r="F880" s="48"/>
      <c r="G880" s="32"/>
      <c r="H880" s="68"/>
      <c r="I880" s="36"/>
      <c r="J880" s="27"/>
      <c r="K880" s="27"/>
      <c r="L880" s="27"/>
      <c r="M880" s="27"/>
      <c r="N880" s="27"/>
      <c r="O880" s="64"/>
      <c r="P880" s="64"/>
      <c r="Q880" s="27"/>
      <c r="R880" s="34"/>
      <c r="S880" s="36"/>
      <c r="T880" s="34"/>
      <c r="U880" s="71"/>
      <c r="V880" s="36"/>
      <c r="W880" s="36"/>
      <c r="X880" s="36"/>
      <c r="Y880" s="27"/>
      <c r="AA880" s="9"/>
      <c r="AB880" s="72"/>
    </row>
    <row r="881" spans="6:28">
      <c r="F881" s="48"/>
      <c r="G881" s="32"/>
      <c r="H881" s="68"/>
      <c r="I881" s="36"/>
      <c r="J881" s="27"/>
      <c r="K881" s="27"/>
      <c r="L881" s="27"/>
      <c r="M881" s="27"/>
      <c r="N881" s="27"/>
      <c r="O881" s="64"/>
      <c r="P881" s="64"/>
      <c r="Q881" s="27"/>
      <c r="R881" s="34"/>
      <c r="S881" s="36"/>
      <c r="T881" s="34"/>
      <c r="U881" s="71"/>
      <c r="V881" s="36"/>
      <c r="W881" s="36"/>
      <c r="X881" s="36"/>
      <c r="Y881" s="27"/>
      <c r="AA881" s="9"/>
      <c r="AB881" s="72"/>
    </row>
    <row r="882" spans="6:28">
      <c r="F882" s="48"/>
      <c r="G882" s="32"/>
      <c r="H882" s="68"/>
      <c r="I882" s="36"/>
      <c r="J882" s="27"/>
      <c r="K882" s="27"/>
      <c r="L882" s="27"/>
      <c r="M882" s="27"/>
      <c r="N882" s="27"/>
      <c r="O882" s="64"/>
      <c r="P882" s="64"/>
      <c r="Q882" s="27"/>
      <c r="R882" s="34"/>
      <c r="S882" s="36"/>
      <c r="T882" s="34"/>
      <c r="U882" s="71"/>
      <c r="V882" s="36"/>
      <c r="W882" s="36"/>
      <c r="X882" s="36"/>
      <c r="Y882" s="27"/>
      <c r="AA882" s="9"/>
      <c r="AB882" s="72"/>
    </row>
    <row r="883" spans="6:28">
      <c r="F883" s="48"/>
      <c r="G883" s="32"/>
      <c r="H883" s="68"/>
      <c r="I883" s="36"/>
      <c r="J883" s="27"/>
      <c r="K883" s="27"/>
      <c r="L883" s="27"/>
      <c r="M883" s="27"/>
      <c r="N883" s="27"/>
      <c r="O883" s="64"/>
      <c r="P883" s="64"/>
      <c r="Q883" s="27"/>
      <c r="R883" s="34"/>
      <c r="S883" s="36"/>
      <c r="T883" s="34"/>
      <c r="U883" s="71"/>
      <c r="V883" s="36"/>
      <c r="W883" s="36"/>
      <c r="X883" s="36"/>
      <c r="Y883" s="27"/>
      <c r="AA883" s="9"/>
      <c r="AB883" s="72"/>
    </row>
    <row r="884" spans="6:28">
      <c r="F884" s="48"/>
      <c r="G884" s="32"/>
      <c r="H884" s="68"/>
      <c r="I884" s="36"/>
      <c r="J884" s="27"/>
      <c r="K884" s="27"/>
      <c r="L884" s="27"/>
      <c r="M884" s="27"/>
      <c r="N884" s="27"/>
      <c r="O884" s="64"/>
      <c r="P884" s="64"/>
      <c r="Q884" s="27"/>
      <c r="R884" s="34"/>
      <c r="S884" s="36"/>
      <c r="T884" s="34"/>
      <c r="U884" s="71"/>
      <c r="V884" s="36"/>
      <c r="W884" s="36"/>
      <c r="X884" s="36"/>
      <c r="Y884" s="27"/>
      <c r="AA884" s="9"/>
      <c r="AB884" s="72"/>
    </row>
    <row r="885" spans="6:28">
      <c r="F885" s="48"/>
      <c r="G885" s="32"/>
      <c r="H885" s="68"/>
      <c r="I885" s="36"/>
      <c r="J885" s="27"/>
      <c r="K885" s="27"/>
      <c r="L885" s="27"/>
      <c r="M885" s="27"/>
      <c r="N885" s="27"/>
      <c r="O885" s="64"/>
      <c r="P885" s="64"/>
      <c r="Q885" s="27"/>
      <c r="R885" s="34"/>
      <c r="S885" s="36"/>
      <c r="T885" s="34"/>
      <c r="U885" s="71"/>
      <c r="V885" s="36"/>
      <c r="W885" s="36"/>
      <c r="X885" s="36"/>
      <c r="Y885" s="27"/>
      <c r="AA885" s="9"/>
      <c r="AB885" s="72"/>
    </row>
    <row r="886" spans="6:28">
      <c r="F886" s="48"/>
      <c r="G886" s="32"/>
      <c r="H886" s="68"/>
      <c r="I886" s="36"/>
      <c r="J886" s="27"/>
      <c r="K886" s="27"/>
      <c r="L886" s="27"/>
      <c r="M886" s="27"/>
      <c r="N886" s="27"/>
      <c r="O886" s="64"/>
      <c r="P886" s="64"/>
      <c r="Q886" s="27"/>
      <c r="R886" s="34"/>
      <c r="S886" s="36"/>
      <c r="T886" s="34"/>
      <c r="U886" s="71"/>
      <c r="V886" s="36"/>
      <c r="W886" s="36"/>
      <c r="X886" s="36"/>
      <c r="Y886" s="27"/>
      <c r="AA886" s="9"/>
      <c r="AB886" s="72"/>
    </row>
    <row r="887" spans="6:28">
      <c r="F887" s="48"/>
      <c r="G887" s="32"/>
      <c r="H887" s="68"/>
      <c r="I887" s="36"/>
      <c r="J887" s="27"/>
      <c r="K887" s="27"/>
      <c r="L887" s="27"/>
      <c r="M887" s="27"/>
      <c r="N887" s="27"/>
      <c r="O887" s="64"/>
      <c r="P887" s="64"/>
      <c r="Q887" s="27"/>
      <c r="R887" s="34"/>
      <c r="S887" s="36"/>
      <c r="T887" s="34"/>
      <c r="U887" s="71"/>
      <c r="V887" s="36"/>
      <c r="W887" s="36"/>
      <c r="X887" s="36"/>
      <c r="Y887" s="27"/>
      <c r="AA887" s="9"/>
      <c r="AB887" s="72"/>
    </row>
    <row r="888" spans="6:28">
      <c r="F888" s="48"/>
      <c r="G888" s="32"/>
      <c r="H888" s="68"/>
      <c r="I888" s="36"/>
      <c r="J888" s="27"/>
      <c r="K888" s="27"/>
      <c r="L888" s="27"/>
      <c r="M888" s="27"/>
      <c r="N888" s="27"/>
      <c r="O888" s="64"/>
      <c r="P888" s="64"/>
      <c r="Q888" s="27"/>
      <c r="R888" s="34"/>
      <c r="S888" s="36"/>
      <c r="T888" s="34"/>
      <c r="U888" s="71"/>
      <c r="V888" s="36"/>
      <c r="W888" s="36"/>
      <c r="X888" s="36"/>
      <c r="Y888" s="27"/>
      <c r="AA888" s="9"/>
      <c r="AB888" s="72"/>
    </row>
    <row r="889" spans="6:28">
      <c r="F889" s="48"/>
      <c r="G889" s="32"/>
      <c r="H889" s="68"/>
      <c r="I889" s="36"/>
      <c r="J889" s="27"/>
      <c r="K889" s="27"/>
      <c r="L889" s="27"/>
      <c r="M889" s="27"/>
      <c r="N889" s="27"/>
      <c r="O889" s="64"/>
      <c r="P889" s="64"/>
      <c r="Q889" s="27"/>
      <c r="R889" s="34"/>
      <c r="S889" s="36"/>
      <c r="T889" s="34"/>
      <c r="U889" s="71"/>
      <c r="V889" s="36"/>
      <c r="W889" s="36"/>
      <c r="X889" s="36"/>
      <c r="Y889" s="27"/>
      <c r="AA889" s="9"/>
      <c r="AB889" s="72"/>
    </row>
    <row r="890" spans="6:28">
      <c r="F890" s="48"/>
      <c r="G890" s="32"/>
      <c r="H890" s="68"/>
      <c r="I890" s="36"/>
      <c r="J890" s="27"/>
      <c r="K890" s="27"/>
      <c r="L890" s="27"/>
      <c r="M890" s="27"/>
      <c r="N890" s="27"/>
      <c r="O890" s="64"/>
      <c r="P890" s="64"/>
      <c r="Q890" s="27"/>
      <c r="R890" s="34"/>
      <c r="S890" s="36"/>
      <c r="T890" s="34"/>
      <c r="U890" s="71"/>
      <c r="V890" s="36"/>
      <c r="W890" s="36"/>
      <c r="X890" s="36"/>
      <c r="Y890" s="27"/>
      <c r="AA890" s="9"/>
      <c r="AB890" s="72"/>
    </row>
    <row r="891" spans="6:28">
      <c r="F891" s="48"/>
      <c r="G891" s="32"/>
      <c r="H891" s="68"/>
      <c r="I891" s="36"/>
      <c r="J891" s="27"/>
      <c r="K891" s="27"/>
      <c r="L891" s="27"/>
      <c r="M891" s="27"/>
      <c r="N891" s="27"/>
      <c r="O891" s="64"/>
      <c r="P891" s="64"/>
      <c r="Q891" s="27"/>
      <c r="R891" s="34"/>
      <c r="S891" s="36"/>
      <c r="T891" s="34"/>
      <c r="U891" s="71"/>
      <c r="V891" s="36"/>
      <c r="W891" s="36"/>
      <c r="X891" s="36"/>
      <c r="Y891" s="27"/>
      <c r="AA891" s="9"/>
      <c r="AB891" s="72"/>
    </row>
    <row r="892" spans="6:28">
      <c r="F892" s="48"/>
      <c r="G892" s="32"/>
      <c r="H892" s="68"/>
      <c r="I892" s="36"/>
      <c r="J892" s="27"/>
      <c r="K892" s="27"/>
      <c r="L892" s="27"/>
      <c r="M892" s="27"/>
      <c r="N892" s="27"/>
      <c r="O892" s="64"/>
      <c r="P892" s="64"/>
      <c r="Q892" s="27"/>
      <c r="R892" s="34"/>
      <c r="S892" s="36"/>
      <c r="T892" s="34"/>
      <c r="U892" s="71"/>
      <c r="V892" s="36"/>
      <c r="W892" s="36"/>
      <c r="X892" s="36"/>
      <c r="Y892" s="27"/>
      <c r="AA892" s="9"/>
      <c r="AB892" s="72"/>
    </row>
    <row r="893" spans="6:28">
      <c r="F893" s="48"/>
      <c r="G893" s="32"/>
      <c r="H893" s="68"/>
      <c r="I893" s="36"/>
      <c r="J893" s="27"/>
      <c r="K893" s="27"/>
      <c r="L893" s="27"/>
      <c r="M893" s="27"/>
      <c r="N893" s="27"/>
      <c r="O893" s="64"/>
      <c r="P893" s="64"/>
      <c r="Q893" s="27"/>
      <c r="R893" s="34"/>
      <c r="S893" s="36"/>
      <c r="T893" s="34"/>
      <c r="U893" s="71"/>
      <c r="V893" s="36"/>
      <c r="W893" s="36"/>
      <c r="X893" s="36"/>
      <c r="Y893" s="27"/>
      <c r="AA893" s="9"/>
      <c r="AB893" s="72"/>
    </row>
    <row r="894" spans="6:28">
      <c r="F894" s="48"/>
      <c r="G894" s="32"/>
      <c r="H894" s="68"/>
      <c r="I894" s="36"/>
      <c r="J894" s="27"/>
      <c r="K894" s="27"/>
      <c r="L894" s="27"/>
      <c r="M894" s="27"/>
      <c r="N894" s="27"/>
      <c r="O894" s="64"/>
      <c r="P894" s="64"/>
      <c r="Q894" s="27"/>
      <c r="R894" s="34"/>
      <c r="S894" s="36"/>
      <c r="T894" s="34"/>
      <c r="U894" s="71"/>
      <c r="V894" s="36"/>
      <c r="W894" s="36"/>
      <c r="X894" s="36"/>
      <c r="Y894" s="27"/>
      <c r="AA894" s="9"/>
      <c r="AB894" s="72"/>
    </row>
    <row r="895" spans="6:28">
      <c r="F895" s="48"/>
      <c r="G895" s="32"/>
      <c r="H895" s="68"/>
      <c r="I895" s="36"/>
      <c r="J895" s="27"/>
      <c r="K895" s="27"/>
      <c r="L895" s="27"/>
      <c r="M895" s="27"/>
      <c r="N895" s="27"/>
      <c r="O895" s="64"/>
      <c r="P895" s="64"/>
      <c r="Q895" s="27"/>
      <c r="R895" s="34"/>
      <c r="S895" s="36"/>
      <c r="T895" s="34"/>
      <c r="U895" s="71"/>
      <c r="V895" s="36"/>
      <c r="W895" s="36"/>
      <c r="X895" s="36"/>
      <c r="Y895" s="27"/>
      <c r="AA895" s="9"/>
      <c r="AB895" s="72"/>
    </row>
    <row r="896" spans="6:28">
      <c r="F896" s="48"/>
      <c r="G896" s="32"/>
      <c r="H896" s="68"/>
      <c r="I896" s="36"/>
      <c r="J896" s="27"/>
      <c r="K896" s="27"/>
      <c r="L896" s="27"/>
      <c r="M896" s="27"/>
      <c r="N896" s="27"/>
      <c r="O896" s="64"/>
      <c r="P896" s="64"/>
      <c r="Q896" s="27"/>
      <c r="R896" s="34"/>
      <c r="S896" s="36"/>
      <c r="T896" s="34"/>
      <c r="U896" s="71"/>
      <c r="V896" s="36"/>
      <c r="W896" s="36"/>
      <c r="X896" s="36"/>
      <c r="Y896" s="27"/>
      <c r="AA896" s="9"/>
      <c r="AB896" s="72"/>
    </row>
    <row r="897" spans="6:28">
      <c r="F897" s="48"/>
      <c r="G897" s="32"/>
      <c r="H897" s="68"/>
      <c r="I897" s="36"/>
      <c r="J897" s="27"/>
      <c r="K897" s="27"/>
      <c r="L897" s="27"/>
      <c r="M897" s="27"/>
      <c r="N897" s="27"/>
      <c r="O897" s="64"/>
      <c r="P897" s="64"/>
      <c r="Q897" s="27"/>
      <c r="R897" s="34"/>
      <c r="S897" s="36"/>
      <c r="T897" s="34"/>
      <c r="U897" s="71"/>
      <c r="V897" s="36"/>
      <c r="W897" s="36"/>
      <c r="X897" s="36"/>
      <c r="Y897" s="27"/>
      <c r="AA897" s="9"/>
      <c r="AB897" s="72"/>
    </row>
    <row r="898" spans="6:28">
      <c r="F898" s="48"/>
      <c r="G898" s="32"/>
      <c r="H898" s="68"/>
      <c r="I898" s="36"/>
      <c r="J898" s="27"/>
      <c r="K898" s="27"/>
      <c r="L898" s="27"/>
      <c r="M898" s="27"/>
      <c r="N898" s="27"/>
      <c r="O898" s="64"/>
      <c r="P898" s="64"/>
      <c r="Q898" s="27"/>
      <c r="R898" s="34"/>
      <c r="S898" s="36"/>
      <c r="T898" s="34"/>
      <c r="U898" s="71"/>
      <c r="V898" s="36"/>
      <c r="W898" s="36"/>
      <c r="X898" s="36"/>
      <c r="Y898" s="27"/>
      <c r="AA898" s="9"/>
      <c r="AB898" s="72"/>
    </row>
    <row r="899" spans="6:28">
      <c r="F899" s="48"/>
      <c r="G899" s="32"/>
      <c r="H899" s="68"/>
      <c r="I899" s="36"/>
      <c r="J899" s="27"/>
      <c r="K899" s="27"/>
      <c r="L899" s="27"/>
      <c r="M899" s="27"/>
      <c r="N899" s="27"/>
      <c r="O899" s="64"/>
      <c r="P899" s="64"/>
      <c r="Q899" s="27"/>
      <c r="R899" s="34"/>
      <c r="S899" s="36"/>
      <c r="T899" s="34"/>
      <c r="U899" s="71"/>
      <c r="V899" s="36"/>
      <c r="W899" s="36"/>
      <c r="X899" s="36"/>
      <c r="Y899" s="27"/>
      <c r="AA899" s="9"/>
      <c r="AB899" s="72"/>
    </row>
    <row r="900" spans="6:28">
      <c r="F900" s="48"/>
      <c r="G900" s="32"/>
      <c r="H900" s="68"/>
      <c r="I900" s="36"/>
      <c r="J900" s="27"/>
      <c r="K900" s="27"/>
      <c r="L900" s="27"/>
      <c r="M900" s="27"/>
      <c r="N900" s="27"/>
      <c r="O900" s="64"/>
      <c r="P900" s="64"/>
      <c r="Q900" s="27"/>
      <c r="R900" s="34"/>
      <c r="S900" s="36"/>
      <c r="T900" s="34"/>
      <c r="U900" s="71"/>
      <c r="V900" s="36"/>
      <c r="W900" s="36"/>
      <c r="X900" s="36"/>
      <c r="Y900" s="27"/>
      <c r="AA900" s="9"/>
      <c r="AB900" s="72"/>
    </row>
    <row r="901" spans="6:28">
      <c r="F901" s="48"/>
      <c r="G901" s="32"/>
      <c r="H901" s="68"/>
      <c r="I901" s="36"/>
      <c r="J901" s="27"/>
      <c r="K901" s="27"/>
      <c r="L901" s="27"/>
      <c r="M901" s="27"/>
      <c r="N901" s="27"/>
      <c r="O901" s="64"/>
      <c r="P901" s="64"/>
      <c r="Q901" s="27"/>
      <c r="R901" s="34"/>
      <c r="S901" s="36"/>
      <c r="T901" s="34"/>
      <c r="U901" s="71"/>
      <c r="V901" s="36"/>
      <c r="W901" s="36"/>
      <c r="X901" s="36"/>
      <c r="Y901" s="27"/>
      <c r="AA901" s="9"/>
      <c r="AB901" s="72"/>
    </row>
    <row r="902" spans="6:28">
      <c r="F902" s="48"/>
      <c r="G902" s="32"/>
      <c r="H902" s="68"/>
      <c r="I902" s="36"/>
      <c r="J902" s="27"/>
      <c r="K902" s="27"/>
      <c r="L902" s="27"/>
      <c r="M902" s="27"/>
      <c r="N902" s="27"/>
      <c r="O902" s="64"/>
      <c r="P902" s="64"/>
      <c r="Q902" s="27"/>
      <c r="R902" s="34"/>
      <c r="S902" s="36"/>
      <c r="T902" s="34"/>
      <c r="U902" s="71"/>
      <c r="V902" s="36"/>
      <c r="W902" s="36"/>
      <c r="X902" s="36"/>
      <c r="Y902" s="27"/>
      <c r="AA902" s="9"/>
      <c r="AB902" s="72"/>
    </row>
    <row r="903" spans="6:28">
      <c r="F903" s="48"/>
      <c r="G903" s="32"/>
      <c r="H903" s="68"/>
      <c r="I903" s="36"/>
      <c r="J903" s="27"/>
      <c r="K903" s="27"/>
      <c r="L903" s="27"/>
      <c r="M903" s="27"/>
      <c r="N903" s="27"/>
      <c r="O903" s="64"/>
      <c r="P903" s="64"/>
      <c r="Q903" s="27"/>
      <c r="R903" s="34"/>
      <c r="S903" s="36"/>
      <c r="T903" s="34"/>
      <c r="U903" s="71"/>
      <c r="V903" s="36"/>
      <c r="W903" s="36"/>
      <c r="X903" s="36"/>
      <c r="Y903" s="27"/>
      <c r="AA903" s="9"/>
      <c r="AB903" s="72"/>
    </row>
    <row r="904" spans="6:28">
      <c r="F904" s="48"/>
      <c r="G904" s="32"/>
      <c r="H904" s="68"/>
      <c r="I904" s="36"/>
      <c r="J904" s="27"/>
      <c r="K904" s="27"/>
      <c r="L904" s="27"/>
      <c r="M904" s="27"/>
      <c r="N904" s="27"/>
      <c r="O904" s="64"/>
      <c r="P904" s="64"/>
      <c r="Q904" s="27"/>
      <c r="R904" s="34"/>
      <c r="S904" s="36"/>
      <c r="T904" s="34"/>
      <c r="U904" s="71"/>
      <c r="V904" s="36"/>
      <c r="W904" s="36"/>
      <c r="X904" s="36"/>
      <c r="Y904" s="27"/>
      <c r="AA904" s="9"/>
      <c r="AB904" s="72"/>
    </row>
    <row r="905" spans="6:28">
      <c r="F905" s="48"/>
      <c r="G905" s="32"/>
      <c r="H905" s="68"/>
      <c r="I905" s="36"/>
      <c r="J905" s="27"/>
      <c r="K905" s="27"/>
      <c r="L905" s="27"/>
      <c r="M905" s="27"/>
      <c r="N905" s="27"/>
      <c r="O905" s="64"/>
      <c r="P905" s="64"/>
      <c r="Q905" s="27"/>
      <c r="R905" s="34"/>
      <c r="S905" s="36"/>
      <c r="T905" s="34"/>
      <c r="U905" s="71"/>
      <c r="V905" s="36"/>
      <c r="W905" s="36"/>
      <c r="X905" s="36"/>
      <c r="Y905" s="27"/>
      <c r="AA905" s="9"/>
      <c r="AB905" s="72"/>
    </row>
    <row r="906" spans="6:28">
      <c r="F906" s="48"/>
      <c r="G906" s="32"/>
      <c r="H906" s="68"/>
      <c r="I906" s="36"/>
      <c r="J906" s="27"/>
      <c r="K906" s="27"/>
      <c r="L906" s="27"/>
      <c r="M906" s="27"/>
      <c r="N906" s="27"/>
      <c r="O906" s="64"/>
      <c r="P906" s="64"/>
      <c r="Q906" s="27"/>
      <c r="R906" s="34"/>
      <c r="S906" s="36"/>
      <c r="T906" s="34"/>
      <c r="U906" s="71"/>
      <c r="V906" s="36"/>
      <c r="W906" s="36"/>
      <c r="X906" s="36"/>
      <c r="Y906" s="27"/>
      <c r="AA906" s="9"/>
      <c r="AB906" s="72"/>
    </row>
    <row r="907" spans="6:28">
      <c r="F907" s="48"/>
      <c r="G907" s="32"/>
      <c r="H907" s="68"/>
      <c r="I907" s="36"/>
      <c r="J907" s="27"/>
      <c r="K907" s="27"/>
      <c r="L907" s="27"/>
      <c r="M907" s="27"/>
      <c r="N907" s="27"/>
      <c r="O907" s="64"/>
      <c r="P907" s="64"/>
      <c r="Q907" s="27"/>
      <c r="R907" s="34"/>
      <c r="S907" s="36"/>
      <c r="T907" s="34"/>
      <c r="U907" s="71"/>
      <c r="V907" s="36"/>
      <c r="W907" s="36"/>
      <c r="X907" s="36"/>
      <c r="Y907" s="27"/>
      <c r="AA907" s="9"/>
      <c r="AB907" s="72"/>
    </row>
    <row r="908" spans="6:28">
      <c r="F908" s="48"/>
      <c r="G908" s="32"/>
      <c r="H908" s="68"/>
      <c r="I908" s="36"/>
      <c r="J908" s="27"/>
      <c r="K908" s="27"/>
      <c r="L908" s="27"/>
      <c r="M908" s="27"/>
      <c r="N908" s="27"/>
      <c r="O908" s="64"/>
      <c r="P908" s="64"/>
      <c r="Q908" s="27"/>
      <c r="R908" s="34"/>
      <c r="S908" s="36"/>
      <c r="T908" s="34"/>
      <c r="U908" s="71"/>
      <c r="V908" s="36"/>
      <c r="W908" s="36"/>
      <c r="X908" s="36"/>
      <c r="Y908" s="27"/>
      <c r="AA908" s="9"/>
      <c r="AB908" s="72"/>
    </row>
    <row r="909" spans="6:28">
      <c r="F909" s="48"/>
      <c r="G909" s="32"/>
      <c r="H909" s="68"/>
      <c r="I909" s="36"/>
      <c r="J909" s="27"/>
      <c r="K909" s="27"/>
      <c r="L909" s="27"/>
      <c r="M909" s="27"/>
      <c r="N909" s="27"/>
      <c r="O909" s="64"/>
      <c r="P909" s="64"/>
      <c r="Q909" s="27"/>
      <c r="R909" s="34"/>
      <c r="S909" s="36"/>
      <c r="T909" s="34"/>
      <c r="U909" s="71"/>
      <c r="V909" s="36"/>
      <c r="W909" s="36"/>
      <c r="X909" s="36"/>
      <c r="Y909" s="27"/>
      <c r="AA909" s="9"/>
      <c r="AB909" s="72"/>
    </row>
    <row r="910" spans="6:28">
      <c r="F910" s="48"/>
      <c r="G910" s="32"/>
      <c r="H910" s="68"/>
      <c r="I910" s="36"/>
      <c r="J910" s="27"/>
      <c r="K910" s="27"/>
      <c r="L910" s="27"/>
      <c r="M910" s="27"/>
      <c r="N910" s="27"/>
      <c r="O910" s="64"/>
      <c r="P910" s="64"/>
      <c r="Q910" s="27"/>
      <c r="R910" s="34"/>
      <c r="S910" s="36"/>
      <c r="T910" s="34"/>
      <c r="U910" s="71"/>
      <c r="V910" s="36"/>
      <c r="W910" s="36"/>
      <c r="X910" s="36"/>
      <c r="Y910" s="27"/>
      <c r="AA910" s="9"/>
      <c r="AB910" s="72"/>
    </row>
    <row r="911" spans="6:28">
      <c r="F911" s="48"/>
      <c r="G911" s="32"/>
      <c r="H911" s="68"/>
      <c r="I911" s="36"/>
      <c r="J911" s="27"/>
      <c r="K911" s="27"/>
      <c r="L911" s="27"/>
      <c r="M911" s="27"/>
      <c r="N911" s="27"/>
      <c r="O911" s="64"/>
      <c r="P911" s="64"/>
      <c r="Q911" s="27"/>
      <c r="R911" s="34"/>
      <c r="S911" s="36"/>
      <c r="T911" s="34"/>
      <c r="U911" s="71"/>
      <c r="V911" s="36"/>
      <c r="W911" s="36"/>
      <c r="X911" s="36"/>
      <c r="Y911" s="27"/>
      <c r="AA911" s="9"/>
      <c r="AB911" s="72"/>
    </row>
    <row r="912" spans="6:28">
      <c r="F912" s="48"/>
      <c r="G912" s="32"/>
      <c r="H912" s="68"/>
      <c r="I912" s="36"/>
      <c r="J912" s="27"/>
      <c r="K912" s="27"/>
      <c r="L912" s="27"/>
      <c r="M912" s="27"/>
      <c r="N912" s="27"/>
      <c r="O912" s="64"/>
      <c r="P912" s="64"/>
      <c r="Q912" s="27"/>
      <c r="R912" s="34"/>
      <c r="S912" s="36"/>
      <c r="T912" s="34"/>
      <c r="U912" s="71"/>
      <c r="V912" s="36"/>
      <c r="W912" s="36"/>
      <c r="X912" s="36"/>
      <c r="Y912" s="27"/>
      <c r="AA912" s="9"/>
      <c r="AB912" s="72"/>
    </row>
    <row r="913" spans="6:28">
      <c r="F913" s="48"/>
      <c r="G913" s="32"/>
      <c r="H913" s="68"/>
      <c r="I913" s="36"/>
      <c r="J913" s="27"/>
      <c r="K913" s="27"/>
      <c r="L913" s="27"/>
      <c r="M913" s="27"/>
      <c r="N913" s="27"/>
      <c r="O913" s="64"/>
      <c r="P913" s="64"/>
      <c r="Q913" s="27"/>
      <c r="R913" s="34"/>
      <c r="S913" s="36"/>
      <c r="T913" s="34"/>
      <c r="U913" s="71"/>
      <c r="V913" s="36"/>
      <c r="W913" s="36"/>
      <c r="X913" s="36"/>
      <c r="Y913" s="27"/>
      <c r="AA913" s="9"/>
      <c r="AB913" s="72"/>
    </row>
    <row r="914" spans="6:28">
      <c r="F914" s="48"/>
      <c r="G914" s="32"/>
      <c r="H914" s="68"/>
      <c r="I914" s="36"/>
      <c r="J914" s="27"/>
      <c r="K914" s="27"/>
      <c r="L914" s="27"/>
      <c r="M914" s="27"/>
      <c r="N914" s="27"/>
      <c r="O914" s="64"/>
      <c r="P914" s="64"/>
      <c r="Q914" s="27"/>
      <c r="R914" s="34"/>
      <c r="S914" s="36"/>
      <c r="T914" s="34"/>
      <c r="U914" s="71"/>
      <c r="V914" s="36"/>
      <c r="W914" s="36"/>
      <c r="X914" s="36"/>
      <c r="Y914" s="27"/>
      <c r="AA914" s="9"/>
      <c r="AB914" s="72"/>
    </row>
    <row r="915" spans="6:28">
      <c r="F915" s="48"/>
      <c r="G915" s="32"/>
      <c r="H915" s="68"/>
      <c r="I915" s="36"/>
      <c r="J915" s="27"/>
      <c r="K915" s="27"/>
      <c r="L915" s="27"/>
      <c r="M915" s="27"/>
      <c r="N915" s="27"/>
      <c r="O915" s="64"/>
      <c r="P915" s="64"/>
      <c r="Q915" s="27"/>
      <c r="R915" s="34"/>
      <c r="S915" s="36"/>
      <c r="T915" s="34"/>
      <c r="U915" s="71"/>
      <c r="V915" s="36"/>
      <c r="W915" s="36"/>
      <c r="X915" s="36"/>
      <c r="Y915" s="27"/>
      <c r="AA915" s="9"/>
      <c r="AB915" s="72"/>
    </row>
    <row r="916" spans="6:28">
      <c r="F916" s="48"/>
      <c r="G916" s="32"/>
      <c r="H916" s="68"/>
      <c r="I916" s="36"/>
      <c r="J916" s="27"/>
      <c r="K916" s="27"/>
      <c r="L916" s="27"/>
      <c r="M916" s="27"/>
      <c r="N916" s="27"/>
      <c r="O916" s="64"/>
      <c r="P916" s="64"/>
      <c r="Q916" s="27"/>
      <c r="R916" s="34"/>
      <c r="S916" s="36"/>
      <c r="T916" s="34"/>
      <c r="U916" s="71"/>
      <c r="V916" s="36"/>
      <c r="W916" s="36"/>
      <c r="X916" s="36"/>
      <c r="Y916" s="27"/>
      <c r="AA916" s="9"/>
      <c r="AB916" s="72"/>
    </row>
    <row r="917" spans="6:28">
      <c r="F917" s="48"/>
      <c r="G917" s="32"/>
      <c r="H917" s="68"/>
      <c r="I917" s="36"/>
      <c r="J917" s="27"/>
      <c r="K917" s="27"/>
      <c r="L917" s="27"/>
      <c r="M917" s="27"/>
      <c r="N917" s="27"/>
      <c r="O917" s="64"/>
      <c r="P917" s="64"/>
      <c r="Q917" s="27"/>
      <c r="R917" s="34"/>
      <c r="S917" s="36"/>
      <c r="T917" s="34"/>
      <c r="U917" s="71"/>
      <c r="V917" s="36"/>
      <c r="W917" s="36"/>
      <c r="X917" s="36"/>
      <c r="Y917" s="27"/>
      <c r="AA917" s="9"/>
      <c r="AB917" s="72"/>
    </row>
    <row r="918" spans="6:28">
      <c r="F918" s="48"/>
      <c r="G918" s="32"/>
      <c r="H918" s="68"/>
      <c r="I918" s="36"/>
      <c r="J918" s="27"/>
      <c r="K918" s="27"/>
      <c r="L918" s="27"/>
      <c r="M918" s="27"/>
      <c r="N918" s="27"/>
      <c r="O918" s="64"/>
      <c r="P918" s="64"/>
      <c r="Q918" s="27"/>
      <c r="R918" s="34"/>
      <c r="S918" s="36"/>
      <c r="T918" s="34"/>
      <c r="U918" s="71"/>
      <c r="V918" s="36"/>
      <c r="W918" s="36"/>
      <c r="X918" s="36"/>
      <c r="Y918" s="27"/>
      <c r="AA918" s="9"/>
      <c r="AB918" s="72"/>
    </row>
    <row r="919" spans="6:28">
      <c r="F919" s="48"/>
      <c r="G919" s="32"/>
      <c r="H919" s="68"/>
      <c r="I919" s="36"/>
      <c r="J919" s="27"/>
      <c r="K919" s="27"/>
      <c r="L919" s="27"/>
      <c r="M919" s="27"/>
      <c r="N919" s="27"/>
      <c r="O919" s="64"/>
      <c r="P919" s="64"/>
      <c r="Q919" s="27"/>
      <c r="R919" s="34"/>
      <c r="S919" s="36"/>
      <c r="T919" s="34"/>
      <c r="U919" s="71"/>
      <c r="V919" s="36"/>
      <c r="W919" s="36"/>
      <c r="X919" s="36"/>
      <c r="Y919" s="27"/>
      <c r="AA919" s="9"/>
      <c r="AB919" s="72"/>
    </row>
    <row r="920" spans="6:28">
      <c r="F920" s="48"/>
      <c r="G920" s="32"/>
      <c r="H920" s="68"/>
      <c r="I920" s="36"/>
      <c r="J920" s="27"/>
      <c r="K920" s="27"/>
      <c r="L920" s="27"/>
      <c r="M920" s="27"/>
      <c r="N920" s="27"/>
      <c r="O920" s="64"/>
      <c r="P920" s="64"/>
      <c r="Q920" s="27"/>
      <c r="R920" s="34"/>
      <c r="S920" s="36"/>
      <c r="T920" s="34"/>
      <c r="U920" s="71"/>
      <c r="V920" s="36"/>
      <c r="W920" s="36"/>
      <c r="X920" s="36"/>
      <c r="Y920" s="27"/>
      <c r="AA920" s="9"/>
      <c r="AB920" s="72"/>
    </row>
    <row r="921" spans="6:28">
      <c r="F921" s="48"/>
      <c r="G921" s="32"/>
      <c r="H921" s="68"/>
      <c r="I921" s="36"/>
      <c r="J921" s="27"/>
      <c r="K921" s="27"/>
      <c r="L921" s="27"/>
      <c r="M921" s="27"/>
      <c r="N921" s="27"/>
      <c r="O921" s="64"/>
      <c r="P921" s="64"/>
      <c r="Q921" s="27"/>
      <c r="R921" s="34"/>
      <c r="S921" s="36"/>
      <c r="T921" s="34"/>
      <c r="U921" s="71"/>
      <c r="V921" s="36"/>
      <c r="W921" s="36"/>
      <c r="X921" s="36"/>
      <c r="Y921" s="27"/>
      <c r="AA921" s="9"/>
      <c r="AB921" s="72"/>
    </row>
    <row r="922" spans="6:28">
      <c r="F922" s="48"/>
      <c r="G922" s="32"/>
      <c r="H922" s="68"/>
      <c r="I922" s="36"/>
      <c r="J922" s="27"/>
      <c r="K922" s="27"/>
      <c r="L922" s="27"/>
      <c r="M922" s="27"/>
      <c r="N922" s="27"/>
      <c r="O922" s="64"/>
      <c r="P922" s="64"/>
      <c r="Q922" s="27"/>
      <c r="R922" s="34"/>
      <c r="S922" s="36"/>
      <c r="T922" s="34"/>
      <c r="U922" s="71"/>
      <c r="V922" s="36"/>
      <c r="W922" s="36"/>
      <c r="X922" s="36"/>
      <c r="Y922" s="27"/>
      <c r="AA922" s="9"/>
      <c r="AB922" s="72"/>
    </row>
    <row r="923" spans="6:28">
      <c r="F923" s="48"/>
      <c r="G923" s="32"/>
      <c r="H923" s="68"/>
      <c r="I923" s="36"/>
      <c r="J923" s="27"/>
      <c r="K923" s="27"/>
      <c r="L923" s="27"/>
      <c r="M923" s="27"/>
      <c r="N923" s="27"/>
      <c r="O923" s="64"/>
      <c r="P923" s="64"/>
      <c r="Q923" s="27"/>
      <c r="R923" s="34"/>
      <c r="S923" s="36"/>
      <c r="T923" s="34"/>
      <c r="U923" s="71"/>
      <c r="V923" s="36"/>
      <c r="W923" s="36"/>
      <c r="X923" s="36"/>
      <c r="Y923" s="27"/>
      <c r="AA923" s="9"/>
      <c r="AB923" s="72"/>
    </row>
    <row r="924" spans="6:28">
      <c r="F924" s="48"/>
      <c r="G924" s="32"/>
      <c r="H924" s="68"/>
      <c r="I924" s="36"/>
      <c r="J924" s="27"/>
      <c r="K924" s="27"/>
      <c r="L924" s="27"/>
      <c r="M924" s="27"/>
      <c r="N924" s="27"/>
      <c r="O924" s="64"/>
      <c r="P924" s="64"/>
      <c r="Q924" s="27"/>
      <c r="R924" s="34"/>
      <c r="S924" s="36"/>
      <c r="T924" s="34"/>
      <c r="U924" s="71"/>
      <c r="V924" s="36"/>
      <c r="W924" s="36"/>
      <c r="X924" s="36"/>
      <c r="Y924" s="27"/>
      <c r="AA924" s="9"/>
      <c r="AB924" s="72"/>
    </row>
    <row r="925" spans="6:28">
      <c r="F925" s="48"/>
      <c r="G925" s="32"/>
      <c r="H925" s="68"/>
      <c r="I925" s="36"/>
      <c r="J925" s="27"/>
      <c r="K925" s="27"/>
      <c r="L925" s="27"/>
      <c r="M925" s="27"/>
      <c r="N925" s="27"/>
      <c r="O925" s="64"/>
      <c r="P925" s="64"/>
      <c r="Q925" s="27"/>
      <c r="R925" s="34"/>
      <c r="S925" s="36"/>
      <c r="T925" s="34"/>
      <c r="U925" s="71"/>
      <c r="V925" s="36"/>
      <c r="W925" s="36"/>
      <c r="X925" s="36"/>
      <c r="Y925" s="27"/>
      <c r="AA925" s="9"/>
      <c r="AB925" s="72"/>
    </row>
    <row r="926" spans="6:28">
      <c r="F926" s="48"/>
      <c r="G926" s="32"/>
      <c r="H926" s="68"/>
      <c r="I926" s="36"/>
      <c r="J926" s="27"/>
      <c r="K926" s="27"/>
      <c r="L926" s="27"/>
      <c r="M926" s="27"/>
      <c r="N926" s="27"/>
      <c r="O926" s="64"/>
      <c r="P926" s="64"/>
      <c r="Q926" s="27"/>
      <c r="R926" s="34"/>
      <c r="S926" s="36"/>
      <c r="T926" s="34"/>
      <c r="U926" s="71"/>
      <c r="V926" s="36"/>
      <c r="W926" s="36"/>
      <c r="X926" s="36"/>
      <c r="Y926" s="27"/>
      <c r="AA926" s="9"/>
      <c r="AB926" s="72"/>
    </row>
    <row r="927" spans="6:28">
      <c r="F927" s="48"/>
      <c r="G927" s="32"/>
      <c r="H927" s="68"/>
      <c r="I927" s="36"/>
      <c r="J927" s="27"/>
      <c r="K927" s="27"/>
      <c r="L927" s="27"/>
      <c r="M927" s="27"/>
      <c r="N927" s="27"/>
      <c r="O927" s="64"/>
      <c r="P927" s="64"/>
      <c r="Q927" s="27"/>
      <c r="R927" s="34"/>
      <c r="S927" s="36"/>
      <c r="T927" s="34"/>
      <c r="U927" s="71"/>
      <c r="V927" s="36"/>
      <c r="W927" s="36"/>
      <c r="X927" s="36"/>
      <c r="Y927" s="27"/>
      <c r="AA927" s="9"/>
      <c r="AB927" s="72"/>
    </row>
    <row r="928" spans="6:28">
      <c r="F928" s="48"/>
      <c r="G928" s="32"/>
      <c r="H928" s="68"/>
      <c r="I928" s="36"/>
      <c r="J928" s="27"/>
      <c r="K928" s="27"/>
      <c r="L928" s="27"/>
      <c r="M928" s="27"/>
      <c r="N928" s="27"/>
      <c r="O928" s="64"/>
      <c r="P928" s="64"/>
      <c r="Q928" s="27"/>
      <c r="R928" s="34"/>
      <c r="S928" s="36"/>
      <c r="T928" s="34"/>
      <c r="U928" s="71"/>
      <c r="V928" s="36"/>
      <c r="W928" s="36"/>
      <c r="X928" s="36"/>
      <c r="Y928" s="27"/>
      <c r="AA928" s="9"/>
      <c r="AB928" s="72"/>
    </row>
    <row r="929" spans="6:28">
      <c r="F929" s="48"/>
      <c r="G929" s="32"/>
      <c r="H929" s="68"/>
      <c r="I929" s="36"/>
      <c r="J929" s="27"/>
      <c r="K929" s="27"/>
      <c r="L929" s="27"/>
      <c r="M929" s="27"/>
      <c r="N929" s="27"/>
      <c r="O929" s="64"/>
      <c r="P929" s="64"/>
      <c r="Q929" s="27"/>
      <c r="R929" s="34"/>
      <c r="S929" s="36"/>
      <c r="T929" s="34"/>
      <c r="U929" s="71"/>
      <c r="V929" s="36"/>
      <c r="W929" s="36"/>
      <c r="X929" s="36"/>
      <c r="Y929" s="27"/>
      <c r="AA929" s="9"/>
      <c r="AB929" s="72"/>
    </row>
    <row r="930" spans="6:28">
      <c r="F930" s="48"/>
      <c r="G930" s="32"/>
      <c r="H930" s="68"/>
      <c r="I930" s="36"/>
      <c r="J930" s="27"/>
      <c r="K930" s="27"/>
      <c r="L930" s="27"/>
      <c r="M930" s="27"/>
      <c r="N930" s="27"/>
      <c r="O930" s="64"/>
      <c r="P930" s="64"/>
      <c r="Q930" s="27"/>
      <c r="R930" s="34"/>
      <c r="S930" s="36"/>
      <c r="T930" s="34"/>
      <c r="U930" s="71"/>
      <c r="V930" s="36"/>
      <c r="W930" s="36"/>
      <c r="X930" s="36"/>
      <c r="Y930" s="27"/>
      <c r="AA930" s="9"/>
      <c r="AB930" s="72"/>
    </row>
    <row r="931" spans="6:28">
      <c r="F931" s="48"/>
      <c r="G931" s="32"/>
      <c r="H931" s="68"/>
      <c r="I931" s="36"/>
      <c r="J931" s="27"/>
      <c r="K931" s="27"/>
      <c r="L931" s="27"/>
      <c r="M931" s="27"/>
      <c r="N931" s="27"/>
      <c r="O931" s="64"/>
      <c r="P931" s="64"/>
      <c r="Q931" s="27"/>
      <c r="R931" s="34"/>
      <c r="S931" s="36"/>
      <c r="T931" s="34"/>
      <c r="U931" s="71"/>
      <c r="V931" s="36"/>
      <c r="W931" s="36"/>
      <c r="X931" s="36"/>
      <c r="Y931" s="27"/>
      <c r="AA931" s="9"/>
      <c r="AB931" s="72"/>
    </row>
    <row r="932" spans="6:28">
      <c r="F932" s="48"/>
      <c r="G932" s="32"/>
      <c r="H932" s="68"/>
      <c r="I932" s="36"/>
      <c r="J932" s="27"/>
      <c r="K932" s="27"/>
      <c r="L932" s="27"/>
      <c r="M932" s="27"/>
      <c r="N932" s="27"/>
      <c r="O932" s="64"/>
      <c r="P932" s="64"/>
      <c r="Q932" s="27"/>
      <c r="R932" s="34"/>
      <c r="S932" s="36"/>
      <c r="T932" s="34"/>
      <c r="U932" s="71"/>
      <c r="V932" s="36"/>
      <c r="W932" s="36"/>
      <c r="X932" s="36"/>
      <c r="Y932" s="27"/>
      <c r="AA932" s="9"/>
      <c r="AB932" s="72"/>
    </row>
    <row r="933" spans="6:28">
      <c r="F933" s="48"/>
      <c r="G933" s="32"/>
      <c r="H933" s="68"/>
      <c r="I933" s="36"/>
      <c r="J933" s="27"/>
      <c r="K933" s="27"/>
      <c r="L933" s="27"/>
      <c r="M933" s="27"/>
      <c r="N933" s="27"/>
      <c r="O933" s="64"/>
      <c r="P933" s="64"/>
      <c r="Q933" s="27"/>
      <c r="R933" s="34"/>
      <c r="S933" s="36"/>
      <c r="T933" s="34"/>
      <c r="U933" s="71"/>
      <c r="V933" s="36"/>
      <c r="W933" s="36"/>
      <c r="X933" s="36"/>
      <c r="Y933" s="27"/>
      <c r="AA933" s="9"/>
      <c r="AB933" s="72"/>
    </row>
    <row r="934" spans="6:28">
      <c r="F934" s="48"/>
      <c r="G934" s="32"/>
      <c r="H934" s="68"/>
      <c r="I934" s="36"/>
      <c r="J934" s="27"/>
      <c r="K934" s="27"/>
      <c r="L934" s="27"/>
      <c r="M934" s="27"/>
      <c r="N934" s="27"/>
      <c r="O934" s="64"/>
      <c r="P934" s="64"/>
      <c r="Q934" s="27"/>
      <c r="R934" s="34"/>
      <c r="S934" s="36"/>
      <c r="T934" s="34"/>
      <c r="U934" s="71"/>
      <c r="V934" s="36"/>
      <c r="W934" s="36"/>
      <c r="X934" s="36"/>
      <c r="Y934" s="27"/>
      <c r="AA934" s="9"/>
      <c r="AB934" s="72"/>
    </row>
    <row r="935" spans="6:28">
      <c r="F935" s="48"/>
      <c r="G935" s="32"/>
      <c r="H935" s="68"/>
      <c r="I935" s="36"/>
      <c r="J935" s="27"/>
      <c r="K935" s="27"/>
      <c r="L935" s="27"/>
      <c r="M935" s="27"/>
      <c r="N935" s="27"/>
      <c r="O935" s="64"/>
      <c r="P935" s="64"/>
      <c r="Q935" s="27"/>
      <c r="R935" s="34"/>
      <c r="S935" s="36"/>
      <c r="T935" s="34"/>
      <c r="U935" s="71"/>
      <c r="V935" s="36"/>
      <c r="W935" s="36"/>
      <c r="X935" s="36"/>
      <c r="Y935" s="27"/>
      <c r="AA935" s="9"/>
      <c r="AB935" s="72"/>
    </row>
    <row r="936" spans="6:28">
      <c r="F936" s="48"/>
      <c r="G936" s="32"/>
      <c r="H936" s="68"/>
      <c r="I936" s="36"/>
      <c r="J936" s="27"/>
      <c r="K936" s="27"/>
      <c r="L936" s="27"/>
      <c r="M936" s="27"/>
      <c r="N936" s="27"/>
      <c r="O936" s="64"/>
      <c r="P936" s="64"/>
      <c r="Q936" s="27"/>
      <c r="R936" s="34"/>
      <c r="S936" s="36"/>
      <c r="T936" s="34"/>
      <c r="U936" s="71"/>
      <c r="V936" s="36"/>
      <c r="W936" s="36"/>
      <c r="X936" s="36"/>
      <c r="Y936" s="27"/>
      <c r="AA936" s="9"/>
      <c r="AB936" s="72"/>
    </row>
    <row r="937" spans="6:28">
      <c r="F937" s="48"/>
      <c r="G937" s="32"/>
      <c r="H937" s="68"/>
      <c r="I937" s="36"/>
      <c r="J937" s="27"/>
      <c r="K937" s="27"/>
      <c r="L937" s="27"/>
      <c r="M937" s="27"/>
      <c r="N937" s="27"/>
      <c r="O937" s="64"/>
      <c r="P937" s="64"/>
      <c r="Q937" s="27"/>
      <c r="R937" s="34"/>
      <c r="S937" s="36"/>
      <c r="T937" s="34"/>
      <c r="U937" s="71"/>
      <c r="V937" s="36"/>
      <c r="W937" s="36"/>
      <c r="X937" s="36"/>
      <c r="Y937" s="27"/>
      <c r="AA937" s="9"/>
      <c r="AB937" s="72"/>
    </row>
    <row r="938" spans="6:28">
      <c r="F938" s="48"/>
      <c r="G938" s="32"/>
      <c r="H938" s="68"/>
      <c r="I938" s="36"/>
      <c r="J938" s="27"/>
      <c r="K938" s="27"/>
      <c r="L938" s="27"/>
      <c r="M938" s="27"/>
      <c r="N938" s="27"/>
      <c r="O938" s="64"/>
      <c r="P938" s="64"/>
      <c r="Q938" s="27"/>
      <c r="R938" s="34"/>
      <c r="S938" s="36"/>
      <c r="T938" s="34"/>
      <c r="U938" s="71"/>
      <c r="V938" s="36"/>
      <c r="W938" s="36"/>
      <c r="X938" s="36"/>
      <c r="Y938" s="27"/>
      <c r="AA938" s="9"/>
      <c r="AB938" s="72"/>
    </row>
    <row r="939" spans="6:28">
      <c r="F939" s="48"/>
      <c r="G939" s="32"/>
      <c r="H939" s="68"/>
      <c r="I939" s="36"/>
      <c r="J939" s="27"/>
      <c r="K939" s="27"/>
      <c r="L939" s="27"/>
      <c r="M939" s="27"/>
      <c r="N939" s="27"/>
      <c r="O939" s="64"/>
      <c r="P939" s="64"/>
      <c r="Q939" s="27"/>
      <c r="R939" s="34"/>
      <c r="S939" s="36"/>
      <c r="T939" s="34"/>
      <c r="U939" s="71"/>
      <c r="V939" s="36"/>
      <c r="W939" s="36"/>
      <c r="X939" s="36"/>
      <c r="Y939" s="27"/>
      <c r="AA939" s="9"/>
      <c r="AB939" s="72"/>
    </row>
    <row r="940" spans="6:28">
      <c r="F940" s="48"/>
      <c r="G940" s="32"/>
      <c r="H940" s="68"/>
      <c r="I940" s="36"/>
      <c r="J940" s="27"/>
      <c r="K940" s="27"/>
      <c r="L940" s="27"/>
      <c r="M940" s="27"/>
      <c r="N940" s="27"/>
      <c r="O940" s="64"/>
      <c r="P940" s="64"/>
      <c r="Q940" s="27"/>
      <c r="R940" s="34"/>
      <c r="S940" s="36"/>
      <c r="T940" s="34"/>
      <c r="U940" s="71"/>
      <c r="V940" s="36"/>
      <c r="W940" s="36"/>
      <c r="X940" s="36"/>
      <c r="Y940" s="27"/>
      <c r="AA940" s="9"/>
      <c r="AB940" s="72"/>
    </row>
    <row r="941" spans="6:28">
      <c r="F941" s="48"/>
      <c r="G941" s="32"/>
      <c r="H941" s="68"/>
      <c r="I941" s="36"/>
      <c r="J941" s="27"/>
      <c r="K941" s="27"/>
      <c r="L941" s="27"/>
      <c r="M941" s="27"/>
      <c r="N941" s="27"/>
      <c r="O941" s="64"/>
      <c r="P941" s="64"/>
      <c r="Q941" s="27"/>
      <c r="R941" s="34"/>
      <c r="S941" s="36"/>
      <c r="T941" s="34"/>
      <c r="U941" s="71"/>
      <c r="V941" s="36"/>
      <c r="W941" s="36"/>
      <c r="X941" s="36"/>
      <c r="Y941" s="27"/>
      <c r="AA941" s="9"/>
      <c r="AB941" s="72"/>
    </row>
    <row r="942" spans="6:28">
      <c r="F942" s="48"/>
      <c r="G942" s="32"/>
      <c r="H942" s="68"/>
      <c r="I942" s="36"/>
      <c r="J942" s="27"/>
      <c r="K942" s="27"/>
      <c r="L942" s="27"/>
      <c r="M942" s="27"/>
      <c r="N942" s="27"/>
      <c r="O942" s="64"/>
      <c r="P942" s="64"/>
      <c r="Q942" s="27"/>
      <c r="R942" s="34"/>
      <c r="S942" s="36"/>
      <c r="T942" s="34"/>
      <c r="U942" s="71"/>
      <c r="V942" s="36"/>
      <c r="W942" s="36"/>
      <c r="X942" s="36"/>
      <c r="Y942" s="27"/>
      <c r="AA942" s="9"/>
      <c r="AB942" s="72"/>
    </row>
    <row r="943" spans="6:28">
      <c r="F943" s="48"/>
      <c r="G943" s="32"/>
      <c r="H943" s="68"/>
      <c r="I943" s="36"/>
      <c r="J943" s="27"/>
      <c r="K943" s="27"/>
      <c r="L943" s="27"/>
      <c r="M943" s="27"/>
      <c r="N943" s="27"/>
      <c r="O943" s="64"/>
      <c r="P943" s="64"/>
      <c r="Q943" s="27"/>
      <c r="R943" s="34"/>
      <c r="S943" s="36"/>
      <c r="T943" s="34"/>
      <c r="U943" s="71"/>
      <c r="V943" s="36"/>
      <c r="W943" s="36"/>
      <c r="X943" s="36"/>
      <c r="Y943" s="27"/>
      <c r="AA943" s="9"/>
      <c r="AB943" s="72"/>
    </row>
    <row r="944" spans="6:28">
      <c r="F944" s="48"/>
      <c r="G944" s="32"/>
      <c r="H944" s="68"/>
      <c r="I944" s="36"/>
      <c r="J944" s="27"/>
      <c r="K944" s="27"/>
      <c r="L944" s="27"/>
      <c r="M944" s="27"/>
      <c r="N944" s="27"/>
      <c r="O944" s="64"/>
      <c r="P944" s="64"/>
      <c r="Q944" s="27"/>
      <c r="R944" s="34"/>
      <c r="S944" s="36"/>
      <c r="T944" s="34"/>
      <c r="U944" s="71"/>
      <c r="V944" s="36"/>
      <c r="W944" s="36"/>
      <c r="X944" s="36"/>
      <c r="Y944" s="27"/>
      <c r="AA944" s="9"/>
      <c r="AB944" s="72"/>
    </row>
    <row r="945" spans="6:28">
      <c r="F945" s="48"/>
      <c r="G945" s="32"/>
      <c r="H945" s="68"/>
      <c r="I945" s="36"/>
      <c r="J945" s="27"/>
      <c r="K945" s="27"/>
      <c r="L945" s="27"/>
      <c r="M945" s="27"/>
      <c r="N945" s="27"/>
      <c r="O945" s="64"/>
      <c r="P945" s="64"/>
      <c r="Q945" s="27"/>
      <c r="R945" s="34"/>
      <c r="S945" s="36"/>
      <c r="T945" s="34"/>
      <c r="U945" s="71"/>
      <c r="V945" s="36"/>
      <c r="W945" s="36"/>
      <c r="X945" s="36"/>
      <c r="Y945" s="27"/>
      <c r="AA945" s="9"/>
      <c r="AB945" s="72"/>
    </row>
    <row r="946" spans="6:28">
      <c r="F946" s="48"/>
      <c r="G946" s="32"/>
      <c r="H946" s="68"/>
      <c r="I946" s="36"/>
      <c r="J946" s="27"/>
      <c r="K946" s="27"/>
      <c r="L946" s="27"/>
      <c r="M946" s="27"/>
      <c r="N946" s="27"/>
      <c r="O946" s="64"/>
      <c r="P946" s="64"/>
      <c r="Q946" s="27"/>
      <c r="R946" s="34"/>
      <c r="S946" s="36"/>
      <c r="T946" s="34"/>
      <c r="U946" s="71"/>
      <c r="V946" s="36"/>
      <c r="W946" s="36"/>
      <c r="X946" s="36"/>
      <c r="Y946" s="27"/>
      <c r="AA946" s="9"/>
      <c r="AB946" s="72"/>
    </row>
    <row r="947" spans="6:28">
      <c r="F947" s="48"/>
      <c r="G947" s="32"/>
      <c r="H947" s="68"/>
      <c r="I947" s="36"/>
      <c r="J947" s="27"/>
      <c r="K947" s="27"/>
      <c r="L947" s="27"/>
      <c r="M947" s="27"/>
      <c r="N947" s="27"/>
      <c r="O947" s="64"/>
      <c r="P947" s="64"/>
      <c r="Q947" s="27"/>
      <c r="R947" s="34"/>
      <c r="S947" s="36"/>
      <c r="T947" s="34"/>
      <c r="U947" s="71"/>
      <c r="V947" s="36"/>
      <c r="W947" s="36"/>
      <c r="X947" s="36"/>
      <c r="Y947" s="27"/>
      <c r="AA947" s="9"/>
      <c r="AB947" s="72"/>
    </row>
    <row r="948" spans="6:28">
      <c r="F948" s="48"/>
      <c r="G948" s="32"/>
      <c r="H948" s="68"/>
      <c r="I948" s="36"/>
      <c r="J948" s="27"/>
      <c r="K948" s="27"/>
      <c r="L948" s="27"/>
      <c r="M948" s="27"/>
      <c r="N948" s="27"/>
      <c r="O948" s="64"/>
      <c r="P948" s="64"/>
      <c r="Q948" s="27"/>
      <c r="R948" s="34"/>
      <c r="S948" s="36"/>
      <c r="T948" s="34"/>
      <c r="U948" s="71"/>
      <c r="V948" s="36"/>
      <c r="W948" s="36"/>
      <c r="X948" s="36"/>
      <c r="Y948" s="27"/>
      <c r="AA948" s="9"/>
      <c r="AB948" s="72"/>
    </row>
    <row r="949" spans="6:28">
      <c r="F949" s="48"/>
      <c r="G949" s="32"/>
      <c r="H949" s="68"/>
      <c r="I949" s="36"/>
      <c r="J949" s="27"/>
      <c r="K949" s="27"/>
      <c r="L949" s="27"/>
      <c r="M949" s="27"/>
      <c r="N949" s="27"/>
      <c r="O949" s="64"/>
      <c r="P949" s="64"/>
      <c r="Q949" s="27"/>
      <c r="R949" s="34"/>
      <c r="S949" s="36"/>
      <c r="T949" s="34"/>
      <c r="U949" s="71"/>
      <c r="V949" s="36"/>
      <c r="W949" s="36"/>
      <c r="X949" s="36"/>
      <c r="Y949" s="27"/>
      <c r="AA949" s="9"/>
      <c r="AB949" s="72"/>
    </row>
    <row r="950" spans="6:28">
      <c r="F950" s="48"/>
      <c r="G950" s="32"/>
      <c r="H950" s="68"/>
      <c r="I950" s="36"/>
      <c r="J950" s="27"/>
      <c r="K950" s="27"/>
      <c r="L950" s="27"/>
      <c r="M950" s="27"/>
      <c r="N950" s="27"/>
      <c r="O950" s="64"/>
      <c r="P950" s="64"/>
      <c r="Q950" s="27"/>
      <c r="R950" s="34"/>
      <c r="S950" s="36"/>
      <c r="T950" s="34"/>
      <c r="U950" s="71"/>
      <c r="V950" s="36"/>
      <c r="W950" s="36"/>
      <c r="X950" s="36"/>
      <c r="Y950" s="27"/>
      <c r="AA950" s="9"/>
      <c r="AB950" s="72"/>
    </row>
    <row r="951" spans="6:28">
      <c r="F951" s="48"/>
      <c r="G951" s="32"/>
      <c r="H951" s="68"/>
      <c r="I951" s="36"/>
      <c r="J951" s="27"/>
      <c r="K951" s="27"/>
      <c r="L951" s="27"/>
      <c r="M951" s="27"/>
      <c r="N951" s="27"/>
      <c r="O951" s="64"/>
      <c r="P951" s="64"/>
      <c r="Q951" s="27"/>
      <c r="R951" s="34"/>
      <c r="S951" s="36"/>
      <c r="T951" s="34"/>
      <c r="U951" s="71"/>
      <c r="V951" s="36"/>
      <c r="W951" s="36"/>
      <c r="X951" s="36"/>
      <c r="Y951" s="27"/>
      <c r="AA951" s="9"/>
      <c r="AB951" s="72"/>
    </row>
    <row r="952" spans="6:28">
      <c r="F952" s="48"/>
      <c r="G952" s="32"/>
      <c r="H952" s="68"/>
      <c r="I952" s="36"/>
      <c r="J952" s="27"/>
      <c r="K952" s="27"/>
      <c r="L952" s="27"/>
      <c r="M952" s="27"/>
      <c r="N952" s="27"/>
      <c r="O952" s="64"/>
      <c r="P952" s="64"/>
      <c r="Q952" s="27"/>
      <c r="R952" s="34"/>
      <c r="S952" s="36"/>
      <c r="T952" s="34"/>
      <c r="U952" s="71"/>
      <c r="V952" s="36"/>
      <c r="W952" s="36"/>
      <c r="X952" s="36"/>
      <c r="Y952" s="27"/>
      <c r="AA952" s="9"/>
      <c r="AB952" s="72"/>
    </row>
    <row r="953" spans="6:28">
      <c r="F953" s="48"/>
      <c r="G953" s="32"/>
      <c r="H953" s="68"/>
      <c r="I953" s="36"/>
      <c r="J953" s="27"/>
      <c r="K953" s="27"/>
      <c r="L953" s="27"/>
      <c r="M953" s="27"/>
      <c r="N953" s="27"/>
      <c r="O953" s="64"/>
      <c r="P953" s="64"/>
      <c r="Q953" s="27"/>
      <c r="R953" s="34"/>
      <c r="S953" s="36"/>
      <c r="T953" s="34"/>
      <c r="U953" s="71"/>
      <c r="V953" s="36"/>
      <c r="W953" s="36"/>
      <c r="X953" s="36"/>
      <c r="Y953" s="27"/>
      <c r="AA953" s="9"/>
      <c r="AB953" s="72"/>
    </row>
    <row r="954" spans="6:28">
      <c r="F954" s="48"/>
      <c r="G954" s="32"/>
      <c r="H954" s="68"/>
      <c r="I954" s="36"/>
      <c r="J954" s="27"/>
      <c r="K954" s="27"/>
      <c r="L954" s="27"/>
      <c r="M954" s="27"/>
      <c r="N954" s="27"/>
      <c r="O954" s="64"/>
      <c r="P954" s="64"/>
      <c r="Q954" s="27"/>
      <c r="R954" s="34"/>
      <c r="S954" s="36"/>
      <c r="T954" s="34"/>
      <c r="U954" s="71"/>
      <c r="V954" s="36"/>
      <c r="W954" s="36"/>
      <c r="X954" s="36"/>
      <c r="Y954" s="27"/>
      <c r="AA954" s="9"/>
      <c r="AB954" s="72"/>
    </row>
    <row r="955" spans="6:28">
      <c r="F955" s="48"/>
      <c r="G955" s="32"/>
      <c r="H955" s="68"/>
      <c r="I955" s="36"/>
      <c r="J955" s="27"/>
      <c r="K955" s="27"/>
      <c r="L955" s="27"/>
      <c r="M955" s="27"/>
      <c r="N955" s="27"/>
      <c r="O955" s="64"/>
      <c r="P955" s="64"/>
      <c r="Q955" s="27"/>
      <c r="R955" s="34"/>
      <c r="S955" s="36"/>
      <c r="T955" s="34"/>
      <c r="U955" s="71"/>
      <c r="V955" s="36"/>
      <c r="W955" s="36"/>
      <c r="X955" s="36"/>
      <c r="Y955" s="27"/>
      <c r="AA955" s="9"/>
      <c r="AB955" s="72"/>
    </row>
    <row r="956" spans="6:28">
      <c r="F956" s="48"/>
      <c r="G956" s="32"/>
      <c r="H956" s="68"/>
      <c r="I956" s="36"/>
      <c r="J956" s="27"/>
      <c r="K956" s="27"/>
      <c r="L956" s="27"/>
      <c r="M956" s="27"/>
      <c r="N956" s="27"/>
      <c r="O956" s="64"/>
      <c r="P956" s="64"/>
      <c r="Q956" s="27"/>
      <c r="R956" s="34"/>
      <c r="S956" s="36"/>
      <c r="T956" s="34"/>
      <c r="U956" s="71"/>
      <c r="V956" s="36"/>
      <c r="W956" s="36"/>
      <c r="X956" s="36"/>
      <c r="Y956" s="27"/>
      <c r="AA956" s="9"/>
      <c r="AB956" s="72"/>
    </row>
    <row r="957" spans="6:28">
      <c r="F957" s="48"/>
      <c r="G957" s="32"/>
      <c r="H957" s="68"/>
      <c r="I957" s="36"/>
      <c r="J957" s="27"/>
      <c r="K957" s="27"/>
      <c r="L957" s="27"/>
      <c r="M957" s="27"/>
      <c r="N957" s="27"/>
      <c r="O957" s="64"/>
      <c r="P957" s="64"/>
      <c r="Q957" s="27"/>
      <c r="R957" s="34"/>
      <c r="S957" s="36"/>
      <c r="T957" s="34"/>
      <c r="U957" s="71"/>
      <c r="V957" s="36"/>
      <c r="W957" s="36"/>
      <c r="X957" s="36"/>
      <c r="Y957" s="27"/>
      <c r="AA957" s="9"/>
      <c r="AB957" s="72"/>
    </row>
    <row r="958" spans="6:28">
      <c r="F958" s="48"/>
      <c r="G958" s="32"/>
      <c r="H958" s="68"/>
      <c r="I958" s="36"/>
      <c r="J958" s="27"/>
      <c r="K958" s="27"/>
      <c r="L958" s="27"/>
      <c r="M958" s="27"/>
      <c r="N958" s="27"/>
      <c r="O958" s="64"/>
      <c r="P958" s="64"/>
      <c r="Q958" s="27"/>
      <c r="R958" s="34"/>
      <c r="S958" s="36"/>
      <c r="T958" s="34"/>
      <c r="U958" s="71"/>
      <c r="V958" s="36"/>
      <c r="W958" s="36"/>
      <c r="X958" s="36"/>
      <c r="Y958" s="27"/>
      <c r="AA958" s="9"/>
      <c r="AB958" s="72"/>
    </row>
    <row r="959" spans="6:28">
      <c r="F959" s="48"/>
      <c r="G959" s="32"/>
      <c r="H959" s="68"/>
      <c r="I959" s="36"/>
      <c r="J959" s="27"/>
      <c r="K959" s="27"/>
      <c r="L959" s="27"/>
      <c r="M959" s="27"/>
      <c r="N959" s="27"/>
      <c r="O959" s="64"/>
      <c r="P959" s="64"/>
      <c r="Q959" s="27"/>
      <c r="R959" s="34"/>
      <c r="S959" s="36"/>
      <c r="T959" s="34"/>
      <c r="U959" s="71"/>
      <c r="V959" s="36"/>
      <c r="W959" s="36"/>
      <c r="X959" s="36"/>
      <c r="Y959" s="27"/>
      <c r="AA959" s="9"/>
      <c r="AB959" s="72"/>
    </row>
    <row r="960" spans="6:28">
      <c r="F960" s="48"/>
      <c r="G960" s="32"/>
      <c r="H960" s="68"/>
      <c r="I960" s="36"/>
      <c r="J960" s="27"/>
      <c r="K960" s="27"/>
      <c r="L960" s="27"/>
      <c r="M960" s="27"/>
      <c r="N960" s="27"/>
      <c r="O960" s="64"/>
      <c r="P960" s="64"/>
      <c r="Q960" s="27"/>
      <c r="R960" s="34"/>
      <c r="S960" s="36"/>
      <c r="T960" s="34"/>
      <c r="U960" s="71"/>
      <c r="V960" s="36"/>
      <c r="W960" s="36"/>
      <c r="X960" s="36"/>
      <c r="Y960" s="27"/>
      <c r="AA960" s="9"/>
      <c r="AB960" s="72"/>
    </row>
    <row r="961" spans="6:28">
      <c r="F961" s="48"/>
      <c r="G961" s="32"/>
      <c r="H961" s="68"/>
      <c r="I961" s="36"/>
      <c r="J961" s="27"/>
      <c r="K961" s="27"/>
      <c r="L961" s="27"/>
      <c r="M961" s="27"/>
      <c r="N961" s="27"/>
      <c r="O961" s="64"/>
      <c r="P961" s="64"/>
      <c r="Q961" s="27"/>
      <c r="R961" s="34"/>
      <c r="S961" s="36"/>
      <c r="T961" s="34"/>
      <c r="U961" s="71"/>
      <c r="V961" s="36"/>
      <c r="W961" s="36"/>
      <c r="X961" s="36"/>
      <c r="Y961" s="27"/>
      <c r="AA961" s="9"/>
      <c r="AB961" s="72"/>
    </row>
    <row r="962" spans="6:28">
      <c r="F962" s="48"/>
      <c r="G962" s="32"/>
      <c r="H962" s="68"/>
      <c r="I962" s="36"/>
      <c r="J962" s="27"/>
      <c r="K962" s="27"/>
      <c r="L962" s="27"/>
      <c r="M962" s="27"/>
      <c r="N962" s="27"/>
      <c r="O962" s="64"/>
      <c r="P962" s="64"/>
      <c r="Q962" s="27"/>
      <c r="R962" s="34"/>
      <c r="S962" s="36"/>
      <c r="T962" s="34"/>
      <c r="U962" s="71"/>
      <c r="V962" s="36"/>
      <c r="W962" s="36"/>
      <c r="X962" s="36"/>
      <c r="Y962" s="27"/>
      <c r="AA962" s="9"/>
      <c r="AB962" s="72"/>
    </row>
    <row r="963" spans="6:28">
      <c r="F963" s="48"/>
      <c r="G963" s="32"/>
      <c r="H963" s="68"/>
      <c r="I963" s="36"/>
      <c r="J963" s="27"/>
      <c r="K963" s="27"/>
      <c r="L963" s="27"/>
      <c r="M963" s="27"/>
      <c r="N963" s="27"/>
      <c r="O963" s="64"/>
      <c r="P963" s="64"/>
      <c r="Q963" s="27"/>
      <c r="R963" s="34"/>
      <c r="S963" s="36"/>
      <c r="T963" s="34"/>
      <c r="U963" s="71"/>
      <c r="V963" s="36"/>
      <c r="W963" s="36"/>
      <c r="X963" s="36"/>
      <c r="Y963" s="27"/>
      <c r="AA963" s="9"/>
      <c r="AB963" s="72"/>
    </row>
    <row r="964" spans="6:28">
      <c r="F964" s="48"/>
      <c r="G964" s="32"/>
      <c r="H964" s="68"/>
      <c r="I964" s="36"/>
      <c r="J964" s="27"/>
      <c r="K964" s="27"/>
      <c r="L964" s="27"/>
      <c r="M964" s="27"/>
      <c r="N964" s="27"/>
      <c r="O964" s="64"/>
      <c r="P964" s="64"/>
      <c r="Q964" s="27"/>
      <c r="R964" s="34"/>
      <c r="S964" s="36"/>
      <c r="T964" s="34"/>
      <c r="U964" s="71"/>
      <c r="V964" s="36"/>
      <c r="W964" s="36"/>
      <c r="X964" s="36"/>
      <c r="Y964" s="27"/>
      <c r="AA964" s="9"/>
      <c r="AB964" s="72"/>
    </row>
    <row r="965" spans="6:28">
      <c r="F965" s="48"/>
      <c r="G965" s="32"/>
      <c r="H965" s="68"/>
      <c r="I965" s="36"/>
      <c r="J965" s="27"/>
      <c r="K965" s="27"/>
      <c r="L965" s="27"/>
      <c r="M965" s="27"/>
      <c r="N965" s="27"/>
      <c r="O965" s="64"/>
      <c r="P965" s="64"/>
      <c r="Q965" s="27"/>
      <c r="R965" s="34"/>
      <c r="S965" s="36"/>
      <c r="T965" s="34"/>
      <c r="U965" s="71"/>
      <c r="V965" s="36"/>
      <c r="W965" s="36"/>
      <c r="X965" s="36"/>
      <c r="Y965" s="27"/>
      <c r="AA965" s="9"/>
      <c r="AB965" s="72"/>
    </row>
    <row r="966" spans="6:28">
      <c r="F966" s="48"/>
      <c r="G966" s="32"/>
      <c r="H966" s="68"/>
      <c r="I966" s="36"/>
      <c r="J966" s="27"/>
      <c r="K966" s="27"/>
      <c r="L966" s="27"/>
      <c r="M966" s="27"/>
      <c r="N966" s="27"/>
      <c r="O966" s="64"/>
      <c r="P966" s="64"/>
      <c r="Q966" s="27"/>
      <c r="R966" s="34"/>
      <c r="S966" s="36"/>
      <c r="T966" s="34"/>
      <c r="U966" s="71"/>
      <c r="V966" s="36"/>
      <c r="W966" s="36"/>
      <c r="X966" s="36"/>
      <c r="Y966" s="27"/>
      <c r="AA966" s="9"/>
      <c r="AB966" s="72"/>
    </row>
    <row r="967" spans="6:28">
      <c r="F967" s="48"/>
      <c r="G967" s="32"/>
      <c r="H967" s="68"/>
      <c r="I967" s="36"/>
      <c r="J967" s="27"/>
      <c r="K967" s="27"/>
      <c r="L967" s="27"/>
      <c r="M967" s="27"/>
      <c r="N967" s="27"/>
      <c r="O967" s="64"/>
      <c r="P967" s="64"/>
      <c r="Q967" s="27"/>
      <c r="R967" s="34"/>
      <c r="S967" s="36"/>
      <c r="T967" s="34"/>
      <c r="U967" s="71"/>
      <c r="V967" s="36"/>
      <c r="W967" s="36"/>
      <c r="X967" s="36"/>
      <c r="Y967" s="27"/>
      <c r="AA967" s="9"/>
      <c r="AB967" s="72"/>
    </row>
    <row r="968" spans="6:28">
      <c r="F968" s="48"/>
      <c r="G968" s="32"/>
      <c r="H968" s="68"/>
      <c r="I968" s="36"/>
      <c r="J968" s="27"/>
      <c r="K968" s="27"/>
      <c r="L968" s="27"/>
      <c r="M968" s="27"/>
      <c r="N968" s="27"/>
      <c r="O968" s="64"/>
      <c r="P968" s="64"/>
      <c r="Q968" s="27"/>
      <c r="R968" s="34"/>
      <c r="S968" s="36"/>
      <c r="T968" s="34"/>
      <c r="U968" s="71"/>
      <c r="V968" s="36"/>
      <c r="W968" s="36"/>
      <c r="X968" s="36"/>
      <c r="Y968" s="27"/>
      <c r="AA968" s="9"/>
      <c r="AB968" s="72"/>
    </row>
    <row r="969" spans="6:28">
      <c r="F969" s="48"/>
      <c r="G969" s="32"/>
      <c r="H969" s="68"/>
      <c r="I969" s="36"/>
      <c r="J969" s="27"/>
      <c r="K969" s="27"/>
      <c r="L969" s="27"/>
      <c r="M969" s="27"/>
      <c r="N969" s="27"/>
      <c r="O969" s="64"/>
      <c r="P969" s="64"/>
      <c r="Q969" s="27"/>
      <c r="R969" s="34"/>
      <c r="S969" s="36"/>
      <c r="T969" s="34"/>
      <c r="U969" s="71"/>
      <c r="V969" s="36"/>
      <c r="W969" s="36"/>
      <c r="X969" s="36"/>
      <c r="Y969" s="27"/>
      <c r="AA969" s="9"/>
      <c r="AB969" s="72"/>
    </row>
    <row r="970" spans="6:28">
      <c r="F970" s="48"/>
      <c r="G970" s="32"/>
      <c r="H970" s="68"/>
      <c r="I970" s="36"/>
      <c r="J970" s="27"/>
      <c r="K970" s="27"/>
      <c r="L970" s="27"/>
      <c r="M970" s="27"/>
      <c r="N970" s="27"/>
      <c r="O970" s="64"/>
      <c r="P970" s="64"/>
      <c r="Q970" s="27"/>
      <c r="R970" s="34"/>
      <c r="S970" s="36"/>
      <c r="T970" s="34"/>
      <c r="U970" s="71"/>
      <c r="V970" s="36"/>
      <c r="W970" s="36"/>
      <c r="X970" s="36"/>
      <c r="Y970" s="27"/>
      <c r="AA970" s="9"/>
      <c r="AB970" s="72"/>
    </row>
    <row r="971" spans="6:28">
      <c r="F971" s="48"/>
      <c r="G971" s="32"/>
      <c r="H971" s="68"/>
      <c r="I971" s="36"/>
      <c r="J971" s="27"/>
      <c r="K971" s="27"/>
      <c r="L971" s="27"/>
      <c r="M971" s="27"/>
      <c r="N971" s="27"/>
      <c r="O971" s="64"/>
      <c r="P971" s="64"/>
      <c r="Q971" s="27"/>
      <c r="R971" s="34"/>
      <c r="S971" s="36"/>
      <c r="T971" s="34"/>
      <c r="U971" s="71"/>
      <c r="V971" s="36"/>
      <c r="W971" s="36"/>
      <c r="X971" s="36"/>
      <c r="Y971" s="27"/>
      <c r="AA971" s="9"/>
      <c r="AB971" s="72"/>
    </row>
    <row r="972" spans="6:28">
      <c r="F972" s="48"/>
      <c r="G972" s="32"/>
      <c r="H972" s="68"/>
      <c r="I972" s="36"/>
      <c r="J972" s="27"/>
      <c r="K972" s="27"/>
      <c r="L972" s="27"/>
      <c r="M972" s="27"/>
      <c r="N972" s="27"/>
      <c r="O972" s="64"/>
      <c r="P972" s="64"/>
      <c r="Q972" s="27"/>
      <c r="R972" s="34"/>
      <c r="S972" s="36"/>
      <c r="T972" s="34"/>
      <c r="U972" s="71"/>
      <c r="V972" s="36"/>
      <c r="W972" s="36"/>
      <c r="X972" s="36"/>
      <c r="Y972" s="27"/>
      <c r="AA972" s="9"/>
      <c r="AB972" s="72"/>
    </row>
    <row r="973" spans="6:28">
      <c r="F973" s="48"/>
      <c r="G973" s="32"/>
      <c r="H973" s="68"/>
      <c r="I973" s="36"/>
      <c r="J973" s="27"/>
      <c r="K973" s="27"/>
      <c r="L973" s="27"/>
      <c r="M973" s="27"/>
      <c r="N973" s="27"/>
      <c r="O973" s="64"/>
      <c r="P973" s="64"/>
      <c r="Q973" s="27"/>
      <c r="R973" s="34"/>
      <c r="S973" s="36"/>
      <c r="T973" s="34"/>
      <c r="U973" s="71"/>
      <c r="V973" s="36"/>
      <c r="W973" s="36"/>
      <c r="X973" s="36"/>
      <c r="Y973" s="27"/>
      <c r="AA973" s="9"/>
      <c r="AB973" s="72"/>
    </row>
    <row r="974" spans="6:28">
      <c r="F974" s="48"/>
      <c r="G974" s="32"/>
      <c r="H974" s="68"/>
      <c r="I974" s="36"/>
      <c r="J974" s="27"/>
      <c r="K974" s="27"/>
      <c r="L974" s="27"/>
      <c r="M974" s="27"/>
      <c r="N974" s="27"/>
      <c r="O974" s="64"/>
      <c r="P974" s="64"/>
      <c r="Q974" s="27"/>
      <c r="R974" s="34"/>
      <c r="S974" s="36"/>
      <c r="T974" s="34"/>
      <c r="U974" s="71"/>
      <c r="V974" s="36"/>
      <c r="W974" s="36"/>
      <c r="X974" s="36"/>
      <c r="Y974" s="27"/>
      <c r="AA974" s="9"/>
      <c r="AB974" s="72"/>
    </row>
    <row r="975" spans="6:28">
      <c r="F975" s="48"/>
      <c r="G975" s="32"/>
      <c r="H975" s="68"/>
      <c r="I975" s="36"/>
      <c r="J975" s="27"/>
      <c r="K975" s="27"/>
      <c r="L975" s="27"/>
      <c r="M975" s="27"/>
      <c r="N975" s="27"/>
      <c r="O975" s="64"/>
      <c r="P975" s="64"/>
      <c r="Q975" s="27"/>
      <c r="R975" s="34"/>
      <c r="S975" s="36"/>
      <c r="T975" s="34"/>
      <c r="U975" s="71"/>
      <c r="V975" s="36"/>
      <c r="W975" s="36"/>
      <c r="X975" s="36"/>
      <c r="Y975" s="27"/>
      <c r="AA975" s="9"/>
      <c r="AB975" s="72"/>
    </row>
    <row r="976" spans="6:28">
      <c r="F976" s="48"/>
      <c r="G976" s="32"/>
      <c r="H976" s="68"/>
      <c r="I976" s="36"/>
      <c r="J976" s="27"/>
      <c r="K976" s="27"/>
      <c r="L976" s="27"/>
      <c r="M976" s="27"/>
      <c r="N976" s="27"/>
      <c r="O976" s="64"/>
      <c r="P976" s="64"/>
      <c r="Q976" s="27"/>
      <c r="R976" s="34"/>
      <c r="S976" s="36"/>
      <c r="T976" s="34"/>
      <c r="U976" s="71"/>
      <c r="V976" s="36"/>
      <c r="W976" s="36"/>
      <c r="X976" s="36"/>
      <c r="Y976" s="27"/>
      <c r="AA976" s="9"/>
      <c r="AB976" s="72"/>
    </row>
    <row r="977" spans="6:28">
      <c r="F977" s="48"/>
      <c r="G977" s="32"/>
      <c r="H977" s="68"/>
      <c r="I977" s="36"/>
      <c r="J977" s="27"/>
      <c r="K977" s="27"/>
      <c r="L977" s="27"/>
      <c r="M977" s="27"/>
      <c r="N977" s="27"/>
      <c r="O977" s="64"/>
      <c r="P977" s="64"/>
      <c r="Q977" s="27"/>
      <c r="R977" s="34"/>
      <c r="S977" s="36"/>
      <c r="T977" s="34"/>
      <c r="U977" s="71"/>
      <c r="V977" s="36"/>
      <c r="W977" s="36"/>
      <c r="X977" s="36"/>
      <c r="Y977" s="27"/>
      <c r="AA977" s="9"/>
      <c r="AB977" s="72"/>
    </row>
    <row r="978" spans="6:28">
      <c r="F978" s="48"/>
      <c r="G978" s="32"/>
      <c r="H978" s="68"/>
      <c r="I978" s="36"/>
      <c r="J978" s="27"/>
      <c r="K978" s="27"/>
      <c r="L978" s="27"/>
      <c r="M978" s="27"/>
      <c r="N978" s="27"/>
      <c r="O978" s="64"/>
      <c r="P978" s="64"/>
      <c r="Q978" s="27"/>
      <c r="R978" s="34"/>
      <c r="S978" s="36"/>
      <c r="T978" s="34"/>
      <c r="U978" s="71"/>
      <c r="V978" s="36"/>
      <c r="W978" s="36"/>
      <c r="X978" s="36"/>
      <c r="Y978" s="27"/>
      <c r="AA978" s="9"/>
      <c r="AB978" s="72"/>
    </row>
    <row r="979" spans="6:28">
      <c r="F979" s="48"/>
      <c r="G979" s="32"/>
      <c r="H979" s="68"/>
      <c r="I979" s="36"/>
      <c r="J979" s="27"/>
      <c r="K979" s="27"/>
      <c r="L979" s="27"/>
      <c r="M979" s="27"/>
      <c r="N979" s="27"/>
      <c r="O979" s="64"/>
      <c r="P979" s="64"/>
      <c r="Q979" s="27"/>
      <c r="R979" s="34"/>
      <c r="S979" s="36"/>
      <c r="T979" s="34"/>
      <c r="U979" s="71"/>
      <c r="V979" s="36"/>
      <c r="W979" s="36"/>
      <c r="X979" s="36"/>
      <c r="Y979" s="27"/>
      <c r="AA979" s="9"/>
      <c r="AB979" s="72"/>
    </row>
    <row r="980" spans="6:28">
      <c r="F980" s="48"/>
      <c r="G980" s="32"/>
      <c r="H980" s="68"/>
      <c r="I980" s="36"/>
      <c r="J980" s="27"/>
      <c r="K980" s="27"/>
      <c r="L980" s="27"/>
      <c r="M980" s="27"/>
      <c r="N980" s="27"/>
      <c r="O980" s="64"/>
      <c r="P980" s="64"/>
      <c r="Q980" s="27"/>
      <c r="R980" s="34"/>
      <c r="S980" s="36"/>
      <c r="T980" s="34"/>
      <c r="U980" s="71"/>
      <c r="V980" s="36"/>
      <c r="W980" s="36"/>
      <c r="X980" s="36"/>
      <c r="Y980" s="27"/>
      <c r="AA980" s="9"/>
      <c r="AB980" s="72"/>
    </row>
    <row r="981" spans="6:28">
      <c r="F981" s="48"/>
      <c r="G981" s="32"/>
      <c r="H981" s="68"/>
      <c r="I981" s="36"/>
      <c r="J981" s="27"/>
      <c r="K981" s="27"/>
      <c r="L981" s="27"/>
      <c r="M981" s="27"/>
      <c r="N981" s="27"/>
      <c r="O981" s="64"/>
      <c r="P981" s="64"/>
      <c r="Q981" s="27"/>
      <c r="R981" s="34"/>
      <c r="S981" s="36"/>
      <c r="T981" s="34"/>
      <c r="U981" s="71"/>
      <c r="V981" s="36"/>
      <c r="W981" s="36"/>
      <c r="X981" s="36"/>
      <c r="Y981" s="27"/>
      <c r="AA981" s="9"/>
      <c r="AB981" s="72"/>
    </row>
    <row r="982" spans="6:28">
      <c r="F982" s="48"/>
      <c r="G982" s="32"/>
      <c r="H982" s="68"/>
      <c r="I982" s="36"/>
      <c r="J982" s="27"/>
      <c r="K982" s="27"/>
      <c r="L982" s="27"/>
      <c r="M982" s="27"/>
      <c r="N982" s="27"/>
      <c r="O982" s="64"/>
      <c r="P982" s="64"/>
      <c r="Q982" s="27"/>
      <c r="R982" s="34"/>
      <c r="S982" s="36"/>
      <c r="T982" s="34"/>
      <c r="U982" s="71"/>
      <c r="V982" s="36"/>
      <c r="W982" s="36"/>
      <c r="X982" s="36"/>
      <c r="Y982" s="27"/>
      <c r="AA982" s="9"/>
      <c r="AB982" s="72"/>
    </row>
    <row r="983" spans="6:28">
      <c r="F983" s="48"/>
      <c r="G983" s="32"/>
      <c r="H983" s="68"/>
      <c r="I983" s="36"/>
      <c r="J983" s="27"/>
      <c r="K983" s="27"/>
      <c r="L983" s="27"/>
      <c r="M983" s="27"/>
      <c r="N983" s="27"/>
      <c r="O983" s="64"/>
      <c r="P983" s="64"/>
      <c r="Q983" s="27"/>
      <c r="R983" s="34"/>
      <c r="S983" s="36"/>
      <c r="T983" s="34"/>
      <c r="U983" s="71"/>
      <c r="V983" s="36"/>
      <c r="W983" s="36"/>
      <c r="X983" s="36"/>
      <c r="Y983" s="27"/>
      <c r="AA983" s="9"/>
      <c r="AB983" s="72"/>
    </row>
    <row r="984" spans="6:28">
      <c r="F984" s="48"/>
      <c r="G984" s="32"/>
      <c r="H984" s="68"/>
      <c r="I984" s="36"/>
      <c r="J984" s="27"/>
      <c r="K984" s="27"/>
      <c r="L984" s="27"/>
      <c r="M984" s="27"/>
      <c r="N984" s="27"/>
      <c r="O984" s="64"/>
      <c r="P984" s="64"/>
      <c r="Q984" s="27"/>
      <c r="R984" s="34"/>
      <c r="S984" s="36"/>
      <c r="T984" s="34"/>
      <c r="U984" s="71"/>
      <c r="V984" s="36"/>
      <c r="W984" s="36"/>
      <c r="X984" s="36"/>
      <c r="Y984" s="27"/>
      <c r="AA984" s="9"/>
      <c r="AB984" s="72"/>
    </row>
    <row r="985" spans="6:28">
      <c r="F985" s="48"/>
      <c r="G985" s="32"/>
      <c r="H985" s="68"/>
      <c r="I985" s="36"/>
      <c r="J985" s="27"/>
      <c r="K985" s="27"/>
      <c r="L985" s="27"/>
      <c r="M985" s="27"/>
      <c r="N985" s="27"/>
      <c r="O985" s="64"/>
      <c r="P985" s="64"/>
      <c r="Q985" s="27"/>
      <c r="R985" s="34"/>
      <c r="S985" s="36"/>
      <c r="T985" s="34"/>
      <c r="U985" s="71"/>
      <c r="V985" s="36"/>
      <c r="W985" s="36"/>
      <c r="X985" s="36"/>
      <c r="Y985" s="27"/>
      <c r="AA985" s="9"/>
      <c r="AB985" s="72"/>
    </row>
    <row r="986" spans="6:28">
      <c r="F986" s="48"/>
      <c r="G986" s="32"/>
      <c r="H986" s="68"/>
      <c r="I986" s="36"/>
      <c r="J986" s="27"/>
      <c r="K986" s="27"/>
      <c r="L986" s="27"/>
      <c r="M986" s="27"/>
      <c r="N986" s="27"/>
      <c r="O986" s="64"/>
      <c r="P986" s="64"/>
      <c r="Q986" s="27"/>
      <c r="R986" s="34"/>
      <c r="S986" s="36"/>
      <c r="T986" s="34"/>
      <c r="U986" s="71"/>
      <c r="V986" s="36"/>
      <c r="W986" s="36"/>
      <c r="X986" s="36"/>
      <c r="Y986" s="27"/>
      <c r="AA986" s="9"/>
      <c r="AB986" s="72"/>
    </row>
    <row r="987" spans="6:28">
      <c r="F987" s="48"/>
      <c r="G987" s="32"/>
      <c r="H987" s="68"/>
      <c r="I987" s="36"/>
      <c r="J987" s="27"/>
      <c r="K987" s="27"/>
      <c r="L987" s="27"/>
      <c r="M987" s="27"/>
      <c r="N987" s="27"/>
      <c r="O987" s="64"/>
      <c r="P987" s="64"/>
      <c r="Q987" s="27"/>
      <c r="R987" s="34"/>
      <c r="S987" s="36"/>
      <c r="T987" s="34"/>
      <c r="U987" s="71"/>
      <c r="V987" s="36"/>
      <c r="W987" s="36"/>
      <c r="X987" s="36"/>
      <c r="Y987" s="27"/>
      <c r="AA987" s="9"/>
      <c r="AB987" s="72"/>
    </row>
    <row r="988" spans="6:28">
      <c r="F988" s="48"/>
      <c r="G988" s="32"/>
      <c r="H988" s="68"/>
      <c r="I988" s="36"/>
      <c r="J988" s="27"/>
      <c r="K988" s="27"/>
      <c r="L988" s="27"/>
      <c r="M988" s="27"/>
      <c r="N988" s="27"/>
      <c r="O988" s="64"/>
      <c r="P988" s="64"/>
      <c r="Q988" s="27"/>
      <c r="R988" s="34"/>
      <c r="S988" s="36"/>
      <c r="T988" s="34"/>
      <c r="U988" s="71"/>
      <c r="V988" s="36"/>
      <c r="W988" s="36"/>
      <c r="X988" s="36"/>
      <c r="Y988" s="27"/>
      <c r="AA988" s="9"/>
      <c r="AB988" s="72"/>
    </row>
    <row r="989" spans="6:28">
      <c r="F989" s="48"/>
      <c r="G989" s="32"/>
      <c r="H989" s="68"/>
      <c r="I989" s="36"/>
      <c r="J989" s="27"/>
      <c r="K989" s="27"/>
      <c r="L989" s="27"/>
      <c r="M989" s="27"/>
      <c r="N989" s="27"/>
      <c r="O989" s="64"/>
      <c r="P989" s="64"/>
      <c r="Q989" s="27"/>
      <c r="R989" s="34"/>
      <c r="S989" s="36"/>
      <c r="T989" s="34"/>
      <c r="U989" s="71"/>
      <c r="V989" s="36"/>
      <c r="W989" s="36"/>
      <c r="X989" s="36"/>
      <c r="Y989" s="27"/>
      <c r="AA989" s="9"/>
      <c r="AB989" s="72"/>
    </row>
    <row r="990" spans="6:28">
      <c r="F990" s="48"/>
      <c r="G990" s="32"/>
      <c r="H990" s="68"/>
      <c r="I990" s="36"/>
      <c r="J990" s="27"/>
      <c r="K990" s="27"/>
      <c r="L990" s="27"/>
      <c r="M990" s="27"/>
      <c r="N990" s="27"/>
      <c r="O990" s="64"/>
      <c r="P990" s="64"/>
      <c r="Q990" s="27"/>
      <c r="R990" s="34"/>
      <c r="S990" s="36"/>
      <c r="T990" s="34"/>
      <c r="U990" s="71"/>
      <c r="V990" s="36"/>
      <c r="W990" s="36"/>
      <c r="X990" s="36"/>
      <c r="Y990" s="27"/>
      <c r="AA990" s="9"/>
      <c r="AB990" s="72"/>
    </row>
    <row r="991" spans="6:28">
      <c r="F991" s="48"/>
      <c r="G991" s="32"/>
      <c r="H991" s="68"/>
      <c r="I991" s="36"/>
      <c r="J991" s="27"/>
      <c r="K991" s="27"/>
      <c r="L991" s="27"/>
      <c r="M991" s="27"/>
      <c r="N991" s="27"/>
      <c r="O991" s="64"/>
      <c r="P991" s="64"/>
      <c r="Q991" s="27"/>
      <c r="R991" s="34"/>
      <c r="S991" s="36"/>
      <c r="T991" s="34"/>
      <c r="U991" s="71"/>
      <c r="V991" s="36"/>
      <c r="W991" s="36"/>
      <c r="X991" s="36"/>
      <c r="Y991" s="27"/>
      <c r="AA991" s="9"/>
      <c r="AB991" s="72"/>
    </row>
    <row r="992" spans="6:28">
      <c r="F992" s="48"/>
      <c r="G992" s="32"/>
      <c r="H992" s="68"/>
      <c r="I992" s="36"/>
      <c r="J992" s="27"/>
      <c r="K992" s="27"/>
      <c r="L992" s="27"/>
      <c r="M992" s="27"/>
      <c r="N992" s="27"/>
      <c r="O992" s="64"/>
      <c r="P992" s="64"/>
      <c r="Q992" s="27"/>
      <c r="R992" s="34"/>
      <c r="S992" s="36"/>
      <c r="T992" s="34"/>
      <c r="U992" s="71"/>
      <c r="V992" s="36"/>
      <c r="W992" s="36"/>
      <c r="X992" s="36"/>
      <c r="Y992" s="27"/>
      <c r="AA992" s="9"/>
      <c r="AB992" s="72"/>
    </row>
    <row r="993" spans="6:28">
      <c r="F993" s="48"/>
      <c r="G993" s="32"/>
      <c r="H993" s="68"/>
      <c r="I993" s="36"/>
      <c r="J993" s="27"/>
      <c r="K993" s="27"/>
      <c r="L993" s="27"/>
      <c r="M993" s="27"/>
      <c r="N993" s="27"/>
      <c r="O993" s="64"/>
      <c r="P993" s="64"/>
      <c r="Q993" s="27"/>
      <c r="R993" s="34"/>
      <c r="S993" s="36"/>
      <c r="T993" s="34"/>
      <c r="U993" s="71"/>
      <c r="V993" s="36"/>
      <c r="W993" s="36"/>
      <c r="X993" s="36"/>
      <c r="Y993" s="27"/>
      <c r="AA993" s="9"/>
      <c r="AB993" s="72"/>
    </row>
    <row r="994" spans="6:28">
      <c r="F994" s="48"/>
      <c r="G994" s="32"/>
      <c r="H994" s="68"/>
      <c r="I994" s="36"/>
      <c r="J994" s="27"/>
      <c r="K994" s="27"/>
      <c r="L994" s="27"/>
      <c r="M994" s="27"/>
      <c r="N994" s="27"/>
      <c r="O994" s="64"/>
      <c r="P994" s="64"/>
      <c r="Q994" s="27"/>
      <c r="R994" s="34"/>
      <c r="S994" s="36"/>
      <c r="T994" s="34"/>
      <c r="U994" s="71"/>
      <c r="V994" s="36"/>
      <c r="W994" s="36"/>
      <c r="X994" s="36"/>
      <c r="Y994" s="27"/>
      <c r="AA994" s="9"/>
      <c r="AB994" s="72"/>
    </row>
    <row r="995" spans="6:28">
      <c r="F995" s="48"/>
      <c r="G995" s="32"/>
      <c r="H995" s="68"/>
      <c r="I995" s="36"/>
      <c r="J995" s="27"/>
      <c r="K995" s="27"/>
      <c r="L995" s="27"/>
      <c r="M995" s="27"/>
      <c r="N995" s="27"/>
      <c r="O995" s="64"/>
      <c r="P995" s="64"/>
      <c r="Q995" s="27"/>
      <c r="R995" s="34"/>
      <c r="S995" s="36"/>
      <c r="T995" s="34"/>
      <c r="U995" s="71"/>
      <c r="V995" s="36"/>
      <c r="W995" s="36"/>
      <c r="X995" s="36"/>
      <c r="Y995" s="27"/>
      <c r="AA995" s="9"/>
      <c r="AB995" s="72"/>
    </row>
    <row r="996" spans="6:28">
      <c r="F996" s="48"/>
      <c r="G996" s="32"/>
      <c r="H996" s="68"/>
      <c r="I996" s="36"/>
      <c r="J996" s="27"/>
      <c r="K996" s="27"/>
      <c r="L996" s="27"/>
      <c r="M996" s="27"/>
      <c r="N996" s="27"/>
      <c r="O996" s="64"/>
      <c r="P996" s="64"/>
      <c r="Q996" s="27"/>
      <c r="R996" s="34"/>
      <c r="S996" s="36"/>
      <c r="T996" s="34"/>
      <c r="U996" s="71"/>
      <c r="V996" s="36"/>
      <c r="W996" s="36"/>
      <c r="X996" s="36"/>
      <c r="Y996" s="27"/>
      <c r="AA996" s="9"/>
      <c r="AB996" s="72"/>
    </row>
    <row r="997" spans="6:28">
      <c r="F997" s="48"/>
      <c r="G997" s="32"/>
      <c r="H997" s="68"/>
      <c r="I997" s="36"/>
      <c r="J997" s="27"/>
      <c r="K997" s="27"/>
      <c r="L997" s="27"/>
      <c r="M997" s="27"/>
      <c r="N997" s="27"/>
      <c r="O997" s="64"/>
      <c r="P997" s="64"/>
      <c r="Q997" s="27"/>
      <c r="R997" s="34"/>
      <c r="S997" s="36"/>
      <c r="T997" s="34"/>
      <c r="U997" s="71"/>
      <c r="V997" s="36"/>
      <c r="W997" s="36"/>
      <c r="X997" s="36"/>
      <c r="Y997" s="27"/>
      <c r="AA997" s="9"/>
      <c r="AB997" s="72"/>
    </row>
    <row r="998" spans="6:28">
      <c r="F998" s="48"/>
      <c r="G998" s="32"/>
      <c r="H998" s="68"/>
      <c r="I998" s="36"/>
      <c r="J998" s="27"/>
      <c r="K998" s="27"/>
      <c r="L998" s="27"/>
      <c r="M998" s="27"/>
      <c r="N998" s="27"/>
      <c r="O998" s="64"/>
      <c r="P998" s="64"/>
      <c r="Q998" s="27"/>
      <c r="R998" s="34"/>
      <c r="S998" s="36"/>
      <c r="T998" s="34"/>
      <c r="U998" s="71"/>
      <c r="V998" s="36"/>
      <c r="W998" s="36"/>
      <c r="X998" s="36"/>
      <c r="Y998" s="27"/>
      <c r="AA998" s="9"/>
      <c r="AB998" s="72"/>
    </row>
    <row r="999" spans="6:28">
      <c r="F999" s="48"/>
      <c r="G999" s="32"/>
      <c r="H999" s="68"/>
      <c r="I999" s="36"/>
      <c r="J999" s="27"/>
      <c r="K999" s="27"/>
      <c r="L999" s="27"/>
      <c r="M999" s="27"/>
      <c r="N999" s="27"/>
      <c r="O999" s="64"/>
      <c r="P999" s="64"/>
      <c r="Q999" s="27"/>
      <c r="R999" s="34"/>
      <c r="S999" s="36"/>
      <c r="T999" s="34"/>
      <c r="U999" s="71"/>
      <c r="V999" s="36"/>
      <c r="W999" s="36"/>
      <c r="X999" s="36"/>
      <c r="Y999" s="27"/>
      <c r="AA999" s="9"/>
      <c r="AB999" s="72"/>
    </row>
    <row r="1000" spans="6:28">
      <c r="F1000" s="48"/>
      <c r="G1000" s="32"/>
      <c r="H1000" s="68"/>
      <c r="I1000" s="36"/>
      <c r="J1000" s="27"/>
      <c r="K1000" s="27"/>
      <c r="L1000" s="27"/>
      <c r="M1000" s="27"/>
      <c r="N1000" s="27"/>
      <c r="O1000" s="64"/>
      <c r="P1000" s="64"/>
      <c r="Q1000" s="27"/>
      <c r="R1000" s="34"/>
      <c r="S1000" s="36"/>
      <c r="T1000" s="34"/>
      <c r="U1000" s="71"/>
      <c r="V1000" s="36"/>
      <c r="W1000" s="36"/>
      <c r="X1000" s="36"/>
      <c r="Y1000" s="27"/>
      <c r="AA1000" s="9"/>
      <c r="AB1000" s="72"/>
    </row>
    <row r="1001" spans="6:28">
      <c r="F1001" s="48"/>
      <c r="G1001" s="32"/>
      <c r="H1001" s="68"/>
      <c r="I1001" s="36"/>
      <c r="J1001" s="27"/>
      <c r="K1001" s="27"/>
      <c r="L1001" s="27"/>
      <c r="M1001" s="27"/>
      <c r="N1001" s="27"/>
      <c r="O1001" s="64"/>
      <c r="P1001" s="64"/>
      <c r="Q1001" s="27"/>
      <c r="R1001" s="34"/>
      <c r="S1001" s="36"/>
      <c r="T1001" s="34"/>
      <c r="U1001" s="71"/>
      <c r="V1001" s="36"/>
      <c r="W1001" s="36"/>
      <c r="X1001" s="36"/>
      <c r="Y1001" s="27"/>
      <c r="AA1001" s="9"/>
      <c r="AB1001" s="72"/>
    </row>
    <row r="1002" spans="6:28">
      <c r="F1002" s="48"/>
      <c r="G1002" s="32"/>
      <c r="H1002" s="68"/>
      <c r="I1002" s="36"/>
      <c r="J1002" s="27"/>
      <c r="K1002" s="27"/>
      <c r="L1002" s="27"/>
      <c r="M1002" s="27"/>
      <c r="N1002" s="27"/>
      <c r="O1002" s="64"/>
      <c r="P1002" s="64"/>
      <c r="Q1002" s="27"/>
      <c r="R1002" s="34"/>
      <c r="S1002" s="36"/>
      <c r="T1002" s="34"/>
      <c r="U1002" s="71"/>
      <c r="V1002" s="36"/>
      <c r="W1002" s="36"/>
      <c r="X1002" s="36"/>
      <c r="Y1002" s="27"/>
      <c r="AA1002" s="9"/>
      <c r="AB1002" s="72"/>
    </row>
    <row r="1003" spans="6:28">
      <c r="F1003" s="48"/>
      <c r="G1003" s="32"/>
      <c r="H1003" s="68"/>
      <c r="I1003" s="36"/>
      <c r="J1003" s="27"/>
      <c r="K1003" s="27"/>
      <c r="L1003" s="27"/>
      <c r="M1003" s="27"/>
      <c r="N1003" s="27"/>
      <c r="O1003" s="64"/>
      <c r="P1003" s="64"/>
      <c r="Q1003" s="27"/>
      <c r="R1003" s="34"/>
      <c r="S1003" s="36"/>
      <c r="T1003" s="34"/>
      <c r="U1003" s="71"/>
      <c r="V1003" s="36"/>
      <c r="W1003" s="36"/>
      <c r="X1003" s="36"/>
      <c r="Y1003" s="27"/>
      <c r="AA1003" s="9"/>
      <c r="AB1003" s="72"/>
    </row>
    <row r="1004" spans="6:28">
      <c r="F1004" s="48"/>
      <c r="G1004" s="32"/>
      <c r="H1004" s="68"/>
      <c r="I1004" s="36"/>
      <c r="J1004" s="27"/>
      <c r="K1004" s="27"/>
      <c r="L1004" s="27"/>
      <c r="M1004" s="27"/>
      <c r="N1004" s="27"/>
      <c r="O1004" s="64"/>
      <c r="P1004" s="64"/>
      <c r="Q1004" s="27"/>
      <c r="R1004" s="34"/>
      <c r="S1004" s="36"/>
      <c r="T1004" s="34"/>
      <c r="U1004" s="71"/>
      <c r="V1004" s="36"/>
      <c r="W1004" s="36"/>
      <c r="X1004" s="36"/>
      <c r="Y1004" s="27"/>
      <c r="AA1004" s="9"/>
      <c r="AB1004" s="72"/>
    </row>
    <row r="1005" spans="6:28">
      <c r="F1005" s="48"/>
      <c r="G1005" s="32"/>
      <c r="H1005" s="68"/>
      <c r="I1005" s="36"/>
      <c r="J1005" s="27"/>
      <c r="K1005" s="27"/>
      <c r="L1005" s="27"/>
      <c r="M1005" s="27"/>
      <c r="N1005" s="27"/>
      <c r="O1005" s="64"/>
      <c r="P1005" s="64"/>
      <c r="Q1005" s="27"/>
      <c r="R1005" s="34"/>
      <c r="S1005" s="36"/>
      <c r="T1005" s="34"/>
      <c r="U1005" s="71"/>
      <c r="V1005" s="36"/>
      <c r="W1005" s="36"/>
      <c r="X1005" s="36"/>
      <c r="Y1005" s="27"/>
      <c r="AA1005" s="9"/>
      <c r="AB1005" s="72"/>
    </row>
    <row r="1006" spans="6:28">
      <c r="F1006" s="48"/>
      <c r="G1006" s="32"/>
      <c r="H1006" s="68"/>
      <c r="I1006" s="36"/>
      <c r="J1006" s="27"/>
      <c r="K1006" s="27"/>
      <c r="L1006" s="27"/>
      <c r="M1006" s="27"/>
      <c r="N1006" s="27"/>
      <c r="O1006" s="64"/>
      <c r="P1006" s="64"/>
      <c r="Q1006" s="27"/>
      <c r="R1006" s="34"/>
      <c r="S1006" s="36"/>
      <c r="T1006" s="34"/>
      <c r="U1006" s="71"/>
      <c r="V1006" s="36"/>
      <c r="W1006" s="36"/>
      <c r="X1006" s="36"/>
      <c r="Y1006" s="27"/>
      <c r="AA1006" s="9"/>
      <c r="AB1006" s="72"/>
    </row>
    <row r="1007" spans="6:28">
      <c r="F1007" s="48"/>
      <c r="G1007" s="32"/>
      <c r="H1007" s="68"/>
      <c r="I1007" s="36"/>
      <c r="J1007" s="27"/>
      <c r="K1007" s="27"/>
      <c r="L1007" s="27"/>
      <c r="M1007" s="27"/>
      <c r="N1007" s="27"/>
      <c r="O1007" s="64"/>
      <c r="P1007" s="64"/>
      <c r="Q1007" s="27"/>
      <c r="R1007" s="34"/>
      <c r="S1007" s="36"/>
      <c r="T1007" s="34"/>
      <c r="U1007" s="71"/>
      <c r="V1007" s="36"/>
      <c r="W1007" s="36"/>
      <c r="X1007" s="36"/>
      <c r="Y1007" s="27"/>
      <c r="AA1007" s="9"/>
      <c r="AB1007" s="72"/>
    </row>
    <row r="1008" spans="6:28">
      <c r="F1008" s="48"/>
      <c r="G1008" s="32"/>
      <c r="H1008" s="68"/>
      <c r="I1008" s="36"/>
      <c r="J1008" s="27"/>
      <c r="K1008" s="27"/>
      <c r="L1008" s="27"/>
      <c r="M1008" s="27"/>
      <c r="N1008" s="27"/>
      <c r="O1008" s="64"/>
      <c r="P1008" s="64"/>
      <c r="Q1008" s="27"/>
      <c r="R1008" s="34"/>
      <c r="S1008" s="36"/>
      <c r="T1008" s="34"/>
      <c r="U1008" s="71"/>
      <c r="V1008" s="36"/>
      <c r="W1008" s="36"/>
      <c r="X1008" s="36"/>
      <c r="Y1008" s="27"/>
      <c r="AA1008" s="9"/>
      <c r="AB1008" s="72"/>
    </row>
    <row r="1009" spans="6:28">
      <c r="F1009" s="48"/>
      <c r="G1009" s="32"/>
      <c r="H1009" s="68"/>
      <c r="I1009" s="36"/>
      <c r="J1009" s="27"/>
      <c r="K1009" s="27"/>
      <c r="L1009" s="27"/>
      <c r="M1009" s="27"/>
      <c r="N1009" s="27"/>
      <c r="O1009" s="64"/>
      <c r="P1009" s="64"/>
      <c r="Q1009" s="27"/>
      <c r="R1009" s="34"/>
      <c r="S1009" s="36"/>
      <c r="T1009" s="34"/>
      <c r="U1009" s="71"/>
      <c r="V1009" s="36"/>
      <c r="W1009" s="36"/>
      <c r="X1009" s="36"/>
      <c r="Y1009" s="27"/>
      <c r="AA1009" s="9"/>
      <c r="AB1009" s="72"/>
    </row>
    <row r="1010" spans="6:28">
      <c r="F1010" s="48"/>
      <c r="G1010" s="32"/>
      <c r="H1010" s="68"/>
      <c r="I1010" s="36"/>
      <c r="J1010" s="27"/>
      <c r="K1010" s="27"/>
      <c r="L1010" s="27"/>
      <c r="M1010" s="27"/>
      <c r="N1010" s="27"/>
      <c r="O1010" s="64"/>
      <c r="P1010" s="64"/>
      <c r="Q1010" s="27"/>
      <c r="R1010" s="34"/>
      <c r="S1010" s="36"/>
      <c r="T1010" s="34"/>
      <c r="U1010" s="71"/>
      <c r="V1010" s="36"/>
      <c r="W1010" s="36"/>
      <c r="X1010" s="36"/>
      <c r="Y1010" s="27"/>
      <c r="AA1010" s="9"/>
      <c r="AB1010" s="72"/>
    </row>
    <row r="1011" spans="6:28">
      <c r="F1011" s="48"/>
      <c r="G1011" s="32"/>
      <c r="H1011" s="68"/>
      <c r="I1011" s="36"/>
      <c r="J1011" s="27"/>
      <c r="K1011" s="27"/>
      <c r="L1011" s="27"/>
      <c r="M1011" s="27"/>
      <c r="N1011" s="27"/>
      <c r="O1011" s="64"/>
      <c r="P1011" s="64"/>
      <c r="Q1011" s="27"/>
      <c r="R1011" s="34"/>
      <c r="S1011" s="36"/>
      <c r="T1011" s="34"/>
      <c r="U1011" s="71"/>
      <c r="V1011" s="36"/>
      <c r="W1011" s="36"/>
      <c r="X1011" s="36"/>
      <c r="Y1011" s="27"/>
      <c r="AA1011" s="9"/>
      <c r="AB1011" s="72"/>
    </row>
    <row r="1012" spans="6:28">
      <c r="F1012" s="48"/>
      <c r="G1012" s="32"/>
      <c r="H1012" s="68"/>
      <c r="I1012" s="36"/>
      <c r="J1012" s="27"/>
      <c r="K1012" s="27"/>
      <c r="L1012" s="27"/>
      <c r="M1012" s="27"/>
      <c r="N1012" s="27"/>
      <c r="O1012" s="64"/>
      <c r="P1012" s="64"/>
      <c r="Q1012" s="27"/>
      <c r="R1012" s="34"/>
      <c r="S1012" s="36"/>
      <c r="T1012" s="34"/>
      <c r="U1012" s="71"/>
      <c r="V1012" s="36"/>
      <c r="W1012" s="36"/>
      <c r="X1012" s="36"/>
      <c r="Y1012" s="27"/>
      <c r="AA1012" s="9"/>
      <c r="AB1012" s="72"/>
    </row>
    <row r="1013" spans="6:28">
      <c r="F1013" s="48"/>
      <c r="G1013" s="32"/>
      <c r="H1013" s="68"/>
      <c r="I1013" s="36"/>
      <c r="J1013" s="27"/>
      <c r="K1013" s="27"/>
      <c r="L1013" s="27"/>
      <c r="M1013" s="27"/>
      <c r="N1013" s="27"/>
      <c r="O1013" s="64"/>
      <c r="P1013" s="64"/>
      <c r="Q1013" s="27"/>
      <c r="R1013" s="34"/>
      <c r="S1013" s="36"/>
      <c r="T1013" s="34"/>
      <c r="U1013" s="71"/>
      <c r="V1013" s="36"/>
      <c r="W1013" s="36"/>
      <c r="X1013" s="36"/>
      <c r="Y1013" s="27"/>
      <c r="AA1013" s="9"/>
      <c r="AB1013" s="72"/>
    </row>
    <row r="1014" spans="6:28">
      <c r="F1014" s="48"/>
      <c r="G1014" s="32"/>
      <c r="H1014" s="68"/>
      <c r="I1014" s="36"/>
      <c r="J1014" s="27"/>
      <c r="K1014" s="27"/>
      <c r="L1014" s="27"/>
      <c r="M1014" s="27"/>
      <c r="N1014" s="27"/>
      <c r="O1014" s="64"/>
      <c r="P1014" s="64"/>
      <c r="Q1014" s="27"/>
      <c r="R1014" s="34"/>
      <c r="S1014" s="36"/>
      <c r="T1014" s="34"/>
      <c r="U1014" s="71"/>
      <c r="V1014" s="36"/>
      <c r="W1014" s="36"/>
      <c r="X1014" s="36"/>
      <c r="Y1014" s="27"/>
      <c r="AA1014" s="9"/>
      <c r="AB1014" s="72"/>
    </row>
    <row r="1015" spans="6:28">
      <c r="F1015" s="48"/>
      <c r="G1015" s="32"/>
      <c r="H1015" s="68"/>
      <c r="I1015" s="36"/>
      <c r="J1015" s="27"/>
      <c r="K1015" s="27"/>
      <c r="L1015" s="27"/>
      <c r="M1015" s="27"/>
      <c r="N1015" s="27"/>
      <c r="O1015" s="64"/>
      <c r="P1015" s="64"/>
      <c r="Q1015" s="27"/>
      <c r="R1015" s="34"/>
      <c r="S1015" s="36"/>
      <c r="T1015" s="34"/>
      <c r="U1015" s="71"/>
      <c r="V1015" s="36"/>
      <c r="W1015" s="36"/>
      <c r="X1015" s="36"/>
      <c r="Y1015" s="27"/>
      <c r="AA1015" s="9"/>
      <c r="AB1015" s="72"/>
    </row>
    <row r="1016" spans="6:28">
      <c r="F1016" s="48"/>
      <c r="G1016" s="32"/>
      <c r="H1016" s="68"/>
      <c r="I1016" s="36"/>
      <c r="J1016" s="27"/>
      <c r="K1016" s="27"/>
      <c r="L1016" s="27"/>
      <c r="M1016" s="27"/>
      <c r="N1016" s="27"/>
      <c r="O1016" s="64"/>
      <c r="P1016" s="64"/>
      <c r="Q1016" s="27"/>
      <c r="R1016" s="34"/>
      <c r="S1016" s="36"/>
      <c r="T1016" s="34"/>
      <c r="U1016" s="71"/>
      <c r="V1016" s="36"/>
      <c r="W1016" s="36"/>
      <c r="X1016" s="36"/>
      <c r="Y1016" s="27"/>
      <c r="AA1016" s="9"/>
      <c r="AB1016" s="72"/>
    </row>
    <row r="1017" spans="6:28">
      <c r="F1017" s="48"/>
      <c r="G1017" s="32"/>
      <c r="H1017" s="68"/>
      <c r="I1017" s="36"/>
      <c r="J1017" s="27"/>
      <c r="K1017" s="27"/>
      <c r="L1017" s="27"/>
      <c r="M1017" s="27"/>
      <c r="N1017" s="27"/>
      <c r="O1017" s="64"/>
      <c r="P1017" s="64"/>
      <c r="Q1017" s="27"/>
      <c r="R1017" s="34"/>
      <c r="S1017" s="36"/>
      <c r="T1017" s="34"/>
      <c r="U1017" s="71"/>
      <c r="V1017" s="36"/>
      <c r="W1017" s="36"/>
      <c r="X1017" s="36"/>
      <c r="Y1017" s="27"/>
      <c r="AA1017" s="9"/>
      <c r="AB1017" s="72"/>
    </row>
    <row r="1018" spans="6:28">
      <c r="F1018" s="48"/>
      <c r="G1018" s="32"/>
      <c r="H1018" s="68"/>
      <c r="I1018" s="36"/>
      <c r="J1018" s="27"/>
      <c r="K1018" s="27"/>
      <c r="L1018" s="27"/>
      <c r="M1018" s="27"/>
      <c r="N1018" s="27"/>
      <c r="O1018" s="64"/>
      <c r="P1018" s="64"/>
      <c r="Q1018" s="27"/>
      <c r="R1018" s="34"/>
      <c r="S1018" s="36"/>
      <c r="T1018" s="34"/>
      <c r="U1018" s="71"/>
      <c r="V1018" s="36"/>
      <c r="W1018" s="36"/>
      <c r="X1018" s="36"/>
      <c r="Y1018" s="27"/>
      <c r="AA1018" s="9"/>
      <c r="AB1018" s="72"/>
    </row>
    <row r="1019" spans="6:28">
      <c r="F1019" s="48"/>
      <c r="G1019" s="32"/>
      <c r="H1019" s="68"/>
      <c r="I1019" s="36"/>
      <c r="J1019" s="27"/>
      <c r="K1019" s="27"/>
      <c r="L1019" s="27"/>
      <c r="M1019" s="27"/>
      <c r="N1019" s="27"/>
      <c r="O1019" s="64"/>
      <c r="P1019" s="64"/>
      <c r="Q1019" s="27"/>
      <c r="R1019" s="34"/>
      <c r="S1019" s="36"/>
      <c r="T1019" s="34"/>
      <c r="U1019" s="71"/>
      <c r="V1019" s="36"/>
      <c r="W1019" s="36"/>
      <c r="X1019" s="36"/>
      <c r="Y1019" s="27"/>
      <c r="AA1019" s="9"/>
      <c r="AB1019" s="72"/>
    </row>
    <row r="1020" spans="6:28">
      <c r="F1020" s="48"/>
      <c r="G1020" s="32"/>
      <c r="H1020" s="68"/>
      <c r="I1020" s="36"/>
      <c r="J1020" s="27"/>
      <c r="K1020" s="27"/>
      <c r="L1020" s="27"/>
      <c r="M1020" s="27"/>
      <c r="N1020" s="27"/>
      <c r="O1020" s="64"/>
      <c r="P1020" s="64"/>
      <c r="Q1020" s="27"/>
      <c r="R1020" s="34"/>
      <c r="S1020" s="36"/>
      <c r="T1020" s="34"/>
      <c r="U1020" s="71"/>
      <c r="V1020" s="36"/>
      <c r="W1020" s="36"/>
      <c r="X1020" s="36"/>
      <c r="Y1020" s="27"/>
      <c r="AA1020" s="9"/>
      <c r="AB1020" s="72"/>
    </row>
    <row r="1021" spans="6:28">
      <c r="F1021" s="48"/>
      <c r="G1021" s="32"/>
      <c r="H1021" s="68"/>
      <c r="I1021" s="36"/>
      <c r="J1021" s="27"/>
      <c r="K1021" s="27"/>
      <c r="L1021" s="27"/>
      <c r="M1021" s="27"/>
      <c r="N1021" s="27"/>
      <c r="O1021" s="64"/>
      <c r="P1021" s="64"/>
      <c r="Q1021" s="27"/>
      <c r="R1021" s="34"/>
      <c r="S1021" s="36"/>
      <c r="T1021" s="34"/>
      <c r="U1021" s="71"/>
      <c r="V1021" s="36"/>
      <c r="W1021" s="36"/>
      <c r="X1021" s="36"/>
      <c r="Y1021" s="27"/>
      <c r="AA1021" s="9"/>
      <c r="AB1021" s="72"/>
    </row>
    <row r="1022" spans="6:28">
      <c r="F1022" s="48"/>
      <c r="G1022" s="32"/>
      <c r="H1022" s="68"/>
      <c r="I1022" s="36"/>
      <c r="J1022" s="27"/>
      <c r="K1022" s="27"/>
      <c r="L1022" s="27"/>
      <c r="M1022" s="27"/>
      <c r="N1022" s="27"/>
      <c r="O1022" s="64"/>
      <c r="P1022" s="64"/>
      <c r="Q1022" s="27"/>
      <c r="R1022" s="34"/>
      <c r="S1022" s="36"/>
      <c r="T1022" s="34"/>
      <c r="U1022" s="71"/>
      <c r="V1022" s="36"/>
      <c r="W1022" s="36"/>
      <c r="X1022" s="36"/>
      <c r="Y1022" s="27"/>
      <c r="AA1022" s="9"/>
      <c r="AB1022" s="72"/>
    </row>
    <row r="1023" spans="6:28">
      <c r="F1023" s="48"/>
      <c r="G1023" s="32"/>
      <c r="H1023" s="68"/>
      <c r="I1023" s="36"/>
      <c r="J1023" s="27"/>
      <c r="K1023" s="27"/>
      <c r="L1023" s="27"/>
      <c r="M1023" s="27"/>
      <c r="N1023" s="27"/>
      <c r="O1023" s="64"/>
      <c r="P1023" s="64"/>
      <c r="Q1023" s="27"/>
      <c r="R1023" s="34"/>
      <c r="S1023" s="36"/>
      <c r="T1023" s="34"/>
      <c r="U1023" s="71"/>
      <c r="V1023" s="36"/>
      <c r="W1023" s="36"/>
      <c r="X1023" s="36"/>
      <c r="Y1023" s="27"/>
      <c r="AA1023" s="9"/>
      <c r="AB1023" s="72"/>
    </row>
    <row r="1024" spans="6:28">
      <c r="F1024" s="48"/>
      <c r="G1024" s="32"/>
      <c r="H1024" s="68"/>
      <c r="I1024" s="36"/>
      <c r="J1024" s="27"/>
      <c r="K1024" s="27"/>
      <c r="L1024" s="27"/>
      <c r="M1024" s="27"/>
      <c r="N1024" s="27"/>
      <c r="O1024" s="64"/>
      <c r="P1024" s="64"/>
      <c r="Q1024" s="27"/>
      <c r="R1024" s="34"/>
      <c r="S1024" s="36"/>
      <c r="T1024" s="34"/>
      <c r="U1024" s="71"/>
      <c r="V1024" s="36"/>
      <c r="W1024" s="36"/>
      <c r="X1024" s="36"/>
      <c r="Y1024" s="27"/>
      <c r="AA1024" s="9"/>
      <c r="AB1024" s="72"/>
    </row>
    <row r="1025" spans="6:28">
      <c r="F1025" s="48"/>
      <c r="G1025" s="32"/>
      <c r="H1025" s="68"/>
      <c r="I1025" s="36"/>
      <c r="J1025" s="27"/>
      <c r="K1025" s="27"/>
      <c r="L1025" s="27"/>
      <c r="M1025" s="27"/>
      <c r="N1025" s="27"/>
      <c r="O1025" s="64"/>
      <c r="P1025" s="64"/>
      <c r="Q1025" s="27"/>
      <c r="R1025" s="34"/>
      <c r="S1025" s="36"/>
      <c r="T1025" s="34"/>
      <c r="U1025" s="71"/>
      <c r="V1025" s="36"/>
      <c r="W1025" s="36"/>
      <c r="X1025" s="36"/>
      <c r="Y1025" s="27"/>
      <c r="AA1025" s="9"/>
      <c r="AB1025" s="72"/>
    </row>
    <row r="1026" spans="6:28">
      <c r="F1026" s="48"/>
      <c r="G1026" s="32"/>
      <c r="H1026" s="68"/>
      <c r="I1026" s="36"/>
      <c r="J1026" s="27"/>
      <c r="K1026" s="27"/>
      <c r="L1026" s="27"/>
      <c r="M1026" s="27"/>
      <c r="N1026" s="27"/>
      <c r="O1026" s="64"/>
      <c r="P1026" s="64"/>
      <c r="Q1026" s="27"/>
      <c r="R1026" s="34"/>
      <c r="S1026" s="36"/>
      <c r="T1026" s="34"/>
      <c r="U1026" s="71"/>
      <c r="V1026" s="36"/>
      <c r="W1026" s="36"/>
      <c r="X1026" s="36"/>
      <c r="Y1026" s="27"/>
      <c r="AA1026" s="9"/>
      <c r="AB1026" s="72"/>
    </row>
    <row r="1027" spans="6:28">
      <c r="F1027" s="48"/>
      <c r="G1027" s="32"/>
      <c r="H1027" s="68"/>
      <c r="I1027" s="36"/>
      <c r="J1027" s="27"/>
      <c r="K1027" s="27"/>
      <c r="L1027" s="27"/>
      <c r="M1027" s="27"/>
      <c r="N1027" s="27"/>
      <c r="O1027" s="64"/>
      <c r="P1027" s="64"/>
      <c r="Q1027" s="27"/>
      <c r="R1027" s="34"/>
      <c r="S1027" s="36"/>
      <c r="T1027" s="34"/>
      <c r="U1027" s="71"/>
      <c r="V1027" s="36"/>
      <c r="W1027" s="36"/>
      <c r="X1027" s="36"/>
      <c r="Y1027" s="27"/>
      <c r="AA1027" s="9"/>
      <c r="AB1027" s="72"/>
    </row>
    <row r="1028" spans="6:28">
      <c r="F1028" s="48"/>
      <c r="G1028" s="32"/>
      <c r="H1028" s="68"/>
      <c r="I1028" s="36"/>
      <c r="J1028" s="27"/>
      <c r="K1028" s="27"/>
      <c r="L1028" s="27"/>
      <c r="M1028" s="27"/>
      <c r="N1028" s="27"/>
      <c r="O1028" s="64"/>
      <c r="P1028" s="64"/>
      <c r="Q1028" s="27"/>
      <c r="R1028" s="34"/>
      <c r="S1028" s="36"/>
      <c r="T1028" s="34"/>
      <c r="U1028" s="71"/>
      <c r="V1028" s="36"/>
      <c r="W1028" s="36"/>
      <c r="X1028" s="36"/>
      <c r="Y1028" s="27"/>
      <c r="AA1028" s="9"/>
      <c r="AB1028" s="72"/>
    </row>
    <row r="1029" spans="6:28">
      <c r="F1029" s="48"/>
      <c r="G1029" s="32"/>
      <c r="H1029" s="68"/>
      <c r="I1029" s="36"/>
      <c r="J1029" s="27"/>
      <c r="K1029" s="27"/>
      <c r="L1029" s="27"/>
      <c r="M1029" s="27"/>
      <c r="N1029" s="27"/>
      <c r="O1029" s="64"/>
      <c r="P1029" s="64"/>
      <c r="Q1029" s="27"/>
      <c r="R1029" s="34"/>
      <c r="S1029" s="36"/>
      <c r="T1029" s="34"/>
      <c r="U1029" s="71"/>
      <c r="V1029" s="36"/>
      <c r="W1029" s="36"/>
      <c r="X1029" s="36"/>
      <c r="Y1029" s="27"/>
      <c r="AA1029" s="9"/>
      <c r="AB1029" s="72"/>
    </row>
    <row r="1030" spans="6:28">
      <c r="F1030" s="48"/>
      <c r="G1030" s="32"/>
      <c r="H1030" s="68"/>
      <c r="I1030" s="36"/>
      <c r="J1030" s="27"/>
      <c r="K1030" s="27"/>
      <c r="L1030" s="27"/>
      <c r="M1030" s="27"/>
      <c r="N1030" s="27"/>
      <c r="O1030" s="64"/>
      <c r="P1030" s="64"/>
      <c r="Q1030" s="27"/>
      <c r="R1030" s="34"/>
      <c r="S1030" s="36"/>
      <c r="T1030" s="34"/>
      <c r="U1030" s="71"/>
      <c r="V1030" s="36"/>
      <c r="W1030" s="36"/>
      <c r="X1030" s="36"/>
      <c r="Y1030" s="27"/>
      <c r="AA1030" s="9"/>
      <c r="AB1030" s="72"/>
    </row>
    <row r="1031" spans="6:28">
      <c r="F1031" s="48"/>
      <c r="G1031" s="32"/>
      <c r="H1031" s="68"/>
      <c r="I1031" s="36"/>
      <c r="J1031" s="27"/>
      <c r="K1031" s="27"/>
      <c r="L1031" s="27"/>
      <c r="M1031" s="27"/>
      <c r="N1031" s="27"/>
      <c r="O1031" s="64"/>
      <c r="P1031" s="64"/>
      <c r="Q1031" s="27"/>
      <c r="R1031" s="34"/>
      <c r="S1031" s="36"/>
      <c r="T1031" s="34"/>
      <c r="U1031" s="71"/>
      <c r="V1031" s="36"/>
      <c r="W1031" s="36"/>
      <c r="X1031" s="36"/>
      <c r="Y1031" s="27"/>
      <c r="AA1031" s="9"/>
      <c r="AB1031" s="72"/>
    </row>
    <row r="1032" spans="6:28">
      <c r="F1032" s="48"/>
      <c r="G1032" s="32"/>
      <c r="H1032" s="68"/>
      <c r="I1032" s="36"/>
      <c r="J1032" s="27"/>
      <c r="K1032" s="27"/>
      <c r="L1032" s="27"/>
      <c r="M1032" s="27"/>
      <c r="N1032" s="27"/>
      <c r="O1032" s="64"/>
      <c r="P1032" s="64"/>
      <c r="Q1032" s="27"/>
      <c r="R1032" s="34"/>
      <c r="S1032" s="36"/>
      <c r="T1032" s="34"/>
      <c r="U1032" s="71"/>
      <c r="V1032" s="36"/>
      <c r="W1032" s="36"/>
      <c r="X1032" s="36"/>
      <c r="Y1032" s="27"/>
      <c r="AA1032" s="9"/>
      <c r="AB1032" s="72"/>
    </row>
    <row r="1033" spans="6:28">
      <c r="F1033" s="48"/>
      <c r="G1033" s="32"/>
      <c r="H1033" s="68"/>
      <c r="I1033" s="36"/>
      <c r="J1033" s="27"/>
      <c r="K1033" s="27"/>
      <c r="L1033" s="27"/>
      <c r="M1033" s="27"/>
      <c r="N1033" s="27"/>
      <c r="O1033" s="64"/>
      <c r="P1033" s="64"/>
      <c r="Q1033" s="27"/>
      <c r="R1033" s="34"/>
      <c r="S1033" s="36"/>
      <c r="T1033" s="34"/>
      <c r="U1033" s="71"/>
      <c r="V1033" s="36"/>
      <c r="W1033" s="36"/>
      <c r="X1033" s="36"/>
      <c r="Y1033" s="27"/>
      <c r="AA1033" s="9"/>
      <c r="AB1033" s="72"/>
    </row>
    <row r="1034" spans="6:28">
      <c r="F1034" s="48"/>
      <c r="G1034" s="32"/>
      <c r="H1034" s="68"/>
      <c r="I1034" s="36"/>
      <c r="J1034" s="27"/>
      <c r="K1034" s="27"/>
      <c r="L1034" s="27"/>
      <c r="M1034" s="27"/>
      <c r="N1034" s="27"/>
      <c r="O1034" s="64"/>
      <c r="P1034" s="64"/>
      <c r="Q1034" s="27"/>
      <c r="R1034" s="34"/>
      <c r="S1034" s="36"/>
      <c r="T1034" s="34"/>
      <c r="U1034" s="71"/>
      <c r="V1034" s="36"/>
      <c r="W1034" s="36"/>
      <c r="X1034" s="36"/>
      <c r="Y1034" s="27"/>
      <c r="AA1034" s="9"/>
      <c r="AB1034" s="72"/>
    </row>
    <row r="1035" spans="6:28">
      <c r="F1035" s="48"/>
      <c r="G1035" s="32"/>
      <c r="H1035" s="68"/>
      <c r="I1035" s="36"/>
      <c r="J1035" s="27"/>
      <c r="K1035" s="27"/>
      <c r="L1035" s="27"/>
      <c r="M1035" s="27"/>
      <c r="N1035" s="27"/>
      <c r="O1035" s="64"/>
      <c r="P1035" s="64"/>
      <c r="Q1035" s="27"/>
      <c r="R1035" s="34"/>
      <c r="S1035" s="36"/>
      <c r="T1035" s="34"/>
      <c r="U1035" s="71"/>
      <c r="V1035" s="36"/>
      <c r="W1035" s="36"/>
      <c r="X1035" s="36"/>
      <c r="Y1035" s="27"/>
      <c r="AA1035" s="9"/>
      <c r="AB1035" s="72"/>
    </row>
    <row r="1036" spans="6:28">
      <c r="F1036" s="48"/>
      <c r="G1036" s="32"/>
      <c r="H1036" s="68"/>
      <c r="I1036" s="36"/>
      <c r="J1036" s="27"/>
      <c r="K1036" s="27"/>
      <c r="L1036" s="27"/>
      <c r="M1036" s="27"/>
      <c r="N1036" s="27"/>
      <c r="O1036" s="64"/>
      <c r="P1036" s="64"/>
      <c r="Q1036" s="27"/>
      <c r="R1036" s="34"/>
      <c r="S1036" s="36"/>
      <c r="T1036" s="34"/>
      <c r="U1036" s="71"/>
      <c r="V1036" s="36"/>
      <c r="W1036" s="36"/>
      <c r="X1036" s="36"/>
      <c r="Y1036" s="27"/>
      <c r="AA1036" s="9"/>
      <c r="AB1036" s="72"/>
    </row>
    <row r="1037" spans="6:28">
      <c r="F1037" s="48"/>
      <c r="G1037" s="32"/>
      <c r="H1037" s="68"/>
      <c r="I1037" s="36"/>
      <c r="J1037" s="27"/>
      <c r="K1037" s="27"/>
      <c r="L1037" s="27"/>
      <c r="M1037" s="27"/>
      <c r="N1037" s="27"/>
      <c r="O1037" s="64"/>
      <c r="P1037" s="64"/>
      <c r="Q1037" s="27"/>
      <c r="R1037" s="34"/>
      <c r="S1037" s="36"/>
      <c r="T1037" s="34"/>
      <c r="U1037" s="71"/>
      <c r="V1037" s="36"/>
      <c r="W1037" s="36"/>
      <c r="X1037" s="36"/>
      <c r="Y1037" s="27"/>
      <c r="AA1037" s="9"/>
      <c r="AB1037" s="72"/>
    </row>
    <row r="1038" spans="6:28">
      <c r="F1038" s="48"/>
      <c r="G1038" s="32"/>
      <c r="H1038" s="68"/>
      <c r="I1038" s="36"/>
      <c r="J1038" s="27"/>
      <c r="K1038" s="27"/>
      <c r="L1038" s="27"/>
      <c r="M1038" s="27"/>
      <c r="N1038" s="27"/>
      <c r="O1038" s="64"/>
      <c r="P1038" s="64"/>
      <c r="Q1038" s="27"/>
      <c r="R1038" s="34"/>
      <c r="S1038" s="36"/>
      <c r="T1038" s="34"/>
      <c r="U1038" s="71"/>
      <c r="V1038" s="36"/>
      <c r="W1038" s="36"/>
      <c r="X1038" s="36"/>
      <c r="Y1038" s="27"/>
      <c r="AA1038" s="9"/>
      <c r="AB1038" s="72"/>
    </row>
    <row r="1039" spans="6:28">
      <c r="F1039" s="48"/>
      <c r="G1039" s="32"/>
      <c r="H1039" s="68"/>
      <c r="I1039" s="36"/>
      <c r="J1039" s="27"/>
      <c r="K1039" s="27"/>
      <c r="L1039" s="27"/>
      <c r="M1039" s="27"/>
      <c r="N1039" s="27"/>
      <c r="O1039" s="64"/>
      <c r="P1039" s="64"/>
      <c r="Q1039" s="27"/>
      <c r="R1039" s="34"/>
      <c r="S1039" s="36"/>
      <c r="T1039" s="34"/>
      <c r="U1039" s="71"/>
      <c r="V1039" s="36"/>
      <c r="W1039" s="36"/>
      <c r="X1039" s="36"/>
      <c r="Y1039" s="27"/>
      <c r="AA1039" s="9"/>
      <c r="AB1039" s="72"/>
    </row>
    <row r="1040" spans="6:28">
      <c r="F1040" s="48"/>
      <c r="G1040" s="32"/>
      <c r="H1040" s="68"/>
      <c r="I1040" s="36"/>
      <c r="J1040" s="27"/>
      <c r="K1040" s="27"/>
      <c r="L1040" s="27"/>
      <c r="M1040" s="27"/>
      <c r="N1040" s="27"/>
      <c r="O1040" s="64"/>
      <c r="P1040" s="64"/>
      <c r="Q1040" s="27"/>
      <c r="R1040" s="34"/>
      <c r="S1040" s="36"/>
      <c r="T1040" s="34"/>
      <c r="U1040" s="71"/>
      <c r="V1040" s="36"/>
      <c r="W1040" s="36"/>
      <c r="X1040" s="36"/>
      <c r="Y1040" s="27"/>
      <c r="AA1040" s="9"/>
      <c r="AB1040" s="72"/>
    </row>
    <row r="1041" spans="6:28">
      <c r="F1041" s="48"/>
      <c r="G1041" s="32"/>
      <c r="H1041" s="68"/>
      <c r="I1041" s="36"/>
      <c r="J1041" s="27"/>
      <c r="K1041" s="27"/>
      <c r="L1041" s="27"/>
      <c r="M1041" s="27"/>
      <c r="N1041" s="27"/>
      <c r="O1041" s="64"/>
      <c r="P1041" s="64"/>
      <c r="Q1041" s="27"/>
      <c r="R1041" s="34"/>
      <c r="S1041" s="36"/>
      <c r="T1041" s="34"/>
      <c r="U1041" s="71"/>
      <c r="V1041" s="36"/>
      <c r="W1041" s="36"/>
      <c r="X1041" s="36"/>
      <c r="Y1041" s="27"/>
      <c r="AA1041" s="9"/>
      <c r="AB1041" s="72"/>
    </row>
    <row r="1042" spans="6:28">
      <c r="F1042" s="48"/>
      <c r="G1042" s="32"/>
      <c r="H1042" s="68"/>
      <c r="I1042" s="36"/>
      <c r="J1042" s="27"/>
      <c r="K1042" s="27"/>
      <c r="L1042" s="27"/>
      <c r="M1042" s="27"/>
      <c r="N1042" s="27"/>
      <c r="O1042" s="64"/>
      <c r="P1042" s="64"/>
      <c r="Q1042" s="27"/>
      <c r="R1042" s="34"/>
      <c r="S1042" s="36"/>
      <c r="T1042" s="34"/>
      <c r="U1042" s="71"/>
      <c r="V1042" s="36"/>
      <c r="W1042" s="36"/>
      <c r="X1042" s="36"/>
      <c r="Y1042" s="27"/>
      <c r="AA1042" s="9"/>
      <c r="AB1042" s="72"/>
    </row>
    <row r="1043" spans="6:28">
      <c r="F1043" s="48"/>
      <c r="G1043" s="32"/>
      <c r="H1043" s="68"/>
      <c r="I1043" s="36"/>
      <c r="J1043" s="27"/>
      <c r="K1043" s="27"/>
      <c r="L1043" s="27"/>
      <c r="M1043" s="27"/>
      <c r="N1043" s="27"/>
      <c r="O1043" s="64"/>
      <c r="P1043" s="64"/>
      <c r="Q1043" s="27"/>
      <c r="R1043" s="34"/>
      <c r="S1043" s="36"/>
      <c r="T1043" s="34"/>
      <c r="U1043" s="71"/>
      <c r="V1043" s="36"/>
      <c r="W1043" s="36"/>
      <c r="X1043" s="36"/>
      <c r="Y1043" s="27"/>
      <c r="AA1043" s="9"/>
      <c r="AB1043" s="72"/>
    </row>
    <row r="1044" spans="6:28">
      <c r="F1044" s="48"/>
      <c r="G1044" s="32"/>
      <c r="H1044" s="68"/>
      <c r="I1044" s="36"/>
      <c r="J1044" s="27"/>
      <c r="K1044" s="27"/>
      <c r="L1044" s="27"/>
      <c r="M1044" s="27"/>
      <c r="N1044" s="27"/>
      <c r="O1044" s="64"/>
      <c r="P1044" s="64"/>
      <c r="Q1044" s="27"/>
      <c r="R1044" s="34"/>
      <c r="S1044" s="36"/>
      <c r="T1044" s="34"/>
      <c r="U1044" s="71"/>
      <c r="V1044" s="36"/>
      <c r="W1044" s="36"/>
      <c r="X1044" s="36"/>
      <c r="Y1044" s="27"/>
      <c r="AA1044" s="9"/>
      <c r="AB1044" s="72"/>
    </row>
    <row r="1045" spans="6:28">
      <c r="F1045" s="48"/>
      <c r="G1045" s="32"/>
      <c r="H1045" s="68"/>
      <c r="I1045" s="36"/>
      <c r="J1045" s="27"/>
      <c r="K1045" s="27"/>
      <c r="L1045" s="27"/>
      <c r="M1045" s="27"/>
      <c r="N1045" s="27"/>
      <c r="O1045" s="64"/>
      <c r="P1045" s="64"/>
      <c r="Q1045" s="27"/>
      <c r="R1045" s="34"/>
      <c r="S1045" s="36"/>
      <c r="T1045" s="34"/>
      <c r="U1045" s="71"/>
      <c r="V1045" s="36"/>
      <c r="W1045" s="36"/>
      <c r="X1045" s="36"/>
      <c r="Y1045" s="27"/>
      <c r="AA1045" s="9"/>
      <c r="AB1045" s="72"/>
    </row>
    <row r="1046" spans="6:28">
      <c r="F1046" s="48"/>
      <c r="G1046" s="32"/>
      <c r="H1046" s="68"/>
      <c r="I1046" s="36"/>
      <c r="J1046" s="27"/>
      <c r="K1046" s="27"/>
      <c r="L1046" s="27"/>
      <c r="M1046" s="27"/>
      <c r="N1046" s="27"/>
      <c r="O1046" s="64"/>
      <c r="P1046" s="64"/>
      <c r="Q1046" s="27"/>
      <c r="R1046" s="34"/>
      <c r="S1046" s="36"/>
      <c r="T1046" s="34"/>
      <c r="U1046" s="71"/>
      <c r="V1046" s="36"/>
      <c r="W1046" s="36"/>
      <c r="X1046" s="36"/>
      <c r="Y1046" s="27"/>
      <c r="AA1046" s="9"/>
      <c r="AB1046" s="72"/>
    </row>
    <row r="1047" spans="6:28">
      <c r="F1047" s="48"/>
      <c r="G1047" s="32"/>
      <c r="H1047" s="68"/>
      <c r="I1047" s="36"/>
      <c r="J1047" s="27"/>
      <c r="K1047" s="27"/>
      <c r="L1047" s="27"/>
      <c r="M1047" s="27"/>
      <c r="N1047" s="27"/>
      <c r="O1047" s="64"/>
      <c r="P1047" s="64"/>
      <c r="Q1047" s="27"/>
      <c r="R1047" s="34"/>
      <c r="S1047" s="36"/>
      <c r="T1047" s="34"/>
      <c r="U1047" s="71"/>
      <c r="V1047" s="36"/>
      <c r="W1047" s="36"/>
      <c r="X1047" s="36"/>
      <c r="Y1047" s="27"/>
      <c r="AA1047" s="9"/>
      <c r="AB1047" s="72"/>
    </row>
    <row r="1048" spans="6:28">
      <c r="F1048" s="48"/>
      <c r="G1048" s="32"/>
      <c r="H1048" s="68"/>
      <c r="I1048" s="36"/>
      <c r="J1048" s="27"/>
      <c r="K1048" s="27"/>
      <c r="L1048" s="27"/>
      <c r="M1048" s="27"/>
      <c r="N1048" s="27"/>
      <c r="O1048" s="64"/>
      <c r="P1048" s="64"/>
      <c r="Q1048" s="27"/>
      <c r="R1048" s="34"/>
      <c r="S1048" s="36"/>
      <c r="T1048" s="34"/>
      <c r="U1048" s="71"/>
      <c r="V1048" s="36"/>
      <c r="W1048" s="36"/>
      <c r="X1048" s="36"/>
      <c r="Y1048" s="27"/>
      <c r="AA1048" s="9"/>
      <c r="AB1048" s="72"/>
    </row>
    <row r="1049" spans="6:28">
      <c r="F1049" s="48"/>
      <c r="G1049" s="32"/>
      <c r="H1049" s="68"/>
      <c r="I1049" s="36"/>
      <c r="J1049" s="27"/>
      <c r="K1049" s="27"/>
      <c r="L1049" s="27"/>
      <c r="M1049" s="27"/>
      <c r="N1049" s="27"/>
      <c r="O1049" s="64"/>
      <c r="P1049" s="64"/>
      <c r="Q1049" s="27"/>
      <c r="R1049" s="34"/>
      <c r="S1049" s="36"/>
      <c r="T1049" s="34"/>
      <c r="U1049" s="71"/>
      <c r="V1049" s="36"/>
      <c r="W1049" s="36"/>
      <c r="X1049" s="36"/>
      <c r="Y1049" s="27"/>
      <c r="AA1049" s="9"/>
      <c r="AB1049" s="72"/>
    </row>
    <row r="1050" spans="6:28">
      <c r="F1050" s="48"/>
      <c r="G1050" s="32"/>
      <c r="H1050" s="68"/>
      <c r="I1050" s="36"/>
      <c r="J1050" s="27"/>
      <c r="K1050" s="27"/>
      <c r="L1050" s="27"/>
      <c r="M1050" s="27"/>
      <c r="N1050" s="27"/>
      <c r="O1050" s="64"/>
      <c r="P1050" s="64"/>
      <c r="Q1050" s="27"/>
      <c r="R1050" s="34"/>
      <c r="S1050" s="36"/>
      <c r="T1050" s="34"/>
      <c r="U1050" s="71"/>
      <c r="V1050" s="36"/>
      <c r="W1050" s="36"/>
      <c r="X1050" s="36"/>
      <c r="Y1050" s="27"/>
      <c r="AA1050" s="9"/>
      <c r="AB1050" s="72"/>
    </row>
    <row r="1051" spans="6:28">
      <c r="F1051" s="48"/>
      <c r="G1051" s="32"/>
      <c r="H1051" s="68"/>
      <c r="I1051" s="36"/>
      <c r="J1051" s="27"/>
      <c r="K1051" s="27"/>
      <c r="L1051" s="27"/>
      <c r="M1051" s="27"/>
      <c r="N1051" s="27"/>
      <c r="O1051" s="64"/>
      <c r="P1051" s="64"/>
      <c r="Q1051" s="27"/>
      <c r="R1051" s="34"/>
      <c r="S1051" s="36"/>
      <c r="T1051" s="34"/>
      <c r="U1051" s="71"/>
      <c r="V1051" s="36"/>
      <c r="W1051" s="36"/>
      <c r="X1051" s="36"/>
      <c r="Y1051" s="27"/>
      <c r="AA1051" s="9"/>
      <c r="AB1051" s="72"/>
    </row>
    <row r="1052" spans="6:28">
      <c r="F1052" s="48"/>
      <c r="G1052" s="32"/>
      <c r="H1052" s="68"/>
      <c r="I1052" s="36"/>
      <c r="J1052" s="27"/>
      <c r="K1052" s="27"/>
      <c r="L1052" s="27"/>
      <c r="M1052" s="27"/>
      <c r="N1052" s="27"/>
      <c r="O1052" s="64"/>
      <c r="P1052" s="64"/>
      <c r="Q1052" s="27"/>
      <c r="R1052" s="34"/>
      <c r="S1052" s="36"/>
      <c r="T1052" s="34"/>
      <c r="U1052" s="71"/>
      <c r="V1052" s="36"/>
      <c r="W1052" s="36"/>
      <c r="X1052" s="36"/>
      <c r="Y1052" s="27"/>
      <c r="AA1052" s="9"/>
      <c r="AB1052" s="72"/>
    </row>
    <row r="1053" spans="6:28">
      <c r="F1053" s="48"/>
      <c r="G1053" s="32"/>
      <c r="H1053" s="68"/>
      <c r="I1053" s="36"/>
      <c r="J1053" s="27"/>
      <c r="K1053" s="27"/>
      <c r="L1053" s="27"/>
      <c r="M1053" s="27"/>
      <c r="N1053" s="27"/>
      <c r="O1053" s="64"/>
      <c r="P1053" s="64"/>
      <c r="Q1053" s="27"/>
      <c r="R1053" s="34"/>
      <c r="S1053" s="36"/>
      <c r="T1053" s="34"/>
      <c r="U1053" s="71"/>
      <c r="V1053" s="36"/>
      <c r="W1053" s="36"/>
      <c r="X1053" s="36"/>
      <c r="Y1053" s="27"/>
      <c r="AA1053" s="9"/>
      <c r="AB1053" s="72"/>
    </row>
    <row r="1054" spans="6:28">
      <c r="F1054" s="48"/>
      <c r="G1054" s="32"/>
      <c r="H1054" s="68"/>
      <c r="I1054" s="36"/>
      <c r="J1054" s="27"/>
      <c r="K1054" s="27"/>
      <c r="L1054" s="27"/>
      <c r="M1054" s="27"/>
      <c r="N1054" s="27"/>
      <c r="O1054" s="64"/>
      <c r="P1054" s="64"/>
      <c r="Q1054" s="27"/>
      <c r="R1054" s="34"/>
      <c r="S1054" s="36"/>
      <c r="T1054" s="34"/>
      <c r="U1054" s="71"/>
      <c r="V1054" s="36"/>
      <c r="W1054" s="36"/>
      <c r="X1054" s="36"/>
      <c r="Y1054" s="27"/>
      <c r="AA1054" s="9"/>
      <c r="AB1054" s="72"/>
    </row>
    <row r="1055" spans="6:28">
      <c r="F1055" s="48"/>
      <c r="G1055" s="32"/>
      <c r="H1055" s="68"/>
      <c r="I1055" s="36"/>
      <c r="J1055" s="27"/>
      <c r="K1055" s="27"/>
      <c r="L1055" s="27"/>
      <c r="M1055" s="27"/>
      <c r="N1055" s="27"/>
      <c r="O1055" s="64"/>
      <c r="P1055" s="64"/>
      <c r="Q1055" s="27"/>
      <c r="R1055" s="34"/>
      <c r="S1055" s="36"/>
      <c r="T1055" s="34"/>
      <c r="U1055" s="71"/>
      <c r="V1055" s="36"/>
      <c r="W1055" s="36"/>
      <c r="X1055" s="36"/>
      <c r="Y1055" s="27"/>
      <c r="AA1055" s="9"/>
      <c r="AB1055" s="72"/>
    </row>
    <row r="1056" spans="6:28">
      <c r="F1056" s="48"/>
      <c r="G1056" s="32"/>
      <c r="H1056" s="68"/>
      <c r="I1056" s="36"/>
      <c r="J1056" s="27"/>
      <c r="K1056" s="27"/>
      <c r="L1056" s="27"/>
      <c r="M1056" s="27"/>
      <c r="N1056" s="27"/>
      <c r="O1056" s="64"/>
      <c r="P1056" s="64"/>
      <c r="Q1056" s="27"/>
      <c r="R1056" s="34"/>
      <c r="S1056" s="36"/>
      <c r="T1056" s="34"/>
      <c r="U1056" s="71"/>
      <c r="V1056" s="36"/>
      <c r="W1056" s="36"/>
      <c r="X1056" s="36"/>
      <c r="Y1056" s="27"/>
      <c r="AA1056" s="9"/>
      <c r="AB1056" s="72"/>
    </row>
    <row r="1057" spans="6:28">
      <c r="F1057" s="48"/>
      <c r="G1057" s="32"/>
      <c r="H1057" s="68"/>
      <c r="I1057" s="36"/>
      <c r="J1057" s="27"/>
      <c r="K1057" s="27"/>
      <c r="L1057" s="27"/>
      <c r="M1057" s="27"/>
      <c r="N1057" s="27"/>
      <c r="O1057" s="64"/>
      <c r="P1057" s="64"/>
      <c r="Q1057" s="27"/>
      <c r="R1057" s="34"/>
      <c r="S1057" s="36"/>
      <c r="T1057" s="34"/>
      <c r="U1057" s="71"/>
      <c r="V1057" s="36"/>
      <c r="W1057" s="36"/>
      <c r="X1057" s="36"/>
      <c r="Y1057" s="27"/>
      <c r="AA1057" s="9"/>
      <c r="AB1057" s="72"/>
    </row>
    <row r="1058" spans="6:28">
      <c r="F1058" s="48"/>
      <c r="G1058" s="32"/>
      <c r="H1058" s="68"/>
      <c r="I1058" s="36"/>
      <c r="J1058" s="27"/>
      <c r="K1058" s="27"/>
      <c r="L1058" s="27"/>
      <c r="M1058" s="27"/>
      <c r="N1058" s="27"/>
      <c r="O1058" s="64"/>
      <c r="P1058" s="64"/>
      <c r="Q1058" s="27"/>
      <c r="R1058" s="34"/>
      <c r="S1058" s="36"/>
      <c r="T1058" s="34"/>
      <c r="U1058" s="71"/>
      <c r="V1058" s="36"/>
      <c r="W1058" s="36"/>
      <c r="X1058" s="36"/>
      <c r="Y1058" s="27"/>
      <c r="AA1058" s="9"/>
      <c r="AB1058" s="72"/>
    </row>
    <row r="1059" spans="6:28">
      <c r="F1059" s="48"/>
      <c r="G1059" s="32"/>
      <c r="H1059" s="68"/>
      <c r="I1059" s="36"/>
      <c r="J1059" s="27"/>
      <c r="K1059" s="27"/>
      <c r="L1059" s="27"/>
      <c r="M1059" s="27"/>
      <c r="N1059" s="27"/>
      <c r="O1059" s="64"/>
      <c r="P1059" s="64"/>
      <c r="Q1059" s="27"/>
      <c r="R1059" s="34"/>
      <c r="S1059" s="36"/>
      <c r="T1059" s="34"/>
      <c r="U1059" s="71"/>
      <c r="V1059" s="36"/>
      <c r="W1059" s="36"/>
      <c r="X1059" s="36"/>
      <c r="Y1059" s="27"/>
      <c r="AA1059" s="9"/>
      <c r="AB1059" s="72"/>
    </row>
    <row r="1060" spans="6:28">
      <c r="F1060" s="48"/>
      <c r="G1060" s="32"/>
      <c r="H1060" s="68"/>
      <c r="I1060" s="36"/>
      <c r="J1060" s="27"/>
      <c r="K1060" s="27"/>
      <c r="L1060" s="27"/>
      <c r="M1060" s="27"/>
      <c r="N1060" s="27"/>
      <c r="O1060" s="64"/>
      <c r="P1060" s="64"/>
      <c r="Q1060" s="27"/>
      <c r="R1060" s="34"/>
      <c r="S1060" s="36"/>
      <c r="T1060" s="34"/>
      <c r="U1060" s="71"/>
      <c r="V1060" s="36"/>
      <c r="W1060" s="36"/>
      <c r="X1060" s="36"/>
      <c r="Y1060" s="27"/>
      <c r="AA1060" s="9"/>
      <c r="AB1060" s="72"/>
    </row>
    <row r="1061" spans="6:28">
      <c r="F1061" s="48"/>
      <c r="G1061" s="32"/>
      <c r="H1061" s="68"/>
      <c r="I1061" s="36"/>
      <c r="J1061" s="27"/>
      <c r="K1061" s="27"/>
      <c r="L1061" s="27"/>
      <c r="M1061" s="27"/>
      <c r="N1061" s="27"/>
      <c r="O1061" s="64"/>
      <c r="P1061" s="64"/>
      <c r="Q1061" s="27"/>
      <c r="R1061" s="34"/>
      <c r="S1061" s="36"/>
      <c r="T1061" s="34"/>
      <c r="U1061" s="71"/>
      <c r="V1061" s="36"/>
      <c r="W1061" s="36"/>
      <c r="X1061" s="36"/>
      <c r="Y1061" s="27"/>
      <c r="AA1061" s="9"/>
      <c r="AB1061" s="72"/>
    </row>
    <row r="1062" spans="6:28">
      <c r="F1062" s="48"/>
      <c r="G1062" s="32"/>
      <c r="H1062" s="68"/>
      <c r="I1062" s="36"/>
      <c r="J1062" s="27"/>
      <c r="K1062" s="27"/>
      <c r="L1062" s="27"/>
      <c r="M1062" s="27"/>
      <c r="N1062" s="27"/>
      <c r="O1062" s="64"/>
      <c r="P1062" s="64"/>
      <c r="Q1062" s="27"/>
      <c r="R1062" s="34"/>
      <c r="S1062" s="36"/>
      <c r="T1062" s="34"/>
      <c r="U1062" s="71"/>
      <c r="V1062" s="36"/>
      <c r="W1062" s="36"/>
      <c r="X1062" s="36"/>
      <c r="Y1062" s="27"/>
      <c r="AA1062" s="9"/>
      <c r="AB1062" s="72"/>
    </row>
    <row r="1063" spans="6:28">
      <c r="F1063" s="48"/>
      <c r="G1063" s="32"/>
      <c r="H1063" s="68"/>
      <c r="I1063" s="36"/>
      <c r="J1063" s="27"/>
      <c r="K1063" s="27"/>
      <c r="L1063" s="27"/>
      <c r="M1063" s="27"/>
      <c r="N1063" s="27"/>
      <c r="O1063" s="64"/>
      <c r="P1063" s="64"/>
      <c r="Q1063" s="27"/>
      <c r="R1063" s="34"/>
      <c r="S1063" s="36"/>
      <c r="T1063" s="34"/>
      <c r="U1063" s="71"/>
      <c r="V1063" s="36"/>
      <c r="W1063" s="36"/>
      <c r="X1063" s="36"/>
      <c r="Y1063" s="27"/>
      <c r="AA1063" s="9"/>
      <c r="AB1063" s="72"/>
    </row>
    <row r="1064" spans="6:28">
      <c r="F1064" s="48"/>
      <c r="G1064" s="32"/>
      <c r="H1064" s="68"/>
      <c r="I1064" s="36"/>
      <c r="J1064" s="27"/>
      <c r="K1064" s="27"/>
      <c r="L1064" s="27"/>
      <c r="M1064" s="27"/>
      <c r="N1064" s="27"/>
      <c r="O1064" s="64"/>
      <c r="P1064" s="64"/>
      <c r="Q1064" s="27"/>
      <c r="R1064" s="34"/>
      <c r="S1064" s="36"/>
      <c r="T1064" s="34"/>
      <c r="U1064" s="71"/>
      <c r="V1064" s="36"/>
      <c r="W1064" s="36"/>
      <c r="X1064" s="36"/>
      <c r="Y1064" s="27"/>
      <c r="AA1064" s="9"/>
      <c r="AB1064" s="72"/>
    </row>
    <row r="1065" spans="6:28">
      <c r="F1065" s="48"/>
      <c r="G1065" s="32"/>
      <c r="H1065" s="68"/>
      <c r="I1065" s="36"/>
      <c r="J1065" s="27"/>
      <c r="K1065" s="27"/>
      <c r="L1065" s="27"/>
      <c r="M1065" s="27"/>
      <c r="N1065" s="27"/>
      <c r="O1065" s="64"/>
      <c r="P1065" s="64"/>
      <c r="Q1065" s="27"/>
      <c r="R1065" s="34"/>
      <c r="S1065" s="36"/>
      <c r="T1065" s="34"/>
      <c r="U1065" s="71"/>
      <c r="V1065" s="36"/>
      <c r="W1065" s="36"/>
      <c r="X1065" s="36"/>
      <c r="Y1065" s="27"/>
      <c r="AA1065" s="9"/>
      <c r="AB1065" s="72"/>
    </row>
    <row r="1066" spans="6:28">
      <c r="F1066" s="48"/>
      <c r="G1066" s="32"/>
      <c r="H1066" s="68"/>
      <c r="I1066" s="36"/>
      <c r="J1066" s="27"/>
      <c r="K1066" s="27"/>
      <c r="L1066" s="27"/>
      <c r="M1066" s="27"/>
      <c r="N1066" s="27"/>
      <c r="O1066" s="64"/>
      <c r="P1066" s="64"/>
      <c r="Q1066" s="27"/>
      <c r="R1066" s="34"/>
      <c r="S1066" s="36"/>
      <c r="T1066" s="34"/>
      <c r="U1066" s="71"/>
      <c r="V1066" s="36"/>
      <c r="W1066" s="36"/>
      <c r="X1066" s="36"/>
      <c r="Y1066" s="27"/>
      <c r="AA1066" s="9"/>
      <c r="AB1066" s="72"/>
    </row>
    <row r="1067" spans="6:28">
      <c r="F1067" s="48"/>
      <c r="G1067" s="32"/>
      <c r="H1067" s="68"/>
      <c r="I1067" s="36"/>
      <c r="J1067" s="27"/>
      <c r="K1067" s="27"/>
      <c r="L1067" s="27"/>
      <c r="M1067" s="27"/>
      <c r="N1067" s="27"/>
      <c r="O1067" s="64"/>
      <c r="P1067" s="64"/>
      <c r="Q1067" s="27"/>
      <c r="R1067" s="34"/>
      <c r="S1067" s="36"/>
      <c r="T1067" s="34"/>
      <c r="U1067" s="71"/>
      <c r="V1067" s="36"/>
      <c r="W1067" s="36"/>
      <c r="X1067" s="36"/>
      <c r="Y1067" s="27"/>
      <c r="AA1067" s="9"/>
      <c r="AB1067" s="72"/>
    </row>
    <row r="1068" spans="6:28">
      <c r="F1068" s="48"/>
      <c r="G1068" s="32"/>
      <c r="H1068" s="68"/>
      <c r="I1068" s="36"/>
      <c r="J1068" s="27"/>
      <c r="K1068" s="27"/>
      <c r="L1068" s="27"/>
      <c r="M1068" s="27"/>
      <c r="N1068" s="27"/>
      <c r="O1068" s="64"/>
      <c r="P1068" s="64"/>
      <c r="Q1068" s="27"/>
      <c r="R1068" s="34"/>
      <c r="S1068" s="36"/>
      <c r="T1068" s="34"/>
      <c r="U1068" s="71"/>
      <c r="V1068" s="36"/>
      <c r="W1068" s="36"/>
      <c r="X1068" s="36"/>
      <c r="Y1068" s="27"/>
      <c r="AA1068" s="9"/>
      <c r="AB1068" s="72"/>
    </row>
    <row r="1069" spans="6:28">
      <c r="F1069" s="48"/>
      <c r="G1069" s="32"/>
      <c r="H1069" s="68"/>
      <c r="I1069" s="36"/>
      <c r="J1069" s="27"/>
      <c r="K1069" s="27"/>
      <c r="L1069" s="27"/>
      <c r="M1069" s="27"/>
      <c r="N1069" s="27"/>
      <c r="O1069" s="64"/>
      <c r="P1069" s="64"/>
      <c r="Q1069" s="27"/>
      <c r="R1069" s="34"/>
      <c r="S1069" s="36"/>
      <c r="T1069" s="34"/>
      <c r="U1069" s="71"/>
      <c r="V1069" s="36"/>
      <c r="W1069" s="36"/>
      <c r="X1069" s="36"/>
      <c r="Y1069" s="27"/>
      <c r="AA1069" s="9"/>
      <c r="AB1069" s="72"/>
    </row>
    <row r="1070" spans="6:28">
      <c r="F1070" s="48"/>
      <c r="G1070" s="32"/>
      <c r="H1070" s="68"/>
      <c r="I1070" s="36"/>
      <c r="J1070" s="27"/>
      <c r="K1070" s="27"/>
      <c r="L1070" s="27"/>
      <c r="M1070" s="27"/>
      <c r="N1070" s="27"/>
      <c r="O1070" s="64"/>
      <c r="P1070" s="64"/>
      <c r="Q1070" s="27"/>
      <c r="R1070" s="34"/>
      <c r="S1070" s="36"/>
      <c r="T1070" s="34"/>
      <c r="U1070" s="71"/>
      <c r="V1070" s="36"/>
      <c r="W1070" s="36"/>
      <c r="X1070" s="36"/>
      <c r="Y1070" s="27"/>
      <c r="AA1070" s="9"/>
      <c r="AB1070" s="72"/>
    </row>
    <row r="1071" spans="6:28">
      <c r="F1071" s="48"/>
      <c r="G1071" s="32"/>
      <c r="H1071" s="68"/>
      <c r="I1071" s="36"/>
      <c r="J1071" s="27"/>
      <c r="K1071" s="27"/>
      <c r="L1071" s="27"/>
      <c r="M1071" s="27"/>
      <c r="N1071" s="27"/>
      <c r="O1071" s="64"/>
      <c r="P1071" s="64"/>
      <c r="Q1071" s="27"/>
      <c r="R1071" s="34"/>
      <c r="S1071" s="36"/>
      <c r="T1071" s="34"/>
      <c r="U1071" s="71"/>
      <c r="V1071" s="36"/>
      <c r="W1071" s="36"/>
      <c r="X1071" s="36"/>
      <c r="Y1071" s="27"/>
      <c r="AA1071" s="9"/>
      <c r="AB1071" s="72"/>
    </row>
    <row r="1072" spans="6:28">
      <c r="F1072" s="48"/>
      <c r="G1072" s="32"/>
      <c r="H1072" s="68"/>
      <c r="I1072" s="36"/>
      <c r="J1072" s="27"/>
      <c r="K1072" s="27"/>
      <c r="L1072" s="27"/>
      <c r="M1072" s="27"/>
      <c r="N1072" s="27"/>
      <c r="O1072" s="64"/>
      <c r="P1072" s="64"/>
      <c r="Q1072" s="27"/>
      <c r="R1072" s="34"/>
      <c r="S1072" s="36"/>
      <c r="T1072" s="34"/>
      <c r="U1072" s="71"/>
      <c r="V1072" s="36"/>
      <c r="W1072" s="36"/>
      <c r="X1072" s="36"/>
      <c r="Y1072" s="27"/>
      <c r="AA1072" s="9"/>
      <c r="AB1072" s="72"/>
    </row>
    <row r="1073" spans="6:28">
      <c r="F1073" s="48"/>
      <c r="G1073" s="32"/>
      <c r="H1073" s="68"/>
      <c r="I1073" s="36"/>
      <c r="J1073" s="27"/>
      <c r="K1073" s="27"/>
      <c r="L1073" s="27"/>
      <c r="M1073" s="27"/>
      <c r="N1073" s="27"/>
      <c r="O1073" s="64"/>
      <c r="P1073" s="64"/>
      <c r="Q1073" s="27"/>
      <c r="R1073" s="34"/>
      <c r="S1073" s="36"/>
      <c r="T1073" s="34"/>
      <c r="U1073" s="71"/>
      <c r="V1073" s="36"/>
      <c r="W1073" s="36"/>
      <c r="X1073" s="36"/>
      <c r="Y1073" s="27"/>
      <c r="AA1073" s="9"/>
      <c r="AB1073" s="72"/>
    </row>
    <row r="1074" spans="6:28">
      <c r="F1074" s="48"/>
      <c r="G1074" s="32"/>
      <c r="H1074" s="68"/>
      <c r="I1074" s="36"/>
      <c r="J1074" s="27"/>
      <c r="K1074" s="27"/>
      <c r="L1074" s="27"/>
      <c r="M1074" s="27"/>
      <c r="N1074" s="27"/>
      <c r="O1074" s="64"/>
      <c r="P1074" s="64"/>
      <c r="Q1074" s="27"/>
      <c r="R1074" s="34"/>
      <c r="S1074" s="36"/>
      <c r="T1074" s="34"/>
      <c r="U1074" s="71"/>
      <c r="V1074" s="36"/>
      <c r="W1074" s="36"/>
      <c r="X1074" s="36"/>
      <c r="Y1074" s="27"/>
      <c r="AA1074" s="9"/>
      <c r="AB1074" s="72"/>
    </row>
    <row r="1075" spans="6:28">
      <c r="F1075" s="48"/>
      <c r="G1075" s="32"/>
      <c r="H1075" s="68"/>
      <c r="I1075" s="36"/>
      <c r="J1075" s="27"/>
      <c r="K1075" s="27"/>
      <c r="L1075" s="27"/>
      <c r="M1075" s="27"/>
      <c r="N1075" s="27"/>
      <c r="O1075" s="64"/>
      <c r="P1075" s="64"/>
      <c r="Q1075" s="27"/>
      <c r="R1075" s="34"/>
      <c r="S1075" s="36"/>
      <c r="T1075" s="34"/>
      <c r="U1075" s="71"/>
      <c r="V1075" s="36"/>
      <c r="W1075" s="36"/>
      <c r="X1075" s="36"/>
      <c r="Y1075" s="27"/>
      <c r="AA1075" s="9"/>
      <c r="AB1075" s="72"/>
    </row>
    <row r="1076" spans="6:28">
      <c r="F1076" s="48"/>
      <c r="G1076" s="32"/>
      <c r="H1076" s="68"/>
      <c r="I1076" s="36"/>
      <c r="J1076" s="27"/>
      <c r="K1076" s="27"/>
      <c r="L1076" s="27"/>
      <c r="M1076" s="27"/>
      <c r="N1076" s="27"/>
      <c r="O1076" s="64"/>
      <c r="P1076" s="64"/>
      <c r="Q1076" s="27"/>
      <c r="R1076" s="34"/>
      <c r="S1076" s="36"/>
      <c r="T1076" s="34"/>
      <c r="U1076" s="71"/>
      <c r="V1076" s="36"/>
      <c r="W1076" s="36"/>
      <c r="X1076" s="36"/>
      <c r="Y1076" s="27"/>
      <c r="AA1076" s="9"/>
      <c r="AB1076" s="72"/>
    </row>
    <row r="1077" spans="6:28">
      <c r="F1077" s="48"/>
      <c r="G1077" s="32"/>
      <c r="H1077" s="68"/>
      <c r="I1077" s="36"/>
      <c r="J1077" s="27"/>
      <c r="K1077" s="27"/>
      <c r="L1077" s="27"/>
      <c r="M1077" s="27"/>
      <c r="N1077" s="27"/>
      <c r="O1077" s="64"/>
      <c r="P1077" s="64"/>
      <c r="Q1077" s="27"/>
      <c r="R1077" s="34"/>
      <c r="S1077" s="36"/>
      <c r="T1077" s="34"/>
      <c r="U1077" s="71"/>
      <c r="V1077" s="36"/>
      <c r="W1077" s="36"/>
      <c r="X1077" s="36"/>
      <c r="Y1077" s="27"/>
      <c r="AA1077" s="9"/>
      <c r="AB1077" s="72"/>
    </row>
    <row r="1078" spans="6:28">
      <c r="F1078" s="48"/>
      <c r="G1078" s="32"/>
      <c r="H1078" s="68"/>
      <c r="I1078" s="36"/>
      <c r="J1078" s="27"/>
      <c r="K1078" s="27"/>
      <c r="L1078" s="27"/>
      <c r="M1078" s="27"/>
      <c r="N1078" s="27"/>
      <c r="O1078" s="64"/>
      <c r="P1078" s="64"/>
      <c r="Q1078" s="27"/>
      <c r="R1078" s="34"/>
      <c r="S1078" s="36"/>
      <c r="T1078" s="34"/>
      <c r="U1078" s="71"/>
      <c r="V1078" s="36"/>
      <c r="W1078" s="36"/>
      <c r="X1078" s="36"/>
      <c r="Y1078" s="27"/>
      <c r="AA1078" s="9"/>
      <c r="AB1078" s="72"/>
    </row>
    <row r="1079" spans="6:28">
      <c r="F1079" s="48"/>
      <c r="G1079" s="32"/>
      <c r="H1079" s="68"/>
      <c r="I1079" s="36"/>
      <c r="J1079" s="27"/>
      <c r="K1079" s="27"/>
      <c r="L1079" s="27"/>
      <c r="M1079" s="27"/>
      <c r="N1079" s="27"/>
      <c r="O1079" s="64"/>
      <c r="P1079" s="64"/>
      <c r="Q1079" s="27"/>
      <c r="R1079" s="34"/>
      <c r="S1079" s="36"/>
      <c r="T1079" s="34"/>
      <c r="U1079" s="71"/>
      <c r="V1079" s="36"/>
      <c r="W1079" s="36"/>
      <c r="X1079" s="36"/>
      <c r="Y1079" s="27"/>
      <c r="AA1079" s="9"/>
      <c r="AB1079" s="72"/>
    </row>
    <row r="1080" spans="6:28">
      <c r="F1080" s="48"/>
      <c r="G1080" s="32"/>
      <c r="H1080" s="68"/>
      <c r="I1080" s="36"/>
      <c r="J1080" s="27"/>
      <c r="K1080" s="27"/>
      <c r="L1080" s="27"/>
      <c r="M1080" s="27"/>
      <c r="N1080" s="27"/>
      <c r="O1080" s="64"/>
      <c r="P1080" s="64"/>
      <c r="Q1080" s="27"/>
      <c r="R1080" s="34"/>
      <c r="S1080" s="36"/>
      <c r="T1080" s="34"/>
      <c r="U1080" s="71"/>
      <c r="V1080" s="36"/>
      <c r="W1080" s="36"/>
      <c r="X1080" s="36"/>
      <c r="Y1080" s="27"/>
      <c r="AA1080" s="9"/>
      <c r="AB1080" s="72"/>
    </row>
    <row r="1081" spans="6:28">
      <c r="F1081" s="48"/>
      <c r="G1081" s="32"/>
      <c r="H1081" s="68"/>
      <c r="I1081" s="36"/>
      <c r="J1081" s="27"/>
      <c r="K1081" s="27"/>
      <c r="L1081" s="27"/>
      <c r="M1081" s="27"/>
      <c r="N1081" s="27"/>
      <c r="O1081" s="64"/>
      <c r="P1081" s="64"/>
      <c r="Q1081" s="27"/>
      <c r="R1081" s="34"/>
      <c r="S1081" s="36"/>
      <c r="T1081" s="34"/>
      <c r="U1081" s="71"/>
      <c r="V1081" s="36"/>
      <c r="W1081" s="36"/>
      <c r="X1081" s="36"/>
      <c r="Y1081" s="27"/>
      <c r="AA1081" s="9"/>
      <c r="AB1081" s="72"/>
    </row>
    <row r="1082" spans="6:28">
      <c r="F1082" s="48"/>
      <c r="G1082" s="32"/>
      <c r="H1082" s="68"/>
      <c r="I1082" s="36"/>
      <c r="J1082" s="27"/>
      <c r="K1082" s="27"/>
      <c r="L1082" s="27"/>
      <c r="M1082" s="27"/>
      <c r="N1082" s="27"/>
      <c r="O1082" s="64"/>
      <c r="P1082" s="64"/>
      <c r="Q1082" s="27"/>
      <c r="R1082" s="34"/>
      <c r="S1082" s="36"/>
      <c r="T1082" s="34"/>
      <c r="U1082" s="71"/>
      <c r="V1082" s="36"/>
      <c r="W1082" s="36"/>
      <c r="X1082" s="36"/>
      <c r="Y1082" s="27"/>
      <c r="AA1082" s="9"/>
      <c r="AB1082" s="72"/>
    </row>
    <row r="1083" spans="6:28">
      <c r="F1083" s="48"/>
      <c r="G1083" s="32"/>
      <c r="H1083" s="68"/>
      <c r="I1083" s="36"/>
      <c r="J1083" s="27"/>
      <c r="K1083" s="27"/>
      <c r="L1083" s="27"/>
      <c r="M1083" s="27"/>
      <c r="N1083" s="27"/>
      <c r="O1083" s="64"/>
      <c r="P1083" s="64"/>
      <c r="Q1083" s="27"/>
      <c r="R1083" s="34"/>
      <c r="S1083" s="36"/>
      <c r="T1083" s="34"/>
      <c r="U1083" s="71"/>
      <c r="V1083" s="36"/>
      <c r="W1083" s="36"/>
      <c r="X1083" s="36"/>
      <c r="Y1083" s="27"/>
      <c r="AA1083" s="9"/>
      <c r="AB1083" s="72"/>
    </row>
    <row r="1084" spans="6:28">
      <c r="F1084" s="48"/>
      <c r="G1084" s="32"/>
      <c r="H1084" s="68"/>
      <c r="I1084" s="36"/>
      <c r="J1084" s="27"/>
      <c r="K1084" s="27"/>
      <c r="L1084" s="27"/>
      <c r="M1084" s="27"/>
      <c r="N1084" s="27"/>
      <c r="O1084" s="64"/>
      <c r="P1084" s="64"/>
      <c r="Q1084" s="27"/>
      <c r="R1084" s="34"/>
      <c r="S1084" s="36"/>
      <c r="T1084" s="34"/>
      <c r="U1084" s="71"/>
      <c r="V1084" s="36"/>
      <c r="W1084" s="36"/>
      <c r="X1084" s="36"/>
      <c r="Y1084" s="27"/>
      <c r="AA1084" s="9"/>
      <c r="AB1084" s="72"/>
    </row>
    <row r="1085" spans="6:28">
      <c r="F1085" s="48"/>
      <c r="G1085" s="32"/>
      <c r="H1085" s="68"/>
      <c r="I1085" s="36"/>
      <c r="J1085" s="27"/>
      <c r="K1085" s="27"/>
      <c r="L1085" s="27"/>
      <c r="M1085" s="27"/>
      <c r="N1085" s="27"/>
      <c r="O1085" s="64"/>
      <c r="P1085" s="64"/>
      <c r="Q1085" s="27"/>
      <c r="R1085" s="34"/>
      <c r="S1085" s="36"/>
      <c r="T1085" s="34"/>
      <c r="U1085" s="71"/>
      <c r="V1085" s="36"/>
      <c r="W1085" s="36"/>
      <c r="X1085" s="36"/>
      <c r="Y1085" s="27"/>
      <c r="AA1085" s="9"/>
      <c r="AB1085" s="72"/>
    </row>
    <row r="1086" spans="6:28">
      <c r="F1086" s="48"/>
      <c r="G1086" s="32"/>
      <c r="H1086" s="68"/>
      <c r="I1086" s="36"/>
      <c r="J1086" s="27"/>
      <c r="K1086" s="27"/>
      <c r="L1086" s="27"/>
      <c r="M1086" s="27"/>
      <c r="N1086" s="27"/>
      <c r="O1086" s="64"/>
      <c r="P1086" s="64"/>
      <c r="Q1086" s="27"/>
      <c r="R1086" s="34"/>
      <c r="S1086" s="36"/>
      <c r="T1086" s="34"/>
      <c r="U1086" s="71"/>
      <c r="V1086" s="36"/>
      <c r="W1086" s="36"/>
      <c r="X1086" s="36"/>
      <c r="Y1086" s="27"/>
      <c r="AA1086" s="9"/>
      <c r="AB1086" s="72"/>
    </row>
    <row r="1087" spans="6:28">
      <c r="F1087" s="48"/>
      <c r="G1087" s="32"/>
      <c r="H1087" s="68"/>
      <c r="I1087" s="36"/>
      <c r="J1087" s="27"/>
      <c r="K1087" s="27"/>
      <c r="L1087" s="27"/>
      <c r="M1087" s="27"/>
      <c r="N1087" s="27"/>
      <c r="O1087" s="64"/>
      <c r="P1087" s="64"/>
      <c r="Q1087" s="27"/>
      <c r="R1087" s="34"/>
      <c r="S1087" s="36"/>
      <c r="T1087" s="34"/>
      <c r="U1087" s="71"/>
      <c r="V1087" s="36"/>
      <c r="W1087" s="36"/>
      <c r="X1087" s="36"/>
      <c r="Y1087" s="27"/>
      <c r="AA1087" s="9"/>
      <c r="AB1087" s="72"/>
    </row>
    <row r="1088" spans="6:28">
      <c r="F1088" s="48"/>
      <c r="G1088" s="32"/>
      <c r="H1088" s="68"/>
      <c r="I1088" s="36"/>
      <c r="J1088" s="27"/>
      <c r="K1088" s="27"/>
      <c r="L1088" s="27"/>
      <c r="M1088" s="27"/>
      <c r="N1088" s="27"/>
      <c r="O1088" s="64"/>
      <c r="P1088" s="64"/>
      <c r="Q1088" s="27"/>
      <c r="R1088" s="34"/>
      <c r="S1088" s="36"/>
      <c r="T1088" s="34"/>
      <c r="U1088" s="71"/>
      <c r="V1088" s="36"/>
      <c r="W1088" s="36"/>
      <c r="X1088" s="36"/>
      <c r="Y1088" s="27"/>
      <c r="AA1088" s="9"/>
      <c r="AB1088" s="72"/>
    </row>
    <row r="1089" spans="6:28">
      <c r="F1089" s="48"/>
      <c r="G1089" s="32"/>
      <c r="H1089" s="68"/>
      <c r="I1089" s="36"/>
      <c r="J1089" s="27"/>
      <c r="K1089" s="27"/>
      <c r="L1089" s="27"/>
      <c r="M1089" s="27"/>
      <c r="N1089" s="27"/>
      <c r="O1089" s="64"/>
      <c r="P1089" s="64"/>
      <c r="Q1089" s="27"/>
      <c r="R1089" s="34"/>
      <c r="S1089" s="36"/>
      <c r="T1089" s="34"/>
      <c r="U1089" s="71"/>
      <c r="V1089" s="36"/>
      <c r="W1089" s="36"/>
      <c r="X1089" s="36"/>
      <c r="Y1089" s="27"/>
      <c r="AA1089" s="9"/>
      <c r="AB1089" s="72"/>
    </row>
    <row r="1090" spans="6:28">
      <c r="F1090" s="48"/>
      <c r="G1090" s="32"/>
      <c r="H1090" s="68"/>
      <c r="I1090" s="36"/>
      <c r="J1090" s="27"/>
      <c r="K1090" s="27"/>
      <c r="L1090" s="27"/>
      <c r="M1090" s="27"/>
      <c r="N1090" s="27"/>
      <c r="O1090" s="64"/>
      <c r="P1090" s="64"/>
      <c r="Q1090" s="27"/>
      <c r="R1090" s="34"/>
      <c r="S1090" s="36"/>
      <c r="T1090" s="34"/>
      <c r="U1090" s="71"/>
      <c r="V1090" s="36"/>
      <c r="W1090" s="36"/>
      <c r="X1090" s="36"/>
      <c r="Y1090" s="27"/>
      <c r="AA1090" s="9"/>
      <c r="AB1090" s="72"/>
    </row>
    <row r="1091" spans="6:28">
      <c r="F1091" s="48"/>
      <c r="G1091" s="32"/>
      <c r="H1091" s="68"/>
      <c r="I1091" s="36"/>
      <c r="J1091" s="27"/>
      <c r="K1091" s="27"/>
      <c r="L1091" s="27"/>
      <c r="M1091" s="27"/>
      <c r="N1091" s="27"/>
      <c r="O1091" s="64"/>
      <c r="P1091" s="64"/>
      <c r="Q1091" s="27"/>
      <c r="R1091" s="34"/>
      <c r="S1091" s="36"/>
      <c r="T1091" s="34"/>
      <c r="U1091" s="71"/>
      <c r="V1091" s="36"/>
      <c r="W1091" s="36"/>
      <c r="X1091" s="36"/>
      <c r="Y1091" s="27"/>
      <c r="AA1091" s="9"/>
      <c r="AB1091" s="72"/>
    </row>
    <row r="1092" spans="6:28">
      <c r="F1092" s="48"/>
      <c r="G1092" s="32"/>
      <c r="H1092" s="68"/>
      <c r="I1092" s="36"/>
      <c r="J1092" s="27"/>
      <c r="K1092" s="27"/>
      <c r="L1092" s="27"/>
      <c r="M1092" s="27"/>
      <c r="N1092" s="27"/>
      <c r="O1092" s="64"/>
      <c r="P1092" s="64"/>
      <c r="Q1092" s="27"/>
      <c r="R1092" s="34"/>
      <c r="S1092" s="36"/>
      <c r="T1092" s="34"/>
      <c r="U1092" s="71"/>
      <c r="V1092" s="36"/>
      <c r="W1092" s="36"/>
      <c r="X1092" s="36"/>
      <c r="Y1092" s="27"/>
      <c r="AA1092" s="9"/>
      <c r="AB1092" s="72"/>
    </row>
    <row r="1093" spans="6:28">
      <c r="F1093" s="48"/>
      <c r="G1093" s="32"/>
      <c r="H1093" s="68"/>
      <c r="I1093" s="36"/>
      <c r="J1093" s="27"/>
      <c r="K1093" s="27"/>
      <c r="L1093" s="27"/>
      <c r="M1093" s="27"/>
      <c r="N1093" s="27"/>
      <c r="O1093" s="64"/>
      <c r="P1093" s="64"/>
      <c r="Q1093" s="27"/>
      <c r="R1093" s="34"/>
      <c r="S1093" s="36"/>
      <c r="T1093" s="34"/>
      <c r="U1093" s="71"/>
      <c r="V1093" s="36"/>
      <c r="W1093" s="36"/>
      <c r="X1093" s="36"/>
      <c r="Y1093" s="27"/>
      <c r="AA1093" s="9"/>
      <c r="AB1093" s="72"/>
    </row>
    <row r="1094" spans="6:28">
      <c r="F1094" s="48"/>
      <c r="G1094" s="32"/>
      <c r="H1094" s="68"/>
      <c r="I1094" s="36"/>
      <c r="J1094" s="27"/>
      <c r="K1094" s="27"/>
      <c r="L1094" s="27"/>
      <c r="M1094" s="27"/>
      <c r="N1094" s="27"/>
      <c r="O1094" s="64"/>
      <c r="P1094" s="64"/>
      <c r="Q1094" s="27"/>
      <c r="R1094" s="34"/>
      <c r="S1094" s="36"/>
      <c r="T1094" s="34"/>
      <c r="U1094" s="71"/>
      <c r="V1094" s="36"/>
      <c r="W1094" s="36"/>
      <c r="X1094" s="36"/>
      <c r="Y1094" s="27"/>
      <c r="AA1094" s="9"/>
      <c r="AB1094" s="72"/>
    </row>
    <row r="1095" spans="6:28">
      <c r="F1095" s="48"/>
      <c r="G1095" s="32"/>
      <c r="H1095" s="68"/>
      <c r="I1095" s="36"/>
      <c r="J1095" s="27"/>
      <c r="K1095" s="27"/>
      <c r="L1095" s="27"/>
      <c r="M1095" s="27"/>
      <c r="N1095" s="27"/>
      <c r="O1095" s="64"/>
      <c r="P1095" s="64"/>
      <c r="Q1095" s="27"/>
      <c r="R1095" s="34"/>
      <c r="S1095" s="36"/>
      <c r="T1095" s="34"/>
      <c r="U1095" s="71"/>
      <c r="V1095" s="36"/>
      <c r="W1095" s="36"/>
      <c r="X1095" s="36"/>
      <c r="Y1095" s="27"/>
      <c r="AA1095" s="9"/>
      <c r="AB1095" s="72"/>
    </row>
    <row r="1096" spans="6:28">
      <c r="F1096" s="48"/>
      <c r="G1096" s="32"/>
      <c r="H1096" s="68"/>
      <c r="I1096" s="36"/>
      <c r="J1096" s="27"/>
      <c r="K1096" s="27"/>
      <c r="L1096" s="27"/>
      <c r="M1096" s="27"/>
      <c r="N1096" s="27"/>
      <c r="O1096" s="64"/>
      <c r="P1096" s="64"/>
      <c r="Q1096" s="27"/>
      <c r="R1096" s="34"/>
      <c r="S1096" s="36"/>
      <c r="T1096" s="34"/>
      <c r="U1096" s="71"/>
      <c r="V1096" s="36"/>
      <c r="W1096" s="36"/>
      <c r="X1096" s="36"/>
      <c r="Y1096" s="27"/>
      <c r="AA1096" s="9"/>
      <c r="AB1096" s="72"/>
    </row>
    <row r="1097" spans="6:28">
      <c r="F1097" s="48"/>
      <c r="G1097" s="32"/>
      <c r="H1097" s="68"/>
      <c r="I1097" s="36"/>
      <c r="J1097" s="27"/>
      <c r="K1097" s="27"/>
      <c r="L1097" s="27"/>
      <c r="M1097" s="27"/>
      <c r="N1097" s="27"/>
      <c r="O1097" s="64"/>
      <c r="P1097" s="64"/>
      <c r="Q1097" s="27"/>
      <c r="R1097" s="34"/>
      <c r="S1097" s="36"/>
      <c r="T1097" s="34"/>
      <c r="U1097" s="71"/>
      <c r="V1097" s="36"/>
      <c r="W1097" s="36"/>
      <c r="X1097" s="36"/>
      <c r="Y1097" s="27"/>
      <c r="AA1097" s="9"/>
      <c r="AB1097" s="72"/>
    </row>
    <row r="1098" spans="6:28">
      <c r="F1098" s="48"/>
      <c r="G1098" s="32"/>
      <c r="H1098" s="68"/>
      <c r="I1098" s="36"/>
      <c r="J1098" s="27"/>
      <c r="K1098" s="27"/>
      <c r="L1098" s="27"/>
      <c r="M1098" s="27"/>
      <c r="N1098" s="27"/>
      <c r="O1098" s="64"/>
      <c r="P1098" s="64"/>
      <c r="Q1098" s="27"/>
      <c r="R1098" s="34"/>
      <c r="S1098" s="36"/>
      <c r="T1098" s="34"/>
      <c r="U1098" s="71"/>
      <c r="V1098" s="36"/>
      <c r="W1098" s="36"/>
      <c r="X1098" s="36"/>
      <c r="Y1098" s="27"/>
      <c r="AA1098" s="9"/>
      <c r="AB1098" s="72"/>
    </row>
    <row r="1099" spans="6:28">
      <c r="F1099" s="48"/>
      <c r="G1099" s="32"/>
      <c r="H1099" s="68"/>
      <c r="I1099" s="36"/>
      <c r="J1099" s="27"/>
      <c r="K1099" s="27"/>
      <c r="L1099" s="27"/>
      <c r="M1099" s="27"/>
      <c r="N1099" s="27"/>
      <c r="O1099" s="64"/>
      <c r="P1099" s="64"/>
      <c r="Q1099" s="27"/>
      <c r="R1099" s="34"/>
      <c r="S1099" s="36"/>
      <c r="T1099" s="34"/>
      <c r="U1099" s="71"/>
      <c r="V1099" s="36"/>
      <c r="W1099" s="36"/>
      <c r="X1099" s="36"/>
      <c r="Y1099" s="27"/>
      <c r="AA1099" s="9"/>
      <c r="AB1099" s="72"/>
    </row>
    <row r="1100" spans="6:28">
      <c r="F1100" s="48"/>
      <c r="G1100" s="32"/>
      <c r="H1100" s="68"/>
      <c r="I1100" s="36"/>
      <c r="J1100" s="27"/>
      <c r="K1100" s="27"/>
      <c r="L1100" s="27"/>
      <c r="M1100" s="27"/>
      <c r="N1100" s="27"/>
      <c r="O1100" s="64"/>
      <c r="P1100" s="64"/>
      <c r="Q1100" s="27"/>
      <c r="R1100" s="34"/>
      <c r="S1100" s="36"/>
      <c r="T1100" s="34"/>
      <c r="U1100" s="71"/>
      <c r="V1100" s="36"/>
      <c r="W1100" s="36"/>
      <c r="X1100" s="36"/>
      <c r="Y1100" s="27"/>
      <c r="AA1100" s="9"/>
      <c r="AB1100" s="72"/>
    </row>
    <row r="1101" spans="6:28">
      <c r="F1101" s="48"/>
      <c r="G1101" s="32"/>
      <c r="H1101" s="68"/>
      <c r="I1101" s="36"/>
      <c r="J1101" s="27"/>
      <c r="K1101" s="27"/>
      <c r="L1101" s="27"/>
      <c r="M1101" s="27"/>
      <c r="N1101" s="27"/>
      <c r="O1101" s="64"/>
      <c r="P1101" s="64"/>
      <c r="Q1101" s="27"/>
      <c r="R1101" s="34"/>
      <c r="S1101" s="36"/>
      <c r="T1101" s="34"/>
      <c r="U1101" s="71"/>
      <c r="V1101" s="36"/>
      <c r="W1101" s="36"/>
      <c r="X1101" s="36"/>
      <c r="Y1101" s="27"/>
      <c r="AA1101" s="9"/>
      <c r="AB1101" s="72"/>
    </row>
    <row r="1102" spans="6:28">
      <c r="F1102" s="48"/>
      <c r="G1102" s="32"/>
      <c r="H1102" s="68"/>
      <c r="I1102" s="36"/>
      <c r="J1102" s="27"/>
      <c r="K1102" s="27"/>
      <c r="L1102" s="27"/>
      <c r="M1102" s="27"/>
      <c r="N1102" s="27"/>
      <c r="O1102" s="64"/>
      <c r="P1102" s="64"/>
      <c r="Q1102" s="27"/>
      <c r="R1102" s="34"/>
      <c r="S1102" s="36"/>
      <c r="T1102" s="34"/>
      <c r="U1102" s="71"/>
      <c r="V1102" s="36"/>
      <c r="W1102" s="36"/>
      <c r="X1102" s="36"/>
      <c r="Y1102" s="27"/>
      <c r="AA1102" s="9"/>
      <c r="AB1102" s="72"/>
    </row>
    <row r="1103" spans="6:28">
      <c r="F1103" s="48"/>
      <c r="G1103" s="32"/>
      <c r="H1103" s="68"/>
      <c r="I1103" s="36"/>
      <c r="J1103" s="27"/>
      <c r="K1103" s="27"/>
      <c r="L1103" s="27"/>
      <c r="M1103" s="27"/>
      <c r="N1103" s="27"/>
      <c r="O1103" s="64"/>
      <c r="P1103" s="64"/>
      <c r="Q1103" s="27"/>
      <c r="R1103" s="34"/>
      <c r="S1103" s="36"/>
      <c r="T1103" s="34"/>
      <c r="U1103" s="71"/>
      <c r="V1103" s="36"/>
      <c r="W1103" s="36"/>
      <c r="X1103" s="36"/>
      <c r="Y1103" s="27"/>
      <c r="AA1103" s="9"/>
      <c r="AB1103" s="72"/>
    </row>
    <row r="1104" spans="6:28">
      <c r="F1104" s="48"/>
      <c r="G1104" s="32"/>
      <c r="H1104" s="68"/>
      <c r="I1104" s="36"/>
      <c r="J1104" s="27"/>
      <c r="K1104" s="27"/>
      <c r="L1104" s="27"/>
      <c r="M1104" s="27"/>
      <c r="N1104" s="27"/>
      <c r="O1104" s="64"/>
      <c r="P1104" s="64"/>
      <c r="Q1104" s="27"/>
      <c r="R1104" s="34"/>
      <c r="S1104" s="36"/>
      <c r="T1104" s="34"/>
      <c r="U1104" s="71"/>
      <c r="V1104" s="36"/>
      <c r="W1104" s="36"/>
      <c r="X1104" s="36"/>
      <c r="Y1104" s="27"/>
      <c r="AA1104" s="9"/>
      <c r="AB1104" s="72"/>
    </row>
    <row r="1105" spans="6:28">
      <c r="F1105" s="48"/>
      <c r="G1105" s="32"/>
      <c r="H1105" s="68"/>
      <c r="I1105" s="36"/>
      <c r="J1105" s="27"/>
      <c r="K1105" s="27"/>
      <c r="L1105" s="27"/>
      <c r="M1105" s="27"/>
      <c r="N1105" s="27"/>
      <c r="O1105" s="64"/>
      <c r="P1105" s="64"/>
      <c r="Q1105" s="27"/>
      <c r="R1105" s="34"/>
      <c r="S1105" s="36"/>
      <c r="T1105" s="34"/>
      <c r="U1105" s="71"/>
      <c r="V1105" s="36"/>
      <c r="W1105" s="36"/>
      <c r="X1105" s="36"/>
      <c r="Y1105" s="27"/>
      <c r="AA1105" s="9"/>
      <c r="AB1105" s="72"/>
    </row>
    <row r="1106" spans="6:28">
      <c r="F1106" s="48"/>
      <c r="G1106" s="32"/>
      <c r="H1106" s="68"/>
      <c r="I1106" s="36"/>
      <c r="J1106" s="27"/>
      <c r="K1106" s="27"/>
      <c r="L1106" s="27"/>
      <c r="M1106" s="27"/>
      <c r="N1106" s="27"/>
      <c r="O1106" s="64"/>
      <c r="P1106" s="64"/>
      <c r="Q1106" s="27"/>
      <c r="R1106" s="34"/>
      <c r="S1106" s="36"/>
      <c r="T1106" s="34"/>
      <c r="U1106" s="71"/>
      <c r="V1106" s="36"/>
      <c r="W1106" s="36"/>
      <c r="X1106" s="36"/>
      <c r="Y1106" s="27"/>
      <c r="AA1106" s="9"/>
      <c r="AB1106" s="72"/>
    </row>
    <row r="1107" spans="6:28">
      <c r="F1107" s="48"/>
      <c r="G1107" s="32"/>
      <c r="H1107" s="68"/>
      <c r="I1107" s="36"/>
      <c r="J1107" s="27"/>
      <c r="K1107" s="27"/>
      <c r="L1107" s="27"/>
      <c r="M1107" s="27"/>
      <c r="N1107" s="27"/>
      <c r="O1107" s="64"/>
      <c r="P1107" s="64"/>
      <c r="Q1107" s="27"/>
      <c r="R1107" s="34"/>
      <c r="S1107" s="36"/>
      <c r="T1107" s="34"/>
      <c r="U1107" s="71"/>
      <c r="V1107" s="36"/>
      <c r="W1107" s="36"/>
      <c r="X1107" s="36"/>
      <c r="Y1107" s="27"/>
      <c r="AA1107" s="9"/>
      <c r="AB1107" s="72"/>
    </row>
    <row r="1108" spans="6:28">
      <c r="F1108" s="48"/>
      <c r="G1108" s="32"/>
      <c r="H1108" s="68"/>
      <c r="I1108" s="36"/>
      <c r="J1108" s="27"/>
      <c r="K1108" s="27"/>
      <c r="L1108" s="27"/>
      <c r="M1108" s="27"/>
      <c r="N1108" s="27"/>
      <c r="O1108" s="64"/>
      <c r="P1108" s="64"/>
      <c r="Q1108" s="27"/>
      <c r="R1108" s="34"/>
      <c r="S1108" s="36"/>
      <c r="T1108" s="34"/>
      <c r="U1108" s="71"/>
      <c r="V1108" s="36"/>
      <c r="W1108" s="36"/>
      <c r="X1108" s="36"/>
      <c r="Y1108" s="27"/>
      <c r="AA1108" s="9"/>
      <c r="AB1108" s="72"/>
    </row>
    <row r="1109" spans="6:28">
      <c r="F1109" s="48"/>
      <c r="G1109" s="32"/>
      <c r="H1109" s="68"/>
      <c r="I1109" s="36"/>
      <c r="J1109" s="27"/>
      <c r="K1109" s="27"/>
      <c r="L1109" s="27"/>
      <c r="M1109" s="27"/>
      <c r="N1109" s="27"/>
      <c r="O1109" s="64"/>
      <c r="P1109" s="64"/>
      <c r="Q1109" s="27"/>
      <c r="R1109" s="34"/>
      <c r="S1109" s="36"/>
      <c r="T1109" s="34"/>
      <c r="U1109" s="71"/>
      <c r="V1109" s="36"/>
      <c r="W1109" s="36"/>
      <c r="X1109" s="36"/>
      <c r="Y1109" s="27"/>
      <c r="AA1109" s="9"/>
      <c r="AB1109" s="72"/>
    </row>
    <row r="1110" spans="6:28">
      <c r="F1110" s="48"/>
      <c r="G1110" s="32"/>
      <c r="H1110" s="68"/>
      <c r="I1110" s="36"/>
      <c r="J1110" s="27"/>
      <c r="K1110" s="27"/>
      <c r="L1110" s="27"/>
      <c r="M1110" s="27"/>
      <c r="N1110" s="27"/>
      <c r="O1110" s="64"/>
      <c r="P1110" s="64"/>
      <c r="Q1110" s="27"/>
      <c r="R1110" s="34"/>
      <c r="S1110" s="36"/>
      <c r="T1110" s="34"/>
      <c r="U1110" s="71"/>
      <c r="V1110" s="36"/>
      <c r="W1110" s="36"/>
      <c r="X1110" s="36"/>
      <c r="Y1110" s="27"/>
      <c r="AA1110" s="9"/>
      <c r="AB1110" s="72"/>
    </row>
    <row r="1111" spans="6:28">
      <c r="F1111" s="48"/>
      <c r="G1111" s="32"/>
      <c r="H1111" s="68"/>
      <c r="I1111" s="36"/>
      <c r="J1111" s="27"/>
      <c r="K1111" s="27"/>
      <c r="L1111" s="27"/>
      <c r="M1111" s="27"/>
      <c r="N1111" s="27"/>
      <c r="O1111" s="64"/>
      <c r="P1111" s="64"/>
      <c r="Q1111" s="27"/>
      <c r="R1111" s="34"/>
      <c r="S1111" s="36"/>
      <c r="T1111" s="34"/>
      <c r="U1111" s="71"/>
      <c r="V1111" s="36"/>
      <c r="W1111" s="36"/>
      <c r="X1111" s="36"/>
      <c r="Y1111" s="27"/>
      <c r="AA1111" s="9"/>
      <c r="AB1111" s="72"/>
    </row>
    <row r="1112" spans="6:28">
      <c r="F1112" s="48"/>
      <c r="G1112" s="32"/>
      <c r="H1112" s="68"/>
      <c r="I1112" s="36"/>
      <c r="J1112" s="27"/>
      <c r="K1112" s="27"/>
      <c r="L1112" s="27"/>
      <c r="M1112" s="27"/>
      <c r="N1112" s="27"/>
      <c r="O1112" s="64"/>
      <c r="P1112" s="64"/>
      <c r="Q1112" s="27"/>
      <c r="R1112" s="34"/>
      <c r="S1112" s="36"/>
      <c r="T1112" s="34"/>
      <c r="U1112" s="71"/>
      <c r="V1112" s="36"/>
      <c r="W1112" s="36"/>
      <c r="X1112" s="36"/>
      <c r="Y1112" s="27"/>
      <c r="AA1112" s="9"/>
      <c r="AB1112" s="72"/>
    </row>
    <row r="1113" spans="6:28">
      <c r="F1113" s="48"/>
      <c r="G1113" s="32"/>
      <c r="H1113" s="68"/>
      <c r="I1113" s="36"/>
      <c r="J1113" s="27"/>
      <c r="K1113" s="27"/>
      <c r="L1113" s="27"/>
      <c r="M1113" s="27"/>
      <c r="N1113" s="27"/>
      <c r="O1113" s="64"/>
      <c r="P1113" s="64"/>
      <c r="Q1113" s="27"/>
      <c r="R1113" s="34"/>
      <c r="S1113" s="36"/>
      <c r="T1113" s="34"/>
      <c r="U1113" s="71"/>
      <c r="V1113" s="36"/>
      <c r="W1113" s="36"/>
      <c r="X1113" s="36"/>
      <c r="Y1113" s="27"/>
      <c r="AA1113" s="9"/>
      <c r="AB1113" s="72"/>
    </row>
    <row r="1114" spans="6:28">
      <c r="F1114" s="48"/>
      <c r="G1114" s="32"/>
      <c r="H1114" s="68"/>
      <c r="I1114" s="36"/>
      <c r="J1114" s="27"/>
      <c r="K1114" s="27"/>
      <c r="L1114" s="27"/>
      <c r="M1114" s="27"/>
      <c r="N1114" s="27"/>
      <c r="O1114" s="64"/>
      <c r="P1114" s="64"/>
      <c r="Q1114" s="27"/>
      <c r="R1114" s="34"/>
      <c r="S1114" s="36"/>
      <c r="T1114" s="34"/>
      <c r="U1114" s="71"/>
      <c r="V1114" s="36"/>
      <c r="W1114" s="36"/>
      <c r="X1114" s="36"/>
      <c r="Y1114" s="27"/>
      <c r="AA1114" s="9"/>
      <c r="AB1114" s="72"/>
    </row>
    <row r="1115" spans="6:28">
      <c r="F1115" s="48"/>
      <c r="G1115" s="32"/>
      <c r="H1115" s="68"/>
      <c r="I1115" s="36"/>
      <c r="J1115" s="27"/>
      <c r="K1115" s="27"/>
      <c r="L1115" s="27"/>
      <c r="M1115" s="27"/>
      <c r="N1115" s="27"/>
      <c r="O1115" s="64"/>
      <c r="P1115" s="64"/>
      <c r="Q1115" s="27"/>
      <c r="R1115" s="34"/>
      <c r="S1115" s="36"/>
      <c r="T1115" s="34"/>
      <c r="U1115" s="71"/>
      <c r="V1115" s="36"/>
      <c r="W1115" s="36"/>
      <c r="X1115" s="36"/>
      <c r="Y1115" s="27"/>
      <c r="AA1115" s="9"/>
      <c r="AB1115" s="72"/>
    </row>
    <row r="1116" spans="6:28">
      <c r="F1116" s="48"/>
      <c r="G1116" s="32"/>
      <c r="H1116" s="68"/>
      <c r="I1116" s="36"/>
      <c r="J1116" s="27"/>
      <c r="K1116" s="27"/>
      <c r="L1116" s="27"/>
      <c r="M1116" s="27"/>
      <c r="N1116" s="27"/>
      <c r="O1116" s="64"/>
      <c r="P1116" s="64"/>
      <c r="Q1116" s="27"/>
      <c r="R1116" s="34"/>
      <c r="S1116" s="36"/>
      <c r="T1116" s="34"/>
      <c r="U1116" s="71"/>
      <c r="V1116" s="36"/>
      <c r="W1116" s="36"/>
      <c r="X1116" s="36"/>
      <c r="Y1116" s="27"/>
      <c r="AA1116" s="9"/>
      <c r="AB1116" s="72"/>
    </row>
    <row r="1117" spans="6:28">
      <c r="F1117" s="48"/>
      <c r="G1117" s="32"/>
      <c r="H1117" s="68"/>
      <c r="I1117" s="36"/>
      <c r="J1117" s="27"/>
      <c r="K1117" s="27"/>
      <c r="L1117" s="27"/>
      <c r="M1117" s="27"/>
      <c r="N1117" s="27"/>
      <c r="O1117" s="64"/>
      <c r="P1117" s="64"/>
      <c r="Q1117" s="27"/>
      <c r="R1117" s="34"/>
      <c r="S1117" s="36"/>
      <c r="T1117" s="34"/>
      <c r="U1117" s="71"/>
      <c r="V1117" s="36"/>
      <c r="W1117" s="36"/>
      <c r="X1117" s="36"/>
      <c r="Y1117" s="27"/>
      <c r="AA1117" s="9"/>
      <c r="AB1117" s="72"/>
    </row>
    <row r="1118" spans="6:28">
      <c r="F1118" s="48"/>
      <c r="G1118" s="32"/>
      <c r="H1118" s="68"/>
      <c r="I1118" s="36"/>
      <c r="J1118" s="27"/>
      <c r="K1118" s="27"/>
      <c r="L1118" s="27"/>
      <c r="M1118" s="27"/>
      <c r="N1118" s="27"/>
      <c r="O1118" s="64"/>
      <c r="P1118" s="64"/>
      <c r="Q1118" s="27"/>
      <c r="R1118" s="34"/>
      <c r="S1118" s="36"/>
      <c r="T1118" s="34"/>
      <c r="U1118" s="71"/>
      <c r="V1118" s="36"/>
      <c r="W1118" s="36"/>
      <c r="X1118" s="36"/>
      <c r="Y1118" s="27"/>
      <c r="AA1118" s="9"/>
      <c r="AB1118" s="72"/>
    </row>
    <row r="1119" spans="6:28">
      <c r="F1119" s="48"/>
      <c r="G1119" s="32"/>
      <c r="H1119" s="68"/>
      <c r="I1119" s="36"/>
      <c r="J1119" s="27"/>
      <c r="K1119" s="27"/>
      <c r="L1119" s="27"/>
      <c r="M1119" s="27"/>
      <c r="N1119" s="27"/>
      <c r="O1119" s="64"/>
      <c r="P1119" s="64"/>
      <c r="Q1119" s="27"/>
      <c r="R1119" s="34"/>
      <c r="S1119" s="36"/>
      <c r="T1119" s="34"/>
      <c r="U1119" s="71"/>
      <c r="V1119" s="36"/>
      <c r="W1119" s="36"/>
      <c r="X1119" s="36"/>
      <c r="Y1119" s="27"/>
      <c r="AA1119" s="9"/>
      <c r="AB1119" s="72"/>
    </row>
    <row r="1120" spans="6:28">
      <c r="F1120" s="48"/>
      <c r="G1120" s="32"/>
      <c r="H1120" s="68"/>
      <c r="I1120" s="36"/>
      <c r="J1120" s="27"/>
      <c r="K1120" s="27"/>
      <c r="L1120" s="27"/>
      <c r="M1120" s="27"/>
      <c r="N1120" s="27"/>
      <c r="O1120" s="64"/>
      <c r="P1120" s="64"/>
      <c r="Q1120" s="27"/>
      <c r="R1120" s="34"/>
      <c r="S1120" s="36"/>
      <c r="T1120" s="34"/>
      <c r="U1120" s="71"/>
      <c r="V1120" s="36"/>
      <c r="W1120" s="36"/>
      <c r="X1120" s="36"/>
      <c r="Y1120" s="27"/>
      <c r="AA1120" s="9"/>
      <c r="AB1120" s="72"/>
    </row>
    <row r="1121" spans="6:28">
      <c r="F1121" s="48"/>
      <c r="G1121" s="32"/>
      <c r="H1121" s="68"/>
      <c r="I1121" s="36"/>
      <c r="J1121" s="27"/>
      <c r="K1121" s="27"/>
      <c r="L1121" s="27"/>
      <c r="M1121" s="27"/>
      <c r="N1121" s="27"/>
      <c r="O1121" s="64"/>
      <c r="P1121" s="64"/>
      <c r="Q1121" s="27"/>
      <c r="R1121" s="34"/>
      <c r="S1121" s="36"/>
      <c r="T1121" s="34"/>
      <c r="U1121" s="71"/>
      <c r="V1121" s="36"/>
      <c r="W1121" s="36"/>
      <c r="X1121" s="36"/>
      <c r="Y1121" s="27"/>
      <c r="AA1121" s="9"/>
      <c r="AB1121" s="72"/>
    </row>
    <row r="1122" spans="6:28">
      <c r="F1122" s="48"/>
      <c r="G1122" s="32"/>
      <c r="H1122" s="68"/>
      <c r="I1122" s="36"/>
      <c r="J1122" s="27"/>
      <c r="K1122" s="27"/>
      <c r="L1122" s="27"/>
      <c r="M1122" s="27"/>
      <c r="N1122" s="27"/>
      <c r="O1122" s="64"/>
      <c r="P1122" s="64"/>
      <c r="Q1122" s="27"/>
      <c r="R1122" s="34"/>
      <c r="S1122" s="36"/>
      <c r="T1122" s="34"/>
      <c r="U1122" s="71"/>
      <c r="V1122" s="36"/>
      <c r="W1122" s="36"/>
      <c r="X1122" s="36"/>
      <c r="Y1122" s="27"/>
      <c r="AA1122" s="9"/>
      <c r="AB1122" s="72"/>
    </row>
    <row r="1123" spans="6:28">
      <c r="F1123" s="48"/>
      <c r="G1123" s="32"/>
      <c r="H1123" s="68"/>
      <c r="I1123" s="36"/>
      <c r="J1123" s="27"/>
      <c r="K1123" s="27"/>
      <c r="L1123" s="27"/>
      <c r="M1123" s="27"/>
      <c r="N1123" s="27"/>
      <c r="O1123" s="64"/>
      <c r="P1123" s="64"/>
      <c r="Q1123" s="27"/>
      <c r="R1123" s="34"/>
      <c r="S1123" s="36"/>
      <c r="T1123" s="34"/>
      <c r="U1123" s="71"/>
      <c r="V1123" s="36"/>
      <c r="W1123" s="36"/>
      <c r="X1123" s="36"/>
      <c r="Y1123" s="27"/>
      <c r="AA1123" s="9"/>
      <c r="AB1123" s="72"/>
    </row>
    <row r="1124" spans="6:28">
      <c r="F1124" s="48"/>
      <c r="G1124" s="32"/>
      <c r="H1124" s="68"/>
      <c r="I1124" s="36"/>
      <c r="J1124" s="27"/>
      <c r="K1124" s="27"/>
      <c r="L1124" s="27"/>
      <c r="M1124" s="27"/>
      <c r="N1124" s="27"/>
      <c r="O1124" s="64"/>
      <c r="P1124" s="64"/>
      <c r="Q1124" s="27"/>
      <c r="R1124" s="34"/>
      <c r="S1124" s="36"/>
      <c r="T1124" s="34"/>
      <c r="U1124" s="71"/>
      <c r="V1124" s="36"/>
      <c r="W1124" s="36"/>
      <c r="X1124" s="36"/>
      <c r="Y1124" s="27"/>
      <c r="AA1124" s="9"/>
      <c r="AB1124" s="72"/>
    </row>
    <row r="1125" spans="6:28">
      <c r="F1125" s="48"/>
      <c r="G1125" s="32"/>
      <c r="H1125" s="68"/>
      <c r="I1125" s="36"/>
      <c r="J1125" s="27"/>
      <c r="K1125" s="27"/>
      <c r="L1125" s="27"/>
      <c r="M1125" s="27"/>
      <c r="N1125" s="27"/>
      <c r="O1125" s="64"/>
      <c r="P1125" s="64"/>
      <c r="Q1125" s="27"/>
      <c r="R1125" s="34"/>
      <c r="S1125" s="36"/>
      <c r="T1125" s="34"/>
      <c r="U1125" s="71"/>
      <c r="V1125" s="36"/>
      <c r="W1125" s="36"/>
      <c r="X1125" s="36"/>
      <c r="Y1125" s="27"/>
      <c r="AA1125" s="9"/>
      <c r="AB1125" s="72"/>
    </row>
    <row r="1126" spans="6:28">
      <c r="F1126" s="48"/>
      <c r="G1126" s="32"/>
      <c r="H1126" s="68"/>
      <c r="I1126" s="36"/>
      <c r="J1126" s="27"/>
      <c r="K1126" s="27"/>
      <c r="L1126" s="27"/>
      <c r="M1126" s="27"/>
      <c r="N1126" s="27"/>
      <c r="O1126" s="64"/>
      <c r="P1126" s="64"/>
      <c r="Q1126" s="27"/>
      <c r="R1126" s="34"/>
      <c r="S1126" s="36"/>
      <c r="T1126" s="34"/>
      <c r="U1126" s="71"/>
      <c r="V1126" s="36"/>
      <c r="W1126" s="36"/>
      <c r="X1126" s="36"/>
      <c r="Y1126" s="27"/>
      <c r="AA1126" s="9"/>
      <c r="AB1126" s="72"/>
    </row>
    <row r="1127" spans="6:28">
      <c r="F1127" s="48"/>
      <c r="G1127" s="32"/>
      <c r="H1127" s="68"/>
      <c r="I1127" s="36"/>
      <c r="J1127" s="27"/>
      <c r="K1127" s="27"/>
      <c r="L1127" s="27"/>
      <c r="M1127" s="27"/>
      <c r="N1127" s="27"/>
      <c r="O1127" s="64"/>
      <c r="P1127" s="64"/>
      <c r="Q1127" s="27"/>
      <c r="R1127" s="34"/>
      <c r="S1127" s="36"/>
      <c r="T1127" s="34"/>
      <c r="U1127" s="71"/>
      <c r="V1127" s="36"/>
      <c r="W1127" s="36"/>
      <c r="X1127" s="36"/>
      <c r="Y1127" s="27"/>
      <c r="AA1127" s="9"/>
      <c r="AB1127" s="72"/>
    </row>
    <row r="1128" spans="6:28">
      <c r="F1128" s="48"/>
      <c r="G1128" s="32"/>
      <c r="H1128" s="68"/>
      <c r="I1128" s="36"/>
      <c r="J1128" s="27"/>
      <c r="K1128" s="27"/>
      <c r="L1128" s="27"/>
      <c r="M1128" s="27"/>
      <c r="N1128" s="27"/>
      <c r="O1128" s="64"/>
      <c r="P1128" s="64"/>
      <c r="Q1128" s="27"/>
      <c r="R1128" s="34"/>
      <c r="S1128" s="36"/>
      <c r="T1128" s="34"/>
      <c r="U1128" s="71"/>
      <c r="V1128" s="36"/>
      <c r="W1128" s="36"/>
      <c r="X1128" s="36"/>
      <c r="Y1128" s="27"/>
      <c r="AA1128" s="9"/>
      <c r="AB1128" s="72"/>
    </row>
    <row r="1129" spans="6:28">
      <c r="F1129" s="48"/>
      <c r="G1129" s="32"/>
      <c r="H1129" s="68"/>
      <c r="I1129" s="36"/>
      <c r="J1129" s="27"/>
      <c r="K1129" s="27"/>
      <c r="L1129" s="27"/>
      <c r="M1129" s="27"/>
      <c r="N1129" s="27"/>
      <c r="O1129" s="64"/>
      <c r="P1129" s="64"/>
      <c r="Q1129" s="27"/>
      <c r="R1129" s="34"/>
      <c r="S1129" s="36"/>
      <c r="T1129" s="34"/>
      <c r="U1129" s="71"/>
      <c r="V1129" s="36"/>
      <c r="W1129" s="36"/>
      <c r="X1129" s="36"/>
      <c r="Y1129" s="27"/>
      <c r="AA1129" s="9"/>
      <c r="AB1129" s="72"/>
    </row>
    <row r="1130" spans="6:28">
      <c r="F1130" s="48"/>
      <c r="G1130" s="32"/>
      <c r="H1130" s="68"/>
      <c r="I1130" s="36"/>
      <c r="J1130" s="27"/>
      <c r="K1130" s="27"/>
      <c r="L1130" s="27"/>
      <c r="M1130" s="27"/>
      <c r="N1130" s="27"/>
      <c r="O1130" s="64"/>
      <c r="P1130" s="64"/>
      <c r="Q1130" s="27"/>
      <c r="R1130" s="34"/>
      <c r="S1130" s="36"/>
      <c r="T1130" s="34"/>
      <c r="U1130" s="71"/>
      <c r="V1130" s="36"/>
      <c r="W1130" s="36"/>
      <c r="X1130" s="36"/>
      <c r="Y1130" s="27"/>
      <c r="AA1130" s="9"/>
      <c r="AB1130" s="72"/>
    </row>
    <row r="1131" spans="6:28">
      <c r="F1131" s="48"/>
      <c r="G1131" s="32"/>
      <c r="H1131" s="68"/>
      <c r="I1131" s="36"/>
      <c r="J1131" s="27"/>
      <c r="K1131" s="27"/>
      <c r="L1131" s="27"/>
      <c r="M1131" s="27"/>
      <c r="N1131" s="27"/>
      <c r="O1131" s="64"/>
      <c r="P1131" s="64"/>
      <c r="Q1131" s="27"/>
      <c r="R1131" s="34"/>
      <c r="S1131" s="36"/>
      <c r="T1131" s="34"/>
      <c r="U1131" s="71"/>
      <c r="V1131" s="36"/>
      <c r="W1131" s="36"/>
      <c r="X1131" s="36"/>
      <c r="Y1131" s="27"/>
      <c r="AA1131" s="9"/>
      <c r="AB1131" s="72"/>
    </row>
    <row r="1132" spans="6:28">
      <c r="F1132" s="48"/>
      <c r="G1132" s="32"/>
      <c r="H1132" s="68"/>
      <c r="I1132" s="36"/>
      <c r="J1132" s="27"/>
      <c r="K1132" s="27"/>
      <c r="L1132" s="27"/>
      <c r="M1132" s="27"/>
      <c r="N1132" s="27"/>
      <c r="O1132" s="64"/>
      <c r="P1132" s="64"/>
      <c r="Q1132" s="27"/>
      <c r="R1132" s="34"/>
      <c r="S1132" s="36"/>
      <c r="T1132" s="34"/>
      <c r="U1132" s="71"/>
      <c r="V1132" s="36"/>
      <c r="W1132" s="36"/>
      <c r="X1132" s="36"/>
      <c r="Y1132" s="27"/>
      <c r="AA1132" s="9"/>
      <c r="AB1132" s="72"/>
    </row>
    <row r="1133" spans="6:28">
      <c r="F1133" s="48"/>
      <c r="G1133" s="32"/>
      <c r="H1133" s="68"/>
      <c r="I1133" s="36"/>
      <c r="J1133" s="27"/>
      <c r="K1133" s="27"/>
      <c r="L1133" s="27"/>
      <c r="M1133" s="27"/>
      <c r="N1133" s="27"/>
      <c r="O1133" s="64"/>
      <c r="P1133" s="64"/>
      <c r="Q1133" s="27"/>
      <c r="R1133" s="34"/>
      <c r="S1133" s="36"/>
      <c r="T1133" s="34"/>
      <c r="U1133" s="71"/>
      <c r="V1133" s="36"/>
      <c r="W1133" s="36"/>
      <c r="X1133" s="36"/>
      <c r="Y1133" s="27"/>
      <c r="AA1133" s="9"/>
      <c r="AB1133" s="72"/>
    </row>
    <row r="1134" spans="6:28">
      <c r="F1134" s="48"/>
      <c r="G1134" s="32"/>
      <c r="H1134" s="68"/>
      <c r="I1134" s="36"/>
      <c r="J1134" s="27"/>
      <c r="K1134" s="27"/>
      <c r="L1134" s="27"/>
      <c r="M1134" s="27"/>
      <c r="N1134" s="27"/>
      <c r="O1134" s="64"/>
      <c r="P1134" s="64"/>
      <c r="Q1134" s="27"/>
      <c r="R1134" s="34"/>
      <c r="S1134" s="36"/>
      <c r="T1134" s="34"/>
      <c r="U1134" s="71"/>
      <c r="V1134" s="36"/>
      <c r="W1134" s="36"/>
      <c r="X1134" s="36"/>
      <c r="Y1134" s="27"/>
      <c r="AA1134" s="9"/>
      <c r="AB1134" s="72"/>
    </row>
    <row r="1135" spans="6:28">
      <c r="F1135" s="48"/>
      <c r="G1135" s="32"/>
      <c r="H1135" s="68"/>
      <c r="I1135" s="36"/>
      <c r="J1135" s="27"/>
      <c r="K1135" s="27"/>
      <c r="L1135" s="27"/>
      <c r="M1135" s="27"/>
      <c r="N1135" s="27"/>
      <c r="O1135" s="64"/>
      <c r="P1135" s="64"/>
      <c r="Q1135" s="27"/>
      <c r="R1135" s="34"/>
      <c r="S1135" s="36"/>
      <c r="T1135" s="34"/>
      <c r="U1135" s="71"/>
      <c r="V1135" s="36"/>
      <c r="W1135" s="36"/>
      <c r="X1135" s="36"/>
      <c r="Y1135" s="27"/>
      <c r="AA1135" s="9"/>
      <c r="AB1135" s="72"/>
    </row>
    <row r="1136" spans="6:28">
      <c r="F1136" s="48"/>
      <c r="G1136" s="32"/>
      <c r="H1136" s="68"/>
      <c r="I1136" s="36"/>
      <c r="J1136" s="27"/>
      <c r="K1136" s="27"/>
      <c r="L1136" s="27"/>
      <c r="M1136" s="27"/>
      <c r="N1136" s="27"/>
      <c r="O1136" s="64"/>
      <c r="P1136" s="64"/>
      <c r="Q1136" s="27"/>
      <c r="R1136" s="34"/>
      <c r="S1136" s="36"/>
      <c r="T1136" s="34"/>
      <c r="U1136" s="71"/>
      <c r="V1136" s="36"/>
      <c r="W1136" s="36"/>
      <c r="X1136" s="36"/>
      <c r="Y1136" s="27"/>
      <c r="AA1136" s="9"/>
      <c r="AB1136" s="72"/>
    </row>
    <row r="1137" spans="6:28">
      <c r="F1137" s="48"/>
      <c r="G1137" s="32"/>
      <c r="H1137" s="68"/>
      <c r="I1137" s="36"/>
      <c r="J1137" s="27"/>
      <c r="K1137" s="27"/>
      <c r="L1137" s="27"/>
      <c r="M1137" s="27"/>
      <c r="N1137" s="27"/>
      <c r="O1137" s="64"/>
      <c r="P1137" s="64"/>
      <c r="Q1137" s="27"/>
      <c r="R1137" s="34"/>
      <c r="S1137" s="36"/>
      <c r="T1137" s="34"/>
      <c r="U1137" s="71"/>
      <c r="V1137" s="36"/>
      <c r="W1137" s="36"/>
      <c r="X1137" s="36"/>
      <c r="Y1137" s="27"/>
      <c r="AA1137" s="9"/>
      <c r="AB1137" s="72"/>
    </row>
    <row r="1138" spans="6:28">
      <c r="F1138" s="48"/>
      <c r="G1138" s="32"/>
      <c r="H1138" s="68"/>
      <c r="I1138" s="36"/>
      <c r="J1138" s="27"/>
      <c r="K1138" s="27"/>
      <c r="L1138" s="27"/>
      <c r="M1138" s="27"/>
      <c r="N1138" s="27"/>
      <c r="O1138" s="64"/>
      <c r="P1138" s="64"/>
      <c r="Q1138" s="27"/>
      <c r="R1138" s="34"/>
      <c r="S1138" s="36"/>
      <c r="T1138" s="34"/>
      <c r="U1138" s="71"/>
      <c r="V1138" s="36"/>
      <c r="W1138" s="36"/>
      <c r="X1138" s="36"/>
      <c r="Y1138" s="27"/>
      <c r="AA1138" s="9"/>
      <c r="AB1138" s="72"/>
    </row>
    <row r="1139" spans="6:28">
      <c r="F1139" s="48"/>
      <c r="G1139" s="32"/>
      <c r="H1139" s="68"/>
      <c r="I1139" s="36"/>
      <c r="J1139" s="27"/>
      <c r="K1139" s="27"/>
      <c r="L1139" s="27"/>
      <c r="M1139" s="27"/>
      <c r="N1139" s="27"/>
      <c r="O1139" s="64"/>
      <c r="P1139" s="64"/>
      <c r="Q1139" s="27"/>
      <c r="R1139" s="34"/>
      <c r="S1139" s="36"/>
      <c r="T1139" s="34"/>
      <c r="U1139" s="71"/>
      <c r="V1139" s="36"/>
      <c r="W1139" s="36"/>
      <c r="X1139" s="36"/>
      <c r="Y1139" s="27"/>
      <c r="AA1139" s="9"/>
      <c r="AB1139" s="72"/>
    </row>
    <row r="1140" spans="6:28">
      <c r="F1140" s="48"/>
      <c r="G1140" s="32"/>
      <c r="H1140" s="68"/>
      <c r="I1140" s="36"/>
      <c r="J1140" s="27"/>
      <c r="K1140" s="27"/>
      <c r="L1140" s="27"/>
      <c r="M1140" s="27"/>
      <c r="N1140" s="27"/>
      <c r="O1140" s="64"/>
      <c r="P1140" s="64"/>
      <c r="Q1140" s="27"/>
      <c r="R1140" s="34"/>
      <c r="S1140" s="36"/>
      <c r="T1140" s="34"/>
      <c r="U1140" s="71"/>
      <c r="V1140" s="36"/>
      <c r="W1140" s="36"/>
      <c r="X1140" s="36"/>
      <c r="Y1140" s="27"/>
      <c r="AA1140" s="9"/>
      <c r="AB1140" s="72"/>
    </row>
    <row r="1141" spans="6:28">
      <c r="F1141" s="48"/>
      <c r="G1141" s="32"/>
      <c r="H1141" s="68"/>
      <c r="I1141" s="36"/>
      <c r="J1141" s="27"/>
      <c r="K1141" s="27"/>
      <c r="L1141" s="27"/>
      <c r="M1141" s="27"/>
      <c r="N1141" s="27"/>
      <c r="O1141" s="64"/>
      <c r="P1141" s="64"/>
      <c r="Q1141" s="27"/>
      <c r="R1141" s="34"/>
      <c r="S1141" s="36"/>
      <c r="T1141" s="34"/>
      <c r="U1141" s="71"/>
      <c r="V1141" s="36"/>
      <c r="W1141" s="36"/>
      <c r="X1141" s="36"/>
      <c r="Y1141" s="27"/>
      <c r="AA1141" s="9"/>
      <c r="AB1141" s="72"/>
    </row>
    <row r="1142" spans="6:28">
      <c r="F1142" s="48"/>
      <c r="G1142" s="32"/>
      <c r="H1142" s="68"/>
      <c r="I1142" s="36"/>
      <c r="J1142" s="27"/>
      <c r="K1142" s="27"/>
      <c r="L1142" s="27"/>
      <c r="M1142" s="27"/>
      <c r="N1142" s="27"/>
      <c r="O1142" s="64"/>
      <c r="P1142" s="64"/>
      <c r="Q1142" s="27"/>
      <c r="R1142" s="34"/>
      <c r="S1142" s="36"/>
      <c r="T1142" s="34"/>
      <c r="U1142" s="71"/>
      <c r="V1142" s="36"/>
      <c r="W1142" s="36"/>
      <c r="X1142" s="36"/>
      <c r="Y1142" s="27"/>
      <c r="AA1142" s="9"/>
      <c r="AB1142" s="72"/>
    </row>
    <row r="1143" spans="6:28">
      <c r="F1143" s="48"/>
      <c r="G1143" s="32"/>
      <c r="H1143" s="68"/>
      <c r="I1143" s="36"/>
      <c r="J1143" s="27"/>
      <c r="K1143" s="27"/>
      <c r="L1143" s="27"/>
      <c r="M1143" s="27"/>
      <c r="N1143" s="27"/>
      <c r="O1143" s="64"/>
      <c r="P1143" s="64"/>
      <c r="Q1143" s="27"/>
      <c r="R1143" s="34"/>
      <c r="S1143" s="36"/>
      <c r="T1143" s="34"/>
      <c r="U1143" s="71"/>
      <c r="V1143" s="36"/>
      <c r="W1143" s="36"/>
      <c r="X1143" s="36"/>
      <c r="Y1143" s="27"/>
      <c r="AA1143" s="9"/>
      <c r="AB1143" s="72"/>
    </row>
    <row r="1144" spans="6:28">
      <c r="F1144" s="48"/>
      <c r="G1144" s="32"/>
      <c r="H1144" s="68"/>
      <c r="I1144" s="36"/>
      <c r="J1144" s="27"/>
      <c r="K1144" s="27"/>
      <c r="L1144" s="27"/>
      <c r="M1144" s="27"/>
      <c r="N1144" s="27"/>
      <c r="O1144" s="64"/>
      <c r="P1144" s="64"/>
      <c r="Q1144" s="27"/>
      <c r="R1144" s="34"/>
      <c r="S1144" s="36"/>
      <c r="T1144" s="34"/>
      <c r="U1144" s="71"/>
      <c r="V1144" s="36"/>
      <c r="W1144" s="36"/>
      <c r="X1144" s="36"/>
      <c r="Y1144" s="27"/>
      <c r="AA1144" s="9"/>
      <c r="AB1144" s="72"/>
    </row>
    <row r="1145" spans="6:28">
      <c r="F1145" s="48"/>
      <c r="G1145" s="32"/>
      <c r="H1145" s="68"/>
      <c r="I1145" s="36"/>
      <c r="J1145" s="27"/>
      <c r="K1145" s="27"/>
      <c r="L1145" s="27"/>
      <c r="M1145" s="27"/>
      <c r="N1145" s="27"/>
      <c r="O1145" s="64"/>
      <c r="P1145" s="64"/>
      <c r="Q1145" s="27"/>
      <c r="R1145" s="34"/>
      <c r="S1145" s="36"/>
      <c r="T1145" s="34"/>
      <c r="U1145" s="71"/>
      <c r="V1145" s="36"/>
      <c r="W1145" s="36"/>
      <c r="X1145" s="36"/>
      <c r="Y1145" s="27"/>
      <c r="AA1145" s="9"/>
      <c r="AB1145" s="72"/>
    </row>
    <row r="1146" spans="6:28">
      <c r="F1146" s="48"/>
      <c r="G1146" s="32"/>
      <c r="H1146" s="68"/>
      <c r="I1146" s="36"/>
      <c r="J1146" s="27"/>
      <c r="K1146" s="27"/>
      <c r="L1146" s="27"/>
      <c r="M1146" s="27"/>
      <c r="N1146" s="27"/>
      <c r="O1146" s="64"/>
      <c r="P1146" s="64"/>
      <c r="Q1146" s="27"/>
      <c r="R1146" s="34"/>
      <c r="S1146" s="36"/>
      <c r="T1146" s="34"/>
      <c r="U1146" s="71"/>
      <c r="V1146" s="36"/>
      <c r="W1146" s="36"/>
      <c r="X1146" s="36"/>
      <c r="Y1146" s="27"/>
      <c r="AA1146" s="9"/>
      <c r="AB1146" s="72"/>
    </row>
    <row r="1147" spans="6:28">
      <c r="F1147" s="48"/>
      <c r="G1147" s="32"/>
      <c r="H1147" s="68"/>
      <c r="I1147" s="36"/>
      <c r="J1147" s="27"/>
      <c r="K1147" s="27"/>
      <c r="L1147" s="27"/>
      <c r="M1147" s="27"/>
      <c r="N1147" s="27"/>
      <c r="O1147" s="64"/>
      <c r="P1147" s="64"/>
      <c r="Q1147" s="27"/>
      <c r="R1147" s="34"/>
      <c r="S1147" s="36"/>
      <c r="T1147" s="34"/>
      <c r="U1147" s="71"/>
      <c r="V1147" s="36"/>
      <c r="W1147" s="36"/>
      <c r="X1147" s="36"/>
      <c r="Y1147" s="27"/>
      <c r="AA1147" s="9"/>
      <c r="AB1147" s="72"/>
    </row>
    <row r="1148" spans="6:28">
      <c r="F1148" s="48"/>
      <c r="G1148" s="32"/>
      <c r="H1148" s="68"/>
      <c r="I1148" s="36"/>
      <c r="J1148" s="27"/>
      <c r="K1148" s="27"/>
      <c r="L1148" s="27"/>
      <c r="M1148" s="27"/>
      <c r="N1148" s="27"/>
      <c r="O1148" s="64"/>
      <c r="P1148" s="64"/>
      <c r="Q1148" s="27"/>
      <c r="R1148" s="34"/>
      <c r="S1148" s="36"/>
      <c r="T1148" s="34"/>
      <c r="U1148" s="71"/>
      <c r="V1148" s="36"/>
      <c r="W1148" s="36"/>
      <c r="X1148" s="36"/>
      <c r="Y1148" s="27"/>
      <c r="AA1148" s="9"/>
      <c r="AB1148" s="72"/>
    </row>
    <row r="1149" spans="6:28">
      <c r="F1149" s="48"/>
      <c r="G1149" s="32"/>
      <c r="H1149" s="68"/>
      <c r="I1149" s="36"/>
      <c r="J1149" s="27"/>
      <c r="K1149" s="27"/>
      <c r="L1149" s="27"/>
      <c r="M1149" s="27"/>
      <c r="N1149" s="27"/>
      <c r="O1149" s="64"/>
      <c r="P1149" s="64"/>
      <c r="Q1149" s="27"/>
      <c r="R1149" s="34"/>
      <c r="S1149" s="36"/>
      <c r="T1149" s="34"/>
      <c r="U1149" s="71"/>
      <c r="V1149" s="36"/>
      <c r="W1149" s="36"/>
      <c r="X1149" s="36"/>
      <c r="Y1149" s="27"/>
      <c r="AA1149" s="9"/>
      <c r="AB1149" s="72"/>
    </row>
    <row r="1150" spans="6:28">
      <c r="F1150" s="48"/>
      <c r="G1150" s="32"/>
      <c r="H1150" s="68"/>
      <c r="I1150" s="36"/>
      <c r="J1150" s="27"/>
      <c r="K1150" s="27"/>
      <c r="L1150" s="27"/>
      <c r="M1150" s="27"/>
      <c r="N1150" s="27"/>
      <c r="O1150" s="64"/>
      <c r="P1150" s="64"/>
      <c r="Q1150" s="27"/>
      <c r="R1150" s="34"/>
      <c r="S1150" s="36"/>
      <c r="T1150" s="34"/>
      <c r="U1150" s="71"/>
      <c r="V1150" s="36"/>
      <c r="W1150" s="36"/>
      <c r="X1150" s="36"/>
      <c r="Y1150" s="27"/>
      <c r="AA1150" s="9"/>
      <c r="AB1150" s="72"/>
    </row>
    <row r="1151" spans="6:28">
      <c r="F1151" s="48"/>
      <c r="G1151" s="32"/>
      <c r="H1151" s="68"/>
      <c r="I1151" s="36"/>
      <c r="J1151" s="27"/>
      <c r="K1151" s="27"/>
      <c r="L1151" s="27"/>
      <c r="M1151" s="27"/>
      <c r="N1151" s="27"/>
      <c r="O1151" s="64"/>
      <c r="P1151" s="64"/>
      <c r="Q1151" s="27"/>
      <c r="R1151" s="34"/>
      <c r="S1151" s="36"/>
      <c r="T1151" s="34"/>
      <c r="U1151" s="71"/>
      <c r="V1151" s="36"/>
      <c r="W1151" s="36"/>
      <c r="X1151" s="36"/>
      <c r="Y1151" s="27"/>
      <c r="AA1151" s="9"/>
      <c r="AB1151" s="72"/>
    </row>
    <row r="1152" spans="6:28">
      <c r="F1152" s="48"/>
      <c r="G1152" s="32"/>
      <c r="H1152" s="68"/>
      <c r="I1152" s="36"/>
      <c r="J1152" s="27"/>
      <c r="K1152" s="27"/>
      <c r="L1152" s="27"/>
      <c r="M1152" s="27"/>
      <c r="N1152" s="27"/>
      <c r="O1152" s="64"/>
      <c r="P1152" s="64"/>
      <c r="Q1152" s="27"/>
      <c r="R1152" s="34"/>
      <c r="S1152" s="36"/>
      <c r="T1152" s="34"/>
      <c r="U1152" s="71"/>
      <c r="V1152" s="36"/>
      <c r="W1152" s="36"/>
      <c r="X1152" s="36"/>
      <c r="Y1152" s="27"/>
      <c r="AA1152" s="9"/>
      <c r="AB1152" s="72"/>
    </row>
    <row r="1153" spans="6:28">
      <c r="F1153" s="48"/>
      <c r="G1153" s="32"/>
      <c r="H1153" s="68"/>
      <c r="I1153" s="36"/>
      <c r="J1153" s="27"/>
      <c r="K1153" s="27"/>
      <c r="L1153" s="27"/>
      <c r="M1153" s="27"/>
      <c r="N1153" s="27"/>
      <c r="O1153" s="64"/>
      <c r="P1153" s="64"/>
      <c r="Q1153" s="27"/>
      <c r="R1153" s="34"/>
      <c r="S1153" s="36"/>
      <c r="T1153" s="34"/>
      <c r="U1153" s="71"/>
      <c r="V1153" s="36"/>
      <c r="W1153" s="36"/>
      <c r="X1153" s="36"/>
      <c r="Y1153" s="27"/>
      <c r="AA1153" s="9"/>
      <c r="AB1153" s="72"/>
    </row>
    <row r="1154" spans="6:28">
      <c r="F1154" s="48"/>
      <c r="G1154" s="32"/>
      <c r="H1154" s="68"/>
      <c r="I1154" s="36"/>
      <c r="J1154" s="27"/>
      <c r="K1154" s="27"/>
      <c r="L1154" s="27"/>
      <c r="M1154" s="27"/>
      <c r="N1154" s="27"/>
      <c r="O1154" s="64"/>
      <c r="P1154" s="64"/>
      <c r="Q1154" s="27"/>
      <c r="R1154" s="34"/>
      <c r="S1154" s="36"/>
      <c r="T1154" s="34"/>
      <c r="U1154" s="71"/>
      <c r="V1154" s="36"/>
      <c r="W1154" s="36"/>
      <c r="X1154" s="36"/>
      <c r="Y1154" s="27"/>
      <c r="AA1154" s="9"/>
      <c r="AB1154" s="72"/>
    </row>
    <row r="1155" spans="6:28">
      <c r="F1155" s="48"/>
      <c r="G1155" s="32"/>
      <c r="H1155" s="68"/>
      <c r="I1155" s="36"/>
      <c r="J1155" s="27"/>
      <c r="K1155" s="27"/>
      <c r="L1155" s="27"/>
      <c r="M1155" s="27"/>
      <c r="N1155" s="27"/>
      <c r="O1155" s="64"/>
      <c r="P1155" s="64"/>
      <c r="Q1155" s="27"/>
      <c r="R1155" s="34"/>
      <c r="S1155" s="36"/>
      <c r="T1155" s="34"/>
      <c r="U1155" s="71"/>
      <c r="V1155" s="36"/>
      <c r="W1155" s="36"/>
      <c r="X1155" s="36"/>
      <c r="Y1155" s="27"/>
      <c r="AA1155" s="9"/>
      <c r="AB1155" s="72"/>
    </row>
    <row r="1156" spans="6:28">
      <c r="F1156" s="48"/>
      <c r="G1156" s="32"/>
      <c r="H1156" s="68"/>
      <c r="I1156" s="36"/>
      <c r="J1156" s="27"/>
      <c r="K1156" s="27"/>
      <c r="L1156" s="27"/>
      <c r="M1156" s="27"/>
      <c r="N1156" s="27"/>
      <c r="O1156" s="64"/>
      <c r="P1156" s="64"/>
      <c r="Q1156" s="27"/>
      <c r="R1156" s="34"/>
      <c r="S1156" s="36"/>
      <c r="T1156" s="34"/>
      <c r="U1156" s="71"/>
      <c r="V1156" s="36"/>
      <c r="W1156" s="36"/>
      <c r="X1156" s="36"/>
      <c r="Y1156" s="27"/>
      <c r="AA1156" s="9"/>
      <c r="AB1156" s="72"/>
    </row>
    <row r="1157" spans="6:28">
      <c r="F1157" s="48"/>
      <c r="G1157" s="32"/>
      <c r="H1157" s="68"/>
      <c r="I1157" s="36"/>
      <c r="J1157" s="27"/>
      <c r="K1157" s="27"/>
      <c r="L1157" s="27"/>
      <c r="M1157" s="27"/>
      <c r="N1157" s="27"/>
      <c r="O1157" s="64"/>
      <c r="P1157" s="64"/>
      <c r="Q1157" s="27"/>
      <c r="R1157" s="34"/>
      <c r="S1157" s="36"/>
      <c r="T1157" s="34"/>
      <c r="U1157" s="71"/>
      <c r="V1157" s="36"/>
      <c r="W1157" s="36"/>
      <c r="X1157" s="36"/>
      <c r="Y1157" s="27"/>
      <c r="AA1157" s="9"/>
      <c r="AB1157" s="72"/>
    </row>
    <row r="1158" spans="6:28">
      <c r="F1158" s="48"/>
      <c r="G1158" s="32"/>
      <c r="H1158" s="68"/>
      <c r="I1158" s="36"/>
      <c r="J1158" s="27"/>
      <c r="K1158" s="27"/>
      <c r="L1158" s="27"/>
      <c r="M1158" s="27"/>
      <c r="N1158" s="27"/>
      <c r="O1158" s="64"/>
      <c r="P1158" s="64"/>
      <c r="Q1158" s="27"/>
      <c r="R1158" s="34"/>
      <c r="S1158" s="36"/>
      <c r="T1158" s="34"/>
      <c r="U1158" s="71"/>
      <c r="V1158" s="36"/>
      <c r="W1158" s="36"/>
      <c r="X1158" s="36"/>
      <c r="Y1158" s="27"/>
      <c r="AA1158" s="9"/>
      <c r="AB1158" s="72"/>
    </row>
    <row r="1159" spans="6:28">
      <c r="F1159" s="48"/>
      <c r="G1159" s="32"/>
      <c r="H1159" s="68"/>
      <c r="I1159" s="36"/>
      <c r="J1159" s="27"/>
      <c r="K1159" s="27"/>
      <c r="L1159" s="27"/>
      <c r="M1159" s="27"/>
      <c r="N1159" s="27"/>
      <c r="O1159" s="64"/>
      <c r="P1159" s="64"/>
      <c r="Q1159" s="27"/>
      <c r="R1159" s="34"/>
      <c r="S1159" s="36"/>
      <c r="T1159" s="34"/>
      <c r="U1159" s="71"/>
      <c r="V1159" s="36"/>
      <c r="W1159" s="36"/>
      <c r="X1159" s="36"/>
      <c r="Y1159" s="27"/>
      <c r="AA1159" s="9"/>
      <c r="AB1159" s="72"/>
    </row>
    <row r="1160" spans="6:28">
      <c r="F1160" s="48"/>
      <c r="G1160" s="32"/>
      <c r="H1160" s="68"/>
      <c r="I1160" s="36"/>
      <c r="J1160" s="27"/>
      <c r="K1160" s="27"/>
      <c r="L1160" s="27"/>
      <c r="M1160" s="27"/>
      <c r="N1160" s="27"/>
      <c r="O1160" s="64"/>
      <c r="P1160" s="64"/>
      <c r="Q1160" s="27"/>
      <c r="R1160" s="34"/>
      <c r="S1160" s="36"/>
      <c r="T1160" s="34"/>
      <c r="U1160" s="71"/>
      <c r="V1160" s="36"/>
      <c r="W1160" s="36"/>
      <c r="X1160" s="36"/>
      <c r="Y1160" s="27"/>
      <c r="AA1160" s="9"/>
      <c r="AB1160" s="72"/>
    </row>
    <row r="1161" spans="6:28">
      <c r="F1161" s="48"/>
      <c r="G1161" s="32"/>
      <c r="H1161" s="68"/>
      <c r="I1161" s="36"/>
      <c r="J1161" s="27"/>
      <c r="K1161" s="27"/>
      <c r="L1161" s="27"/>
      <c r="M1161" s="27"/>
      <c r="N1161" s="27"/>
      <c r="O1161" s="64"/>
      <c r="P1161" s="64"/>
      <c r="Q1161" s="27"/>
      <c r="R1161" s="34"/>
      <c r="S1161" s="36"/>
      <c r="T1161" s="34"/>
      <c r="U1161" s="71"/>
      <c r="V1161" s="36"/>
      <c r="W1161" s="36"/>
      <c r="X1161" s="36"/>
      <c r="Y1161" s="27"/>
      <c r="AA1161" s="9"/>
      <c r="AB1161" s="72"/>
    </row>
    <row r="1162" spans="6:28">
      <c r="F1162" s="48"/>
      <c r="G1162" s="32"/>
      <c r="H1162" s="68"/>
      <c r="I1162" s="36"/>
      <c r="J1162" s="27"/>
      <c r="K1162" s="27"/>
      <c r="L1162" s="27"/>
      <c r="M1162" s="27"/>
      <c r="N1162" s="27"/>
      <c r="O1162" s="64"/>
      <c r="P1162" s="64"/>
      <c r="Q1162" s="27"/>
      <c r="R1162" s="34"/>
      <c r="S1162" s="36"/>
      <c r="T1162" s="34"/>
      <c r="U1162" s="71"/>
      <c r="V1162" s="36"/>
      <c r="W1162" s="36"/>
      <c r="X1162" s="36"/>
      <c r="Y1162" s="27"/>
      <c r="AA1162" s="9"/>
      <c r="AB1162" s="72"/>
    </row>
    <row r="1163" spans="6:28">
      <c r="F1163" s="48"/>
      <c r="G1163" s="32"/>
      <c r="H1163" s="68"/>
      <c r="I1163" s="36"/>
      <c r="J1163" s="27"/>
      <c r="K1163" s="27"/>
      <c r="L1163" s="27"/>
      <c r="M1163" s="27"/>
      <c r="N1163" s="27"/>
      <c r="O1163" s="64"/>
      <c r="P1163" s="64"/>
      <c r="Q1163" s="27"/>
      <c r="R1163" s="34"/>
      <c r="S1163" s="36"/>
      <c r="T1163" s="34"/>
      <c r="U1163" s="71"/>
      <c r="V1163" s="36"/>
      <c r="W1163" s="36"/>
      <c r="X1163" s="36"/>
      <c r="Y1163" s="27"/>
      <c r="AA1163" s="9"/>
      <c r="AB1163" s="72"/>
    </row>
    <row r="1164" spans="6:28">
      <c r="F1164" s="48"/>
      <c r="G1164" s="32"/>
      <c r="H1164" s="68"/>
      <c r="I1164" s="36"/>
      <c r="J1164" s="27"/>
      <c r="K1164" s="27"/>
      <c r="L1164" s="27"/>
      <c r="M1164" s="27"/>
      <c r="N1164" s="27"/>
      <c r="O1164" s="64"/>
      <c r="P1164" s="64"/>
      <c r="Q1164" s="27"/>
      <c r="R1164" s="34"/>
      <c r="S1164" s="36"/>
      <c r="T1164" s="34"/>
      <c r="U1164" s="71"/>
      <c r="V1164" s="36"/>
      <c r="W1164" s="36"/>
      <c r="X1164" s="36"/>
      <c r="Y1164" s="27"/>
      <c r="AA1164" s="9"/>
      <c r="AB1164" s="72"/>
    </row>
    <row r="1165" spans="6:28">
      <c r="F1165" s="48"/>
      <c r="G1165" s="32"/>
      <c r="H1165" s="68"/>
      <c r="I1165" s="36"/>
      <c r="J1165" s="27"/>
      <c r="K1165" s="27"/>
      <c r="L1165" s="27"/>
      <c r="M1165" s="27"/>
      <c r="N1165" s="27"/>
      <c r="O1165" s="64"/>
      <c r="P1165" s="64"/>
      <c r="Q1165" s="27"/>
      <c r="R1165" s="34"/>
      <c r="S1165" s="36"/>
      <c r="T1165" s="34"/>
      <c r="U1165" s="71"/>
      <c r="V1165" s="36"/>
      <c r="W1165" s="36"/>
      <c r="X1165" s="36"/>
      <c r="Y1165" s="27"/>
      <c r="AA1165" s="9"/>
      <c r="AB1165" s="72"/>
    </row>
    <row r="1166" spans="6:28">
      <c r="F1166" s="48"/>
      <c r="G1166" s="32"/>
      <c r="H1166" s="68"/>
      <c r="I1166" s="36"/>
      <c r="J1166" s="27"/>
      <c r="K1166" s="27"/>
      <c r="L1166" s="27"/>
      <c r="M1166" s="27"/>
      <c r="N1166" s="27"/>
      <c r="O1166" s="64"/>
      <c r="P1166" s="64"/>
      <c r="Q1166" s="27"/>
      <c r="R1166" s="34"/>
      <c r="S1166" s="36"/>
      <c r="T1166" s="34"/>
      <c r="U1166" s="71"/>
      <c r="V1166" s="36"/>
      <c r="W1166" s="36"/>
      <c r="X1166" s="36"/>
      <c r="Y1166" s="27"/>
      <c r="AA1166" s="9"/>
      <c r="AB1166" s="72"/>
    </row>
    <row r="1167" spans="6:28">
      <c r="F1167" s="48"/>
      <c r="G1167" s="32"/>
      <c r="H1167" s="68"/>
      <c r="I1167" s="36"/>
      <c r="J1167" s="27"/>
      <c r="K1167" s="27"/>
      <c r="L1167" s="27"/>
      <c r="M1167" s="27"/>
      <c r="N1167" s="27"/>
      <c r="O1167" s="64"/>
      <c r="P1167" s="64"/>
      <c r="Q1167" s="27"/>
      <c r="R1167" s="34"/>
      <c r="S1167" s="36"/>
      <c r="T1167" s="34"/>
      <c r="U1167" s="71"/>
      <c r="V1167" s="36"/>
      <c r="W1167" s="36"/>
      <c r="X1167" s="36"/>
      <c r="Y1167" s="27"/>
      <c r="AA1167" s="9"/>
      <c r="AB1167" s="72"/>
    </row>
    <row r="1168" spans="6:28">
      <c r="F1168" s="48"/>
      <c r="G1168" s="32"/>
      <c r="H1168" s="68"/>
      <c r="I1168" s="36"/>
      <c r="J1168" s="27"/>
      <c r="K1168" s="27"/>
      <c r="L1168" s="27"/>
      <c r="M1168" s="27"/>
      <c r="N1168" s="27"/>
      <c r="O1168" s="64"/>
      <c r="P1168" s="64"/>
      <c r="Q1168" s="27"/>
      <c r="R1168" s="34"/>
      <c r="S1168" s="36"/>
      <c r="T1168" s="34"/>
      <c r="U1168" s="71"/>
      <c r="V1168" s="36"/>
      <c r="W1168" s="36"/>
      <c r="X1168" s="36"/>
      <c r="Y1168" s="27"/>
      <c r="AA1168" s="9"/>
      <c r="AB1168" s="72"/>
    </row>
    <row r="1169" spans="6:28">
      <c r="F1169" s="48"/>
      <c r="G1169" s="32"/>
      <c r="H1169" s="68"/>
      <c r="I1169" s="36"/>
      <c r="J1169" s="27"/>
      <c r="K1169" s="27"/>
      <c r="L1169" s="27"/>
      <c r="M1169" s="27"/>
      <c r="N1169" s="27"/>
      <c r="O1169" s="64"/>
      <c r="P1169" s="64"/>
      <c r="Q1169" s="27"/>
      <c r="R1169" s="34"/>
      <c r="S1169" s="36"/>
      <c r="T1169" s="34"/>
      <c r="U1169" s="71"/>
      <c r="V1169" s="36"/>
      <c r="W1169" s="36"/>
      <c r="X1169" s="36"/>
      <c r="Y1169" s="27"/>
      <c r="AA1169" s="9"/>
      <c r="AB1169" s="72"/>
    </row>
    <row r="1170" spans="6:28">
      <c r="F1170" s="48"/>
      <c r="G1170" s="32"/>
      <c r="H1170" s="68"/>
      <c r="I1170" s="36"/>
      <c r="J1170" s="27"/>
      <c r="K1170" s="27"/>
      <c r="L1170" s="27"/>
      <c r="M1170" s="27"/>
      <c r="N1170" s="27"/>
      <c r="O1170" s="64"/>
      <c r="P1170" s="64"/>
      <c r="Q1170" s="27"/>
      <c r="R1170" s="34"/>
      <c r="S1170" s="36"/>
      <c r="T1170" s="34"/>
      <c r="U1170" s="71"/>
      <c r="V1170" s="36"/>
      <c r="W1170" s="36"/>
      <c r="X1170" s="36"/>
      <c r="Y1170" s="27"/>
      <c r="AA1170" s="9"/>
      <c r="AB1170" s="72"/>
    </row>
    <row r="1171" spans="6:28">
      <c r="F1171" s="48"/>
      <c r="G1171" s="32"/>
      <c r="H1171" s="68"/>
      <c r="I1171" s="36"/>
      <c r="J1171" s="27"/>
      <c r="K1171" s="27"/>
      <c r="L1171" s="27"/>
      <c r="M1171" s="27"/>
      <c r="N1171" s="27"/>
      <c r="O1171" s="64"/>
      <c r="P1171" s="64"/>
      <c r="Q1171" s="27"/>
      <c r="R1171" s="34"/>
      <c r="S1171" s="36"/>
      <c r="T1171" s="34"/>
      <c r="U1171" s="71"/>
      <c r="V1171" s="36"/>
      <c r="W1171" s="36"/>
      <c r="X1171" s="36"/>
      <c r="Y1171" s="27"/>
      <c r="AA1171" s="9"/>
      <c r="AB1171" s="72"/>
    </row>
    <row r="1172" spans="6:28">
      <c r="F1172" s="48"/>
      <c r="G1172" s="32"/>
      <c r="H1172" s="68"/>
      <c r="I1172" s="36"/>
      <c r="J1172" s="27"/>
      <c r="K1172" s="27"/>
      <c r="L1172" s="27"/>
      <c r="M1172" s="27"/>
      <c r="N1172" s="27"/>
      <c r="O1172" s="64"/>
      <c r="P1172" s="64"/>
      <c r="Q1172" s="27"/>
      <c r="R1172" s="34"/>
      <c r="S1172" s="36"/>
      <c r="T1172" s="34"/>
      <c r="U1172" s="71"/>
      <c r="V1172" s="36"/>
      <c r="W1172" s="36"/>
      <c r="X1172" s="36"/>
      <c r="Y1172" s="27"/>
      <c r="AA1172" s="9"/>
      <c r="AB1172" s="72"/>
    </row>
    <row r="1173" spans="6:28">
      <c r="F1173" s="48"/>
      <c r="G1173" s="32"/>
      <c r="H1173" s="68"/>
      <c r="I1173" s="36"/>
      <c r="J1173" s="27"/>
      <c r="K1173" s="27"/>
      <c r="L1173" s="27"/>
      <c r="M1173" s="27"/>
      <c r="N1173" s="27"/>
      <c r="O1173" s="64"/>
      <c r="P1173" s="64"/>
      <c r="Q1173" s="27"/>
      <c r="R1173" s="34"/>
      <c r="S1173" s="36"/>
      <c r="T1173" s="34"/>
      <c r="U1173" s="71"/>
      <c r="V1173" s="36"/>
      <c r="W1173" s="36"/>
      <c r="X1173" s="36"/>
      <c r="Y1173" s="27"/>
      <c r="AA1173" s="9"/>
      <c r="AB1173" s="72"/>
    </row>
    <row r="1174" spans="6:28">
      <c r="F1174" s="48"/>
      <c r="G1174" s="32"/>
      <c r="H1174" s="68"/>
      <c r="I1174" s="36"/>
      <c r="J1174" s="27"/>
      <c r="K1174" s="27"/>
      <c r="L1174" s="27"/>
      <c r="M1174" s="27"/>
      <c r="N1174" s="27"/>
      <c r="O1174" s="64"/>
      <c r="P1174" s="64"/>
      <c r="Q1174" s="27"/>
      <c r="R1174" s="34"/>
      <c r="S1174" s="36"/>
      <c r="T1174" s="34"/>
      <c r="U1174" s="71"/>
      <c r="V1174" s="36"/>
      <c r="W1174" s="36"/>
      <c r="X1174" s="36"/>
      <c r="Y1174" s="27"/>
      <c r="AA1174" s="9"/>
      <c r="AB1174" s="72"/>
    </row>
    <row r="1175" spans="6:28">
      <c r="F1175" s="48"/>
      <c r="G1175" s="32"/>
      <c r="H1175" s="68"/>
      <c r="I1175" s="36"/>
      <c r="J1175" s="27"/>
      <c r="K1175" s="27"/>
      <c r="L1175" s="27"/>
      <c r="M1175" s="27"/>
      <c r="N1175" s="27"/>
      <c r="O1175" s="64"/>
      <c r="P1175" s="64"/>
      <c r="Q1175" s="27"/>
      <c r="R1175" s="34"/>
      <c r="S1175" s="36"/>
      <c r="T1175" s="34"/>
      <c r="U1175" s="71"/>
      <c r="V1175" s="36"/>
      <c r="W1175" s="36"/>
      <c r="X1175" s="36"/>
      <c r="Y1175" s="27"/>
      <c r="AA1175" s="9"/>
      <c r="AB1175" s="72"/>
    </row>
    <row r="1176" spans="6:28">
      <c r="F1176" s="48"/>
      <c r="G1176" s="32"/>
      <c r="H1176" s="68"/>
      <c r="I1176" s="36"/>
      <c r="J1176" s="27"/>
      <c r="K1176" s="27"/>
      <c r="L1176" s="27"/>
      <c r="M1176" s="27"/>
      <c r="N1176" s="27"/>
      <c r="O1176" s="64"/>
      <c r="P1176" s="64"/>
      <c r="Q1176" s="27"/>
      <c r="R1176" s="34"/>
      <c r="S1176" s="36"/>
      <c r="T1176" s="34"/>
      <c r="U1176" s="71"/>
      <c r="V1176" s="36"/>
      <c r="W1176" s="36"/>
      <c r="X1176" s="36"/>
      <c r="Y1176" s="27"/>
      <c r="AA1176" s="9"/>
      <c r="AB1176" s="72"/>
    </row>
    <row r="1177" spans="6:28">
      <c r="F1177" s="48"/>
      <c r="G1177" s="32"/>
      <c r="H1177" s="68"/>
      <c r="I1177" s="36"/>
      <c r="J1177" s="27"/>
      <c r="K1177" s="27"/>
      <c r="L1177" s="27"/>
      <c r="M1177" s="27"/>
      <c r="N1177" s="27"/>
      <c r="O1177" s="64"/>
      <c r="P1177" s="64"/>
      <c r="Q1177" s="27"/>
      <c r="R1177" s="34"/>
      <c r="S1177" s="36"/>
      <c r="T1177" s="34"/>
      <c r="U1177" s="71"/>
      <c r="V1177" s="36"/>
      <c r="W1177" s="36"/>
      <c r="X1177" s="36"/>
      <c r="Y1177" s="27"/>
      <c r="AA1177" s="9"/>
      <c r="AB1177" s="72"/>
    </row>
    <row r="1178" spans="6:28">
      <c r="F1178" s="48"/>
      <c r="G1178" s="32"/>
      <c r="H1178" s="68"/>
      <c r="I1178" s="36"/>
      <c r="J1178" s="27"/>
      <c r="K1178" s="27"/>
      <c r="L1178" s="27"/>
      <c r="M1178" s="27"/>
      <c r="N1178" s="27"/>
      <c r="O1178" s="64"/>
      <c r="P1178" s="64"/>
      <c r="Q1178" s="27"/>
      <c r="R1178" s="34"/>
      <c r="S1178" s="36"/>
      <c r="T1178" s="34"/>
      <c r="U1178" s="71"/>
      <c r="V1178" s="36"/>
      <c r="W1178" s="36"/>
      <c r="X1178" s="36"/>
      <c r="Y1178" s="27"/>
      <c r="AA1178" s="9"/>
      <c r="AB1178" s="72"/>
    </row>
    <row r="1179" spans="6:28">
      <c r="F1179" s="48"/>
      <c r="G1179" s="32"/>
      <c r="H1179" s="68"/>
      <c r="I1179" s="36"/>
      <c r="J1179" s="27"/>
      <c r="K1179" s="27"/>
      <c r="L1179" s="27"/>
      <c r="M1179" s="27"/>
      <c r="N1179" s="27"/>
      <c r="O1179" s="64"/>
      <c r="P1179" s="64"/>
      <c r="Q1179" s="27"/>
      <c r="R1179" s="34"/>
      <c r="S1179" s="36"/>
      <c r="T1179" s="34"/>
      <c r="U1179" s="71"/>
      <c r="V1179" s="36"/>
      <c r="W1179" s="36"/>
      <c r="X1179" s="36"/>
      <c r="Y1179" s="27"/>
      <c r="AA1179" s="9"/>
      <c r="AB1179" s="72"/>
    </row>
    <row r="1180" spans="6:28">
      <c r="F1180" s="48"/>
      <c r="G1180" s="32"/>
      <c r="H1180" s="68"/>
      <c r="I1180" s="36"/>
      <c r="J1180" s="27"/>
      <c r="K1180" s="27"/>
      <c r="L1180" s="27"/>
      <c r="M1180" s="27"/>
      <c r="N1180" s="27"/>
      <c r="O1180" s="64"/>
      <c r="P1180" s="64"/>
      <c r="Q1180" s="27"/>
      <c r="R1180" s="34"/>
      <c r="S1180" s="36"/>
      <c r="T1180" s="34"/>
      <c r="U1180" s="71"/>
      <c r="V1180" s="36"/>
      <c r="W1180" s="36"/>
      <c r="X1180" s="36"/>
      <c r="Y1180" s="27"/>
      <c r="AA1180" s="9"/>
      <c r="AB1180" s="72"/>
    </row>
    <row r="1181" spans="6:28">
      <c r="F1181" s="48"/>
      <c r="G1181" s="32"/>
      <c r="H1181" s="68"/>
      <c r="I1181" s="36"/>
      <c r="J1181" s="27"/>
      <c r="K1181" s="27"/>
      <c r="L1181" s="27"/>
      <c r="M1181" s="27"/>
      <c r="N1181" s="27"/>
      <c r="O1181" s="64"/>
      <c r="P1181" s="64"/>
      <c r="Q1181" s="27"/>
      <c r="R1181" s="34"/>
      <c r="S1181" s="36"/>
      <c r="T1181" s="34"/>
      <c r="U1181" s="71"/>
      <c r="V1181" s="36"/>
      <c r="W1181" s="36"/>
      <c r="X1181" s="36"/>
      <c r="Y1181" s="27"/>
      <c r="AA1181" s="9"/>
      <c r="AB1181" s="72"/>
    </row>
    <row r="1182" spans="6:28">
      <c r="F1182" s="48"/>
      <c r="G1182" s="32"/>
      <c r="H1182" s="68"/>
      <c r="I1182" s="36"/>
      <c r="J1182" s="27"/>
      <c r="K1182" s="27"/>
      <c r="L1182" s="27"/>
      <c r="M1182" s="27"/>
      <c r="N1182" s="27"/>
      <c r="O1182" s="64"/>
      <c r="P1182" s="64"/>
      <c r="Q1182" s="27"/>
      <c r="R1182" s="34"/>
      <c r="S1182" s="36"/>
      <c r="T1182" s="34"/>
      <c r="U1182" s="71"/>
      <c r="V1182" s="36"/>
      <c r="W1182" s="36"/>
      <c r="X1182" s="36"/>
      <c r="Y1182" s="27"/>
      <c r="AA1182" s="9"/>
      <c r="AB1182" s="72"/>
    </row>
    <row r="1183" spans="6:28">
      <c r="F1183" s="48"/>
      <c r="G1183" s="32"/>
      <c r="H1183" s="68"/>
      <c r="I1183" s="36"/>
      <c r="J1183" s="27"/>
      <c r="K1183" s="27"/>
      <c r="L1183" s="27"/>
      <c r="M1183" s="27"/>
      <c r="N1183" s="27"/>
      <c r="O1183" s="64"/>
      <c r="P1183" s="64"/>
      <c r="Q1183" s="27"/>
      <c r="R1183" s="34"/>
      <c r="S1183" s="36"/>
      <c r="T1183" s="34"/>
      <c r="U1183" s="71"/>
      <c r="V1183" s="36"/>
      <c r="W1183" s="36"/>
      <c r="X1183" s="36"/>
      <c r="Y1183" s="27"/>
      <c r="AA1183" s="9"/>
      <c r="AB1183" s="72"/>
    </row>
    <row r="1184" spans="6:28">
      <c r="F1184" s="48"/>
      <c r="G1184" s="32"/>
      <c r="H1184" s="68"/>
      <c r="I1184" s="36"/>
      <c r="J1184" s="27"/>
      <c r="K1184" s="27"/>
      <c r="L1184" s="27"/>
      <c r="M1184" s="27"/>
      <c r="N1184" s="27"/>
      <c r="O1184" s="64"/>
      <c r="P1184" s="64"/>
      <c r="Q1184" s="27"/>
      <c r="R1184" s="34"/>
      <c r="S1184" s="36"/>
      <c r="T1184" s="34"/>
      <c r="U1184" s="71"/>
      <c r="V1184" s="36"/>
      <c r="W1184" s="36"/>
      <c r="X1184" s="36"/>
      <c r="Y1184" s="27"/>
      <c r="AA1184" s="9"/>
      <c r="AB1184" s="72"/>
    </row>
    <row r="1185" spans="6:28">
      <c r="F1185" s="48"/>
      <c r="G1185" s="32"/>
      <c r="H1185" s="68"/>
      <c r="I1185" s="36"/>
      <c r="J1185" s="27"/>
      <c r="K1185" s="27"/>
      <c r="L1185" s="27"/>
      <c r="M1185" s="27"/>
      <c r="N1185" s="27"/>
      <c r="O1185" s="64"/>
      <c r="P1185" s="64"/>
      <c r="Q1185" s="27"/>
      <c r="R1185" s="34"/>
      <c r="S1185" s="36"/>
      <c r="T1185" s="34"/>
      <c r="U1185" s="71"/>
      <c r="V1185" s="36"/>
      <c r="W1185" s="36"/>
      <c r="X1185" s="36"/>
      <c r="Y1185" s="27"/>
      <c r="AA1185" s="9"/>
      <c r="AB1185" s="72"/>
    </row>
    <row r="1186" spans="6:28">
      <c r="F1186" s="48"/>
      <c r="G1186" s="32"/>
      <c r="H1186" s="68"/>
      <c r="I1186" s="36"/>
      <c r="J1186" s="27"/>
      <c r="K1186" s="27"/>
      <c r="L1186" s="27"/>
      <c r="M1186" s="27"/>
      <c r="N1186" s="27"/>
      <c r="O1186" s="64"/>
      <c r="P1186" s="64"/>
      <c r="Q1186" s="27"/>
      <c r="R1186" s="34"/>
      <c r="S1186" s="36"/>
      <c r="T1186" s="34"/>
      <c r="U1186" s="71"/>
      <c r="V1186" s="36"/>
      <c r="W1186" s="36"/>
      <c r="X1186" s="36"/>
      <c r="Y1186" s="27"/>
      <c r="AA1186" s="9"/>
      <c r="AB1186" s="72"/>
    </row>
    <row r="1187" spans="6:28">
      <c r="F1187" s="48"/>
      <c r="G1187" s="32"/>
      <c r="H1187" s="68"/>
      <c r="I1187" s="36"/>
      <c r="J1187" s="27"/>
      <c r="K1187" s="27"/>
      <c r="L1187" s="27"/>
      <c r="M1187" s="27"/>
      <c r="N1187" s="27"/>
      <c r="O1187" s="64"/>
      <c r="P1187" s="64"/>
      <c r="Q1187" s="27"/>
      <c r="R1187" s="34"/>
      <c r="S1187" s="36"/>
      <c r="T1187" s="34"/>
      <c r="U1187" s="71"/>
      <c r="V1187" s="36"/>
      <c r="W1187" s="36"/>
      <c r="X1187" s="36"/>
      <c r="Y1187" s="27"/>
      <c r="AA1187" s="9"/>
      <c r="AB1187" s="72"/>
    </row>
    <row r="1188" spans="6:28">
      <c r="F1188" s="48"/>
      <c r="G1188" s="32"/>
      <c r="H1188" s="68"/>
      <c r="I1188" s="36"/>
      <c r="J1188" s="27"/>
      <c r="K1188" s="27"/>
      <c r="L1188" s="27"/>
      <c r="M1188" s="27"/>
      <c r="N1188" s="27"/>
      <c r="O1188" s="64"/>
      <c r="P1188" s="64"/>
      <c r="Q1188" s="27"/>
      <c r="R1188" s="34"/>
      <c r="S1188" s="36"/>
      <c r="T1188" s="34"/>
      <c r="U1188" s="71"/>
      <c r="V1188" s="36"/>
      <c r="W1188" s="36"/>
      <c r="X1188" s="36"/>
      <c r="Y1188" s="27"/>
      <c r="AA1188" s="9"/>
      <c r="AB1188" s="72"/>
    </row>
    <row r="1189" spans="6:28">
      <c r="F1189" s="48"/>
      <c r="G1189" s="32"/>
      <c r="H1189" s="68"/>
      <c r="I1189" s="36"/>
      <c r="J1189" s="27"/>
      <c r="K1189" s="27"/>
      <c r="L1189" s="27"/>
      <c r="M1189" s="27"/>
      <c r="N1189" s="27"/>
      <c r="O1189" s="64"/>
      <c r="P1189" s="64"/>
      <c r="Q1189" s="27"/>
      <c r="R1189" s="34"/>
      <c r="S1189" s="36"/>
      <c r="T1189" s="34"/>
      <c r="U1189" s="71"/>
      <c r="V1189" s="36"/>
      <c r="W1189" s="36"/>
      <c r="X1189" s="36"/>
      <c r="Y1189" s="27"/>
      <c r="AA1189" s="9"/>
      <c r="AB1189" s="72"/>
    </row>
    <row r="1190" spans="6:28">
      <c r="F1190" s="48"/>
      <c r="G1190" s="32"/>
      <c r="H1190" s="68"/>
      <c r="I1190" s="36"/>
      <c r="J1190" s="27"/>
      <c r="K1190" s="27"/>
      <c r="L1190" s="27"/>
      <c r="M1190" s="27"/>
      <c r="N1190" s="27"/>
      <c r="O1190" s="64"/>
      <c r="P1190" s="64"/>
      <c r="Q1190" s="27"/>
      <c r="R1190" s="34"/>
      <c r="S1190" s="36"/>
      <c r="T1190" s="34"/>
      <c r="U1190" s="71"/>
      <c r="V1190" s="36"/>
      <c r="W1190" s="36"/>
      <c r="X1190" s="36"/>
      <c r="Y1190" s="27"/>
      <c r="AA1190" s="9"/>
      <c r="AB1190" s="72"/>
    </row>
    <row r="1191" spans="6:28">
      <c r="F1191" s="48"/>
      <c r="G1191" s="32"/>
      <c r="H1191" s="68"/>
      <c r="I1191" s="36"/>
      <c r="J1191" s="27"/>
      <c r="K1191" s="27"/>
      <c r="L1191" s="27"/>
      <c r="M1191" s="27"/>
      <c r="N1191" s="27"/>
      <c r="O1191" s="64"/>
      <c r="P1191" s="64"/>
      <c r="Q1191" s="27"/>
      <c r="R1191" s="34"/>
      <c r="S1191" s="36"/>
      <c r="T1191" s="34"/>
      <c r="U1191" s="71"/>
      <c r="V1191" s="36"/>
      <c r="W1191" s="36"/>
      <c r="X1191" s="36"/>
      <c r="Y1191" s="27"/>
      <c r="AA1191" s="9"/>
      <c r="AB1191" s="72"/>
    </row>
    <row r="1192" spans="6:28">
      <c r="F1192" s="48"/>
      <c r="G1192" s="32"/>
      <c r="H1192" s="68"/>
      <c r="I1192" s="36"/>
      <c r="J1192" s="27"/>
      <c r="K1192" s="27"/>
      <c r="L1192" s="27"/>
      <c r="M1192" s="27"/>
      <c r="N1192" s="27"/>
      <c r="O1192" s="64"/>
      <c r="P1192" s="64"/>
      <c r="Q1192" s="27"/>
      <c r="R1192" s="34"/>
      <c r="S1192" s="36"/>
      <c r="T1192" s="34"/>
      <c r="U1192" s="71"/>
      <c r="V1192" s="36"/>
      <c r="W1192" s="36"/>
      <c r="X1192" s="36"/>
      <c r="Y1192" s="27"/>
      <c r="AA1192" s="9"/>
      <c r="AB1192" s="72"/>
    </row>
    <row r="1193" spans="6:28">
      <c r="F1193" s="48"/>
      <c r="G1193" s="32"/>
      <c r="H1193" s="68"/>
      <c r="I1193" s="36"/>
      <c r="J1193" s="27"/>
      <c r="K1193" s="27"/>
      <c r="L1193" s="27"/>
      <c r="M1193" s="27"/>
      <c r="N1193" s="27"/>
      <c r="O1193" s="64"/>
      <c r="P1193" s="64"/>
      <c r="Q1193" s="27"/>
      <c r="R1193" s="34"/>
      <c r="S1193" s="36"/>
      <c r="T1193" s="34"/>
      <c r="U1193" s="71"/>
      <c r="V1193" s="36"/>
      <c r="W1193" s="36"/>
      <c r="X1193" s="36"/>
      <c r="Y1193" s="27"/>
      <c r="AA1193" s="9"/>
      <c r="AB1193" s="72"/>
    </row>
    <row r="1194" spans="6:28">
      <c r="F1194" s="48"/>
      <c r="G1194" s="32"/>
      <c r="H1194" s="68"/>
      <c r="I1194" s="36"/>
      <c r="J1194" s="27"/>
      <c r="K1194" s="27"/>
      <c r="L1194" s="27"/>
      <c r="M1194" s="27"/>
      <c r="N1194" s="27"/>
      <c r="O1194" s="64"/>
      <c r="P1194" s="64"/>
      <c r="Q1194" s="27"/>
      <c r="R1194" s="34"/>
      <c r="S1194" s="36"/>
      <c r="T1194" s="34"/>
      <c r="U1194" s="71"/>
      <c r="V1194" s="36"/>
      <c r="W1194" s="36"/>
      <c r="X1194" s="36"/>
      <c r="Y1194" s="27"/>
      <c r="AA1194" s="9"/>
      <c r="AB1194" s="72"/>
    </row>
    <row r="1195" spans="6:28">
      <c r="F1195" s="48"/>
      <c r="G1195" s="32"/>
      <c r="H1195" s="68"/>
      <c r="I1195" s="36"/>
      <c r="J1195" s="27"/>
      <c r="K1195" s="27"/>
      <c r="L1195" s="27"/>
      <c r="M1195" s="27"/>
      <c r="N1195" s="27"/>
      <c r="O1195" s="64"/>
      <c r="P1195" s="64"/>
      <c r="Q1195" s="27"/>
      <c r="R1195" s="34"/>
      <c r="S1195" s="36"/>
      <c r="T1195" s="34"/>
      <c r="U1195" s="71"/>
      <c r="V1195" s="36"/>
      <c r="W1195" s="36"/>
      <c r="X1195" s="36"/>
      <c r="Y1195" s="27"/>
      <c r="AA1195" s="9"/>
      <c r="AB1195" s="72"/>
    </row>
    <row r="1196" spans="6:28">
      <c r="F1196" s="48"/>
      <c r="G1196" s="32"/>
      <c r="H1196" s="68"/>
      <c r="I1196" s="36"/>
      <c r="J1196" s="27"/>
      <c r="K1196" s="27"/>
      <c r="L1196" s="27"/>
      <c r="M1196" s="27"/>
      <c r="N1196" s="27"/>
      <c r="O1196" s="64"/>
      <c r="P1196" s="64"/>
      <c r="Q1196" s="27"/>
      <c r="R1196" s="34"/>
      <c r="S1196" s="36"/>
      <c r="T1196" s="34"/>
      <c r="U1196" s="71"/>
      <c r="V1196" s="36"/>
      <c r="W1196" s="36"/>
      <c r="X1196" s="36"/>
      <c r="Y1196" s="27"/>
      <c r="AA1196" s="9"/>
      <c r="AB1196" s="72"/>
    </row>
    <row r="1197" spans="6:28">
      <c r="F1197" s="48"/>
      <c r="G1197" s="32"/>
      <c r="H1197" s="68"/>
      <c r="I1197" s="36"/>
      <c r="J1197" s="27"/>
      <c r="K1197" s="27"/>
      <c r="L1197" s="27"/>
      <c r="M1197" s="27"/>
      <c r="N1197" s="27"/>
      <c r="O1197" s="64"/>
      <c r="P1197" s="64"/>
      <c r="Q1197" s="27"/>
      <c r="R1197" s="34"/>
      <c r="S1197" s="36"/>
      <c r="T1197" s="34"/>
      <c r="U1197" s="71"/>
      <c r="V1197" s="36"/>
      <c r="W1197" s="36"/>
      <c r="X1197" s="36"/>
      <c r="Y1197" s="27"/>
      <c r="AA1197" s="9"/>
      <c r="AB1197" s="72"/>
    </row>
    <row r="1198" spans="6:28">
      <c r="F1198" s="48"/>
      <c r="G1198" s="32"/>
      <c r="H1198" s="68"/>
      <c r="I1198" s="36"/>
      <c r="J1198" s="27"/>
      <c r="K1198" s="27"/>
      <c r="L1198" s="27"/>
      <c r="M1198" s="27"/>
      <c r="N1198" s="27"/>
      <c r="O1198" s="64"/>
      <c r="P1198" s="64"/>
      <c r="Q1198" s="27"/>
      <c r="R1198" s="34"/>
      <c r="S1198" s="36"/>
      <c r="T1198" s="34"/>
      <c r="U1198" s="71"/>
      <c r="V1198" s="36"/>
      <c r="W1198" s="36"/>
      <c r="X1198" s="36"/>
      <c r="Y1198" s="27"/>
      <c r="AA1198" s="9"/>
      <c r="AB1198" s="72"/>
    </row>
    <row r="1199" spans="6:28">
      <c r="F1199" s="48"/>
      <c r="G1199" s="32"/>
      <c r="H1199" s="68"/>
      <c r="I1199" s="36"/>
      <c r="J1199" s="27"/>
      <c r="K1199" s="27"/>
      <c r="L1199" s="27"/>
      <c r="M1199" s="27"/>
      <c r="N1199" s="27"/>
      <c r="O1199" s="64"/>
      <c r="P1199" s="64"/>
      <c r="Q1199" s="27"/>
      <c r="R1199" s="34"/>
      <c r="S1199" s="36"/>
      <c r="T1199" s="34"/>
      <c r="U1199" s="71"/>
      <c r="V1199" s="36"/>
      <c r="W1199" s="36"/>
      <c r="X1199" s="36"/>
      <c r="Y1199" s="27"/>
      <c r="AA1199" s="9"/>
      <c r="AB1199" s="72"/>
    </row>
    <row r="1200" spans="6:28">
      <c r="F1200" s="48"/>
      <c r="G1200" s="32"/>
      <c r="H1200" s="68"/>
      <c r="I1200" s="36"/>
      <c r="J1200" s="27"/>
      <c r="K1200" s="27"/>
      <c r="L1200" s="27"/>
      <c r="M1200" s="27"/>
      <c r="N1200" s="27"/>
      <c r="O1200" s="64"/>
      <c r="P1200" s="64"/>
      <c r="Q1200" s="27"/>
      <c r="R1200" s="34"/>
      <c r="S1200" s="36"/>
      <c r="T1200" s="34"/>
      <c r="U1200" s="71"/>
      <c r="V1200" s="36"/>
      <c r="W1200" s="36"/>
      <c r="X1200" s="36"/>
      <c r="Y1200" s="27"/>
      <c r="AA1200" s="9"/>
      <c r="AB1200" s="72"/>
    </row>
    <row r="1201" spans="6:28">
      <c r="F1201" s="48"/>
      <c r="G1201" s="32"/>
      <c r="H1201" s="68"/>
      <c r="I1201" s="36"/>
      <c r="J1201" s="27"/>
      <c r="K1201" s="27"/>
      <c r="L1201" s="27"/>
      <c r="M1201" s="27"/>
      <c r="N1201" s="27"/>
      <c r="O1201" s="64"/>
      <c r="P1201" s="64"/>
      <c r="Q1201" s="27"/>
      <c r="R1201" s="34"/>
      <c r="S1201" s="36"/>
      <c r="T1201" s="34"/>
      <c r="U1201" s="71"/>
      <c r="V1201" s="36"/>
      <c r="W1201" s="36"/>
      <c r="X1201" s="36"/>
      <c r="Y1201" s="27"/>
      <c r="AA1201" s="9"/>
      <c r="AB1201" s="72"/>
    </row>
    <row r="1202" spans="6:28">
      <c r="F1202" s="48"/>
      <c r="G1202" s="32"/>
      <c r="H1202" s="68"/>
      <c r="I1202" s="36"/>
      <c r="J1202" s="27"/>
      <c r="K1202" s="27"/>
      <c r="L1202" s="27"/>
      <c r="M1202" s="27"/>
      <c r="N1202" s="27"/>
      <c r="O1202" s="64"/>
      <c r="P1202" s="64"/>
      <c r="Q1202" s="27"/>
      <c r="R1202" s="34"/>
      <c r="S1202" s="36"/>
      <c r="T1202" s="34"/>
      <c r="U1202" s="71"/>
      <c r="V1202" s="36"/>
      <c r="W1202" s="36"/>
      <c r="X1202" s="36"/>
      <c r="Y1202" s="27"/>
      <c r="AA1202" s="9"/>
      <c r="AB1202" s="72"/>
    </row>
    <row r="1203" spans="6:28">
      <c r="F1203" s="48"/>
      <c r="G1203" s="32"/>
      <c r="H1203" s="68"/>
      <c r="I1203" s="36"/>
      <c r="J1203" s="27"/>
      <c r="K1203" s="27"/>
      <c r="L1203" s="27"/>
      <c r="M1203" s="27"/>
      <c r="N1203" s="27"/>
      <c r="O1203" s="64"/>
      <c r="P1203" s="64"/>
      <c r="Q1203" s="27"/>
      <c r="R1203" s="34"/>
      <c r="S1203" s="36"/>
      <c r="T1203" s="34"/>
      <c r="U1203" s="71"/>
      <c r="V1203" s="36"/>
      <c r="W1203" s="36"/>
      <c r="X1203" s="36"/>
      <c r="Y1203" s="27"/>
      <c r="AA1203" s="9"/>
      <c r="AB1203" s="72"/>
    </row>
    <row r="1204" spans="6:28">
      <c r="F1204" s="48"/>
      <c r="G1204" s="32"/>
      <c r="H1204" s="68"/>
      <c r="I1204" s="36"/>
      <c r="J1204" s="27"/>
      <c r="K1204" s="27"/>
      <c r="L1204" s="27"/>
      <c r="M1204" s="27"/>
      <c r="N1204" s="27"/>
      <c r="O1204" s="64"/>
      <c r="P1204" s="64"/>
      <c r="Q1204" s="27"/>
      <c r="R1204" s="34"/>
      <c r="S1204" s="36"/>
      <c r="T1204" s="34"/>
      <c r="U1204" s="71"/>
      <c r="V1204" s="36"/>
      <c r="W1204" s="36"/>
      <c r="X1204" s="36"/>
      <c r="Y1204" s="27"/>
      <c r="AA1204" s="9"/>
      <c r="AB1204" s="72"/>
    </row>
    <row r="1205" spans="6:28">
      <c r="F1205" s="48"/>
      <c r="G1205" s="32"/>
      <c r="H1205" s="68"/>
      <c r="I1205" s="36"/>
      <c r="J1205" s="27"/>
      <c r="K1205" s="27"/>
      <c r="L1205" s="27"/>
      <c r="M1205" s="27"/>
      <c r="N1205" s="27"/>
      <c r="O1205" s="64"/>
      <c r="P1205" s="64"/>
      <c r="Q1205" s="27"/>
      <c r="R1205" s="34"/>
      <c r="S1205" s="36"/>
      <c r="T1205" s="34"/>
      <c r="U1205" s="71"/>
      <c r="V1205" s="36"/>
      <c r="W1205" s="36"/>
      <c r="X1205" s="36"/>
      <c r="Y1205" s="27"/>
      <c r="AA1205" s="9"/>
      <c r="AB1205" s="72"/>
    </row>
    <row r="1206" spans="6:28">
      <c r="F1206" s="48"/>
      <c r="G1206" s="32"/>
      <c r="H1206" s="68"/>
      <c r="I1206" s="36"/>
      <c r="J1206" s="27"/>
      <c r="K1206" s="27"/>
      <c r="L1206" s="27"/>
      <c r="M1206" s="27"/>
      <c r="N1206" s="27"/>
      <c r="O1206" s="64"/>
      <c r="P1206" s="64"/>
      <c r="Q1206" s="27"/>
      <c r="R1206" s="34"/>
      <c r="S1206" s="36"/>
      <c r="T1206" s="34"/>
      <c r="U1206" s="71"/>
      <c r="V1206" s="36"/>
      <c r="W1206" s="36"/>
      <c r="X1206" s="36"/>
      <c r="Y1206" s="27"/>
      <c r="AA1206" s="9"/>
      <c r="AB1206" s="72"/>
    </row>
    <row r="1207" spans="6:28">
      <c r="F1207" s="48"/>
      <c r="G1207" s="32"/>
      <c r="H1207" s="68"/>
      <c r="I1207" s="36"/>
      <c r="J1207" s="27"/>
      <c r="K1207" s="27"/>
      <c r="L1207" s="27"/>
      <c r="M1207" s="27"/>
      <c r="N1207" s="27"/>
      <c r="O1207" s="64"/>
      <c r="P1207" s="64"/>
      <c r="Q1207" s="27"/>
      <c r="R1207" s="34"/>
      <c r="S1207" s="36"/>
      <c r="T1207" s="34"/>
      <c r="U1207" s="71"/>
      <c r="V1207" s="36"/>
      <c r="W1207" s="36"/>
      <c r="X1207" s="36"/>
      <c r="Y1207" s="27"/>
      <c r="AA1207" s="9"/>
      <c r="AB1207" s="72"/>
    </row>
    <row r="1208" spans="6:28">
      <c r="F1208" s="48"/>
      <c r="G1208" s="32"/>
      <c r="H1208" s="68"/>
      <c r="I1208" s="36"/>
      <c r="J1208" s="27"/>
      <c r="K1208" s="27"/>
      <c r="L1208" s="27"/>
      <c r="M1208" s="27"/>
      <c r="N1208" s="27"/>
      <c r="O1208" s="64"/>
      <c r="P1208" s="64"/>
      <c r="Q1208" s="27"/>
      <c r="R1208" s="34"/>
      <c r="S1208" s="36"/>
      <c r="T1208" s="34"/>
      <c r="U1208" s="71"/>
      <c r="V1208" s="36"/>
      <c r="W1208" s="36"/>
      <c r="X1208" s="36"/>
      <c r="Y1208" s="27"/>
      <c r="AA1208" s="9"/>
      <c r="AB1208" s="72"/>
    </row>
    <row r="1209" spans="6:28">
      <c r="F1209" s="48"/>
      <c r="G1209" s="32"/>
      <c r="H1209" s="68"/>
      <c r="I1209" s="36"/>
      <c r="J1209" s="27"/>
      <c r="K1209" s="27"/>
      <c r="L1209" s="27"/>
      <c r="M1209" s="27"/>
      <c r="N1209" s="27"/>
      <c r="O1209" s="64"/>
      <c r="P1209" s="64"/>
      <c r="Q1209" s="27"/>
      <c r="R1209" s="34"/>
      <c r="S1209" s="36"/>
      <c r="T1209" s="34"/>
      <c r="U1209" s="71"/>
      <c r="V1209" s="36"/>
      <c r="W1209" s="36"/>
      <c r="X1209" s="36"/>
      <c r="Y1209" s="27"/>
      <c r="AA1209" s="9"/>
      <c r="AB1209" s="72"/>
    </row>
    <row r="1210" spans="6:28">
      <c r="F1210" s="48"/>
      <c r="G1210" s="32"/>
      <c r="H1210" s="68"/>
      <c r="I1210" s="36"/>
      <c r="J1210" s="27"/>
      <c r="K1210" s="27"/>
      <c r="L1210" s="27"/>
      <c r="M1210" s="27"/>
      <c r="N1210" s="27"/>
      <c r="O1210" s="64"/>
      <c r="P1210" s="64"/>
      <c r="Q1210" s="27"/>
      <c r="R1210" s="34"/>
      <c r="S1210" s="36"/>
      <c r="T1210" s="34"/>
      <c r="U1210" s="71"/>
      <c r="V1210" s="36"/>
      <c r="W1210" s="36"/>
      <c r="X1210" s="36"/>
      <c r="Y1210" s="27"/>
      <c r="AA1210" s="9"/>
      <c r="AB1210" s="72"/>
    </row>
    <row r="1211" spans="6:28">
      <c r="F1211" s="48"/>
      <c r="G1211" s="32"/>
      <c r="H1211" s="68"/>
      <c r="I1211" s="36"/>
      <c r="J1211" s="27"/>
      <c r="K1211" s="27"/>
      <c r="L1211" s="27"/>
      <c r="M1211" s="27"/>
      <c r="N1211" s="27"/>
      <c r="O1211" s="64"/>
      <c r="P1211" s="64"/>
      <c r="Q1211" s="27"/>
      <c r="R1211" s="34"/>
      <c r="S1211" s="36"/>
      <c r="T1211" s="34"/>
      <c r="U1211" s="71"/>
      <c r="V1211" s="36"/>
      <c r="W1211" s="36"/>
      <c r="X1211" s="36"/>
      <c r="Y1211" s="27"/>
      <c r="AA1211" s="9"/>
      <c r="AB1211" s="72"/>
    </row>
    <row r="1212" spans="6:28">
      <c r="F1212" s="48"/>
      <c r="G1212" s="32"/>
      <c r="H1212" s="68"/>
      <c r="I1212" s="36"/>
      <c r="J1212" s="27"/>
      <c r="K1212" s="27"/>
      <c r="L1212" s="27"/>
      <c r="M1212" s="27"/>
      <c r="N1212" s="27"/>
      <c r="O1212" s="64"/>
      <c r="P1212" s="64"/>
      <c r="Q1212" s="27"/>
      <c r="R1212" s="34"/>
      <c r="S1212" s="36"/>
      <c r="T1212" s="34"/>
      <c r="U1212" s="71"/>
      <c r="V1212" s="36"/>
      <c r="W1212" s="36"/>
      <c r="X1212" s="36"/>
      <c r="Y1212" s="27"/>
      <c r="AA1212" s="9"/>
      <c r="AB1212" s="72"/>
    </row>
    <row r="1213" spans="6:28">
      <c r="F1213" s="48"/>
      <c r="G1213" s="32"/>
      <c r="H1213" s="68"/>
      <c r="I1213" s="36"/>
      <c r="J1213" s="27"/>
      <c r="K1213" s="27"/>
      <c r="L1213" s="27"/>
      <c r="M1213" s="27"/>
      <c r="N1213" s="27"/>
      <c r="O1213" s="64"/>
      <c r="P1213" s="64"/>
      <c r="Q1213" s="27"/>
      <c r="R1213" s="34"/>
      <c r="S1213" s="36"/>
      <c r="T1213" s="34"/>
      <c r="U1213" s="71"/>
      <c r="V1213" s="36"/>
      <c r="W1213" s="36"/>
      <c r="X1213" s="36"/>
      <c r="Y1213" s="27"/>
      <c r="AA1213" s="9"/>
      <c r="AB1213" s="72"/>
    </row>
    <row r="1214" spans="6:28">
      <c r="F1214" s="48"/>
      <c r="G1214" s="32"/>
      <c r="H1214" s="68"/>
      <c r="I1214" s="36"/>
      <c r="J1214" s="27"/>
      <c r="K1214" s="27"/>
      <c r="L1214" s="27"/>
      <c r="M1214" s="27"/>
      <c r="N1214" s="27"/>
      <c r="O1214" s="64"/>
      <c r="P1214" s="64"/>
      <c r="Q1214" s="27"/>
      <c r="R1214" s="34"/>
      <c r="S1214" s="36"/>
      <c r="T1214" s="34"/>
      <c r="U1214" s="71"/>
      <c r="V1214" s="36"/>
      <c r="W1214" s="36"/>
      <c r="X1214" s="36"/>
      <c r="Y1214" s="27"/>
      <c r="AA1214" s="9"/>
      <c r="AB1214" s="72"/>
    </row>
    <row r="1215" spans="6:28">
      <c r="F1215" s="48"/>
      <c r="G1215" s="32"/>
      <c r="H1215" s="68"/>
      <c r="I1215" s="36"/>
      <c r="J1215" s="27"/>
      <c r="K1215" s="27"/>
      <c r="L1215" s="27"/>
      <c r="M1215" s="27"/>
      <c r="N1215" s="27"/>
      <c r="O1215" s="64"/>
      <c r="P1215" s="64"/>
      <c r="Q1215" s="27"/>
      <c r="R1215" s="34"/>
      <c r="S1215" s="36"/>
      <c r="T1215" s="34"/>
      <c r="U1215" s="71"/>
      <c r="V1215" s="36"/>
      <c r="W1215" s="36"/>
      <c r="X1215" s="36"/>
      <c r="Y1215" s="27"/>
      <c r="AA1215" s="9"/>
      <c r="AB1215" s="72"/>
    </row>
    <row r="1216" spans="6:28">
      <c r="F1216" s="48"/>
      <c r="G1216" s="32"/>
      <c r="H1216" s="68"/>
      <c r="I1216" s="36"/>
      <c r="J1216" s="27"/>
      <c r="K1216" s="27"/>
      <c r="L1216" s="27"/>
      <c r="M1216" s="27"/>
      <c r="N1216" s="27"/>
      <c r="O1216" s="64"/>
      <c r="P1216" s="64"/>
      <c r="Q1216" s="27"/>
      <c r="R1216" s="34"/>
      <c r="S1216" s="36"/>
      <c r="T1216" s="34"/>
      <c r="U1216" s="71"/>
      <c r="V1216" s="36"/>
      <c r="W1216" s="36"/>
      <c r="X1216" s="36"/>
      <c r="Y1216" s="27"/>
      <c r="AA1216" s="9"/>
      <c r="AB1216" s="72"/>
    </row>
    <row r="1217" spans="6:28">
      <c r="F1217" s="48"/>
      <c r="G1217" s="32"/>
      <c r="H1217" s="68"/>
      <c r="I1217" s="36"/>
      <c r="J1217" s="27"/>
      <c r="K1217" s="27"/>
      <c r="L1217" s="27"/>
      <c r="M1217" s="27"/>
      <c r="N1217" s="27"/>
      <c r="O1217" s="64"/>
      <c r="P1217" s="64"/>
      <c r="Q1217" s="27"/>
      <c r="R1217" s="34"/>
      <c r="S1217" s="36"/>
      <c r="T1217" s="34"/>
      <c r="U1217" s="71"/>
      <c r="V1217" s="36"/>
      <c r="W1217" s="36"/>
      <c r="X1217" s="36"/>
      <c r="Y1217" s="27"/>
      <c r="AA1217" s="9"/>
      <c r="AB1217" s="72"/>
    </row>
    <row r="1218" spans="6:28">
      <c r="F1218" s="48"/>
      <c r="G1218" s="32"/>
      <c r="H1218" s="68"/>
      <c r="I1218" s="36"/>
      <c r="J1218" s="27"/>
      <c r="K1218" s="27"/>
      <c r="L1218" s="27"/>
      <c r="M1218" s="27"/>
      <c r="N1218" s="27"/>
      <c r="O1218" s="64"/>
      <c r="P1218" s="64"/>
      <c r="Q1218" s="27"/>
      <c r="R1218" s="34"/>
      <c r="S1218" s="36"/>
      <c r="T1218" s="34"/>
      <c r="U1218" s="71"/>
      <c r="V1218" s="36"/>
      <c r="W1218" s="36"/>
      <c r="X1218" s="36"/>
      <c r="Y1218" s="27"/>
      <c r="AA1218" s="9"/>
      <c r="AB1218" s="72"/>
    </row>
    <row r="1219" spans="6:28">
      <c r="F1219" s="48"/>
      <c r="G1219" s="32"/>
      <c r="H1219" s="68"/>
      <c r="I1219" s="36"/>
      <c r="J1219" s="27"/>
      <c r="K1219" s="27"/>
      <c r="L1219" s="27"/>
      <c r="M1219" s="27"/>
      <c r="N1219" s="27"/>
      <c r="O1219" s="64"/>
      <c r="P1219" s="64"/>
      <c r="Q1219" s="27"/>
      <c r="R1219" s="34"/>
      <c r="S1219" s="36"/>
      <c r="T1219" s="34"/>
      <c r="U1219" s="71"/>
      <c r="V1219" s="36"/>
      <c r="W1219" s="36"/>
      <c r="X1219" s="36"/>
      <c r="Y1219" s="27"/>
      <c r="AA1219" s="9"/>
      <c r="AB1219" s="72"/>
    </row>
    <row r="1220" spans="6:28">
      <c r="F1220" s="48"/>
      <c r="G1220" s="32"/>
      <c r="H1220" s="68"/>
      <c r="I1220" s="36"/>
      <c r="J1220" s="27"/>
      <c r="K1220" s="27"/>
      <c r="L1220" s="27"/>
      <c r="M1220" s="27"/>
      <c r="N1220" s="27"/>
      <c r="O1220" s="64"/>
      <c r="P1220" s="64"/>
      <c r="Q1220" s="27"/>
      <c r="R1220" s="34"/>
      <c r="S1220" s="36"/>
      <c r="T1220" s="34"/>
      <c r="U1220" s="71"/>
      <c r="V1220" s="36"/>
      <c r="W1220" s="36"/>
      <c r="X1220" s="36"/>
      <c r="Y1220" s="27"/>
      <c r="AA1220" s="9"/>
      <c r="AB1220" s="72"/>
    </row>
    <row r="1221" spans="6:28">
      <c r="F1221" s="48"/>
      <c r="G1221" s="32"/>
      <c r="H1221" s="68"/>
      <c r="I1221" s="36"/>
      <c r="J1221" s="27"/>
      <c r="K1221" s="27"/>
      <c r="L1221" s="27"/>
      <c r="M1221" s="27"/>
      <c r="N1221" s="27"/>
      <c r="O1221" s="64"/>
      <c r="P1221" s="64"/>
      <c r="Q1221" s="27"/>
      <c r="R1221" s="34"/>
      <c r="S1221" s="36"/>
      <c r="T1221" s="34"/>
      <c r="U1221" s="71"/>
      <c r="V1221" s="36"/>
      <c r="W1221" s="36"/>
      <c r="X1221" s="36"/>
      <c r="Y1221" s="27"/>
      <c r="AA1221" s="9"/>
      <c r="AB1221" s="72"/>
    </row>
    <row r="1222" spans="6:28">
      <c r="F1222" s="48"/>
      <c r="G1222" s="32"/>
      <c r="H1222" s="68"/>
      <c r="I1222" s="36"/>
      <c r="J1222" s="27"/>
      <c r="K1222" s="27"/>
      <c r="L1222" s="27"/>
      <c r="M1222" s="27"/>
      <c r="N1222" s="27"/>
      <c r="O1222" s="64"/>
      <c r="P1222" s="64"/>
      <c r="Q1222" s="27"/>
      <c r="R1222" s="34"/>
      <c r="S1222" s="36"/>
      <c r="T1222" s="34"/>
      <c r="U1222" s="71"/>
      <c r="V1222" s="36"/>
      <c r="W1222" s="36"/>
      <c r="X1222" s="36"/>
      <c r="Y1222" s="27"/>
      <c r="AA1222" s="9"/>
      <c r="AB1222" s="72"/>
    </row>
    <row r="1223" spans="6:28">
      <c r="F1223" s="48"/>
      <c r="G1223" s="32"/>
      <c r="H1223" s="68"/>
      <c r="I1223" s="36"/>
      <c r="J1223" s="27"/>
      <c r="K1223" s="27"/>
      <c r="L1223" s="27"/>
      <c r="M1223" s="27"/>
      <c r="N1223" s="27"/>
      <c r="O1223" s="64"/>
      <c r="P1223" s="64"/>
      <c r="Q1223" s="27"/>
      <c r="R1223" s="34"/>
      <c r="S1223" s="36"/>
      <c r="T1223" s="34"/>
      <c r="U1223" s="71"/>
      <c r="V1223" s="36"/>
      <c r="W1223" s="36"/>
      <c r="X1223" s="36"/>
      <c r="Y1223" s="27"/>
      <c r="AA1223" s="9"/>
      <c r="AB1223" s="72"/>
    </row>
    <row r="1224" spans="6:28">
      <c r="F1224" s="48"/>
      <c r="G1224" s="32"/>
      <c r="H1224" s="68"/>
      <c r="I1224" s="36"/>
      <c r="J1224" s="27"/>
      <c r="K1224" s="27"/>
      <c r="L1224" s="27"/>
      <c r="M1224" s="27"/>
      <c r="N1224" s="27"/>
      <c r="O1224" s="64"/>
      <c r="P1224" s="64"/>
      <c r="Q1224" s="27"/>
      <c r="R1224" s="34"/>
      <c r="S1224" s="36"/>
      <c r="T1224" s="34"/>
      <c r="U1224" s="71"/>
      <c r="V1224" s="36"/>
      <c r="W1224" s="36"/>
      <c r="X1224" s="36"/>
      <c r="Y1224" s="27"/>
      <c r="AA1224" s="9"/>
      <c r="AB1224" s="72"/>
    </row>
    <row r="1225" spans="6:28">
      <c r="F1225" s="48"/>
      <c r="G1225" s="32"/>
      <c r="H1225" s="68"/>
      <c r="I1225" s="36"/>
      <c r="J1225" s="27"/>
      <c r="K1225" s="27"/>
      <c r="L1225" s="27"/>
      <c r="M1225" s="27"/>
      <c r="N1225" s="27"/>
      <c r="O1225" s="64"/>
      <c r="P1225" s="64"/>
      <c r="Q1225" s="27"/>
      <c r="R1225" s="34"/>
      <c r="S1225" s="36"/>
      <c r="T1225" s="34"/>
      <c r="U1225" s="71"/>
      <c r="V1225" s="36"/>
      <c r="W1225" s="36"/>
      <c r="X1225" s="36"/>
      <c r="Y1225" s="27"/>
      <c r="AA1225" s="9"/>
      <c r="AB1225" s="72"/>
    </row>
    <row r="1226" spans="6:28">
      <c r="F1226" s="48"/>
      <c r="G1226" s="32"/>
      <c r="H1226" s="68"/>
      <c r="I1226" s="36"/>
      <c r="J1226" s="27"/>
      <c r="K1226" s="27"/>
      <c r="L1226" s="27"/>
      <c r="M1226" s="27"/>
      <c r="N1226" s="27"/>
      <c r="O1226" s="64"/>
      <c r="P1226" s="64"/>
      <c r="Q1226" s="27"/>
      <c r="R1226" s="34"/>
      <c r="S1226" s="36"/>
      <c r="T1226" s="34"/>
      <c r="U1226" s="71"/>
      <c r="V1226" s="36"/>
      <c r="W1226" s="36"/>
      <c r="X1226" s="36"/>
      <c r="Y1226" s="27"/>
      <c r="AA1226" s="9"/>
      <c r="AB1226" s="72"/>
    </row>
    <row r="1227" spans="6:28">
      <c r="F1227" s="48"/>
      <c r="G1227" s="32"/>
      <c r="H1227" s="68"/>
      <c r="I1227" s="36"/>
      <c r="J1227" s="27"/>
      <c r="K1227" s="27"/>
      <c r="L1227" s="27"/>
      <c r="M1227" s="27"/>
      <c r="N1227" s="27"/>
      <c r="O1227" s="64"/>
      <c r="P1227" s="64"/>
      <c r="Q1227" s="27"/>
      <c r="R1227" s="34"/>
      <c r="S1227" s="36"/>
      <c r="T1227" s="34"/>
      <c r="U1227" s="71"/>
      <c r="V1227" s="36"/>
      <c r="W1227" s="36"/>
      <c r="X1227" s="36"/>
      <c r="Y1227" s="27"/>
      <c r="AA1227" s="9"/>
      <c r="AB1227" s="72"/>
    </row>
    <row r="1228" spans="6:28">
      <c r="F1228" s="48"/>
      <c r="G1228" s="32"/>
      <c r="H1228" s="68"/>
      <c r="I1228" s="36"/>
      <c r="J1228" s="27"/>
      <c r="K1228" s="27"/>
      <c r="L1228" s="27"/>
      <c r="M1228" s="27"/>
      <c r="N1228" s="27"/>
      <c r="O1228" s="64"/>
      <c r="P1228" s="64"/>
      <c r="Q1228" s="27"/>
      <c r="R1228" s="34"/>
      <c r="S1228" s="36"/>
      <c r="T1228" s="34"/>
      <c r="U1228" s="71"/>
      <c r="V1228" s="36"/>
      <c r="W1228" s="36"/>
      <c r="X1228" s="36"/>
      <c r="Y1228" s="27"/>
      <c r="AA1228" s="9"/>
      <c r="AB1228" s="72"/>
    </row>
    <row r="1229" spans="6:28">
      <c r="F1229" s="48"/>
      <c r="G1229" s="32"/>
      <c r="H1229" s="68"/>
      <c r="I1229" s="36"/>
      <c r="J1229" s="27"/>
      <c r="K1229" s="27"/>
      <c r="L1229" s="27"/>
      <c r="M1229" s="27"/>
      <c r="N1229" s="27"/>
      <c r="O1229" s="64"/>
      <c r="P1229" s="64"/>
      <c r="Q1229" s="27"/>
      <c r="R1229" s="34"/>
      <c r="S1229" s="36"/>
      <c r="T1229" s="34"/>
      <c r="U1229" s="71"/>
      <c r="V1229" s="36"/>
      <c r="W1229" s="36"/>
      <c r="X1229" s="36"/>
      <c r="Y1229" s="27"/>
      <c r="AA1229" s="9"/>
      <c r="AB1229" s="72"/>
    </row>
    <row r="1230" spans="6:28">
      <c r="F1230" s="48"/>
      <c r="G1230" s="32"/>
      <c r="H1230" s="68"/>
      <c r="I1230" s="36"/>
      <c r="J1230" s="27"/>
      <c r="K1230" s="27"/>
      <c r="L1230" s="27"/>
      <c r="M1230" s="27"/>
      <c r="N1230" s="27"/>
      <c r="O1230" s="64"/>
      <c r="P1230" s="64"/>
      <c r="Q1230" s="27"/>
      <c r="R1230" s="34"/>
      <c r="S1230" s="36"/>
      <c r="T1230" s="34"/>
      <c r="U1230" s="71"/>
      <c r="V1230" s="36"/>
      <c r="W1230" s="36"/>
      <c r="X1230" s="36"/>
      <c r="Y1230" s="27"/>
      <c r="AA1230" s="9"/>
      <c r="AB1230" s="72"/>
    </row>
    <row r="1231" spans="6:28">
      <c r="F1231" s="48"/>
      <c r="G1231" s="32"/>
      <c r="H1231" s="68"/>
      <c r="I1231" s="36"/>
      <c r="J1231" s="27"/>
      <c r="K1231" s="27"/>
      <c r="L1231" s="27"/>
      <c r="M1231" s="27"/>
      <c r="N1231" s="27"/>
      <c r="O1231" s="64"/>
      <c r="P1231" s="64"/>
      <c r="Q1231" s="27"/>
      <c r="R1231" s="34"/>
      <c r="S1231" s="36"/>
      <c r="T1231" s="34"/>
      <c r="U1231" s="71"/>
      <c r="V1231" s="36"/>
      <c r="W1231" s="36"/>
      <c r="X1231" s="36"/>
      <c r="Y1231" s="27"/>
      <c r="AA1231" s="9"/>
      <c r="AB1231" s="72"/>
    </row>
    <row r="1232" spans="6:28">
      <c r="F1232" s="48"/>
      <c r="G1232" s="32"/>
      <c r="H1232" s="68"/>
      <c r="I1232" s="36"/>
      <c r="J1232" s="27"/>
      <c r="K1232" s="27"/>
      <c r="L1232" s="27"/>
      <c r="M1232" s="27"/>
      <c r="N1232" s="27"/>
      <c r="O1232" s="64"/>
      <c r="P1232" s="64"/>
      <c r="Q1232" s="27"/>
      <c r="R1232" s="34"/>
      <c r="S1232" s="36"/>
      <c r="T1232" s="34"/>
      <c r="U1232" s="71"/>
      <c r="V1232" s="36"/>
      <c r="W1232" s="36"/>
      <c r="X1232" s="36"/>
      <c r="Y1232" s="27"/>
      <c r="AA1232" s="9"/>
      <c r="AB1232" s="72"/>
    </row>
    <row r="1233" spans="6:28">
      <c r="F1233" s="48"/>
      <c r="G1233" s="32"/>
      <c r="H1233" s="68"/>
      <c r="I1233" s="36"/>
      <c r="J1233" s="27"/>
      <c r="K1233" s="27"/>
      <c r="L1233" s="27"/>
      <c r="M1233" s="27"/>
      <c r="N1233" s="27"/>
      <c r="O1233" s="64"/>
      <c r="P1233" s="64"/>
      <c r="Q1233" s="27"/>
      <c r="R1233" s="34"/>
      <c r="S1233" s="36"/>
      <c r="T1233" s="34"/>
      <c r="U1233" s="71"/>
      <c r="V1233" s="36"/>
      <c r="W1233" s="36"/>
      <c r="X1233" s="36"/>
      <c r="Y1233" s="27"/>
      <c r="AA1233" s="9"/>
      <c r="AB1233" s="72"/>
    </row>
    <row r="1234" spans="6:28">
      <c r="F1234" s="48"/>
      <c r="G1234" s="32"/>
      <c r="H1234" s="68"/>
      <c r="I1234" s="36"/>
      <c r="J1234" s="27"/>
      <c r="K1234" s="27"/>
      <c r="L1234" s="27"/>
      <c r="M1234" s="27"/>
      <c r="N1234" s="27"/>
      <c r="O1234" s="64"/>
      <c r="P1234" s="64"/>
      <c r="Q1234" s="27"/>
      <c r="R1234" s="34"/>
      <c r="S1234" s="36"/>
      <c r="T1234" s="34"/>
      <c r="U1234" s="71"/>
      <c r="V1234" s="36"/>
      <c r="W1234" s="36"/>
      <c r="X1234" s="36"/>
      <c r="Y1234" s="27"/>
      <c r="AA1234" s="9"/>
      <c r="AB1234" s="72"/>
    </row>
    <row r="1235" spans="6:28">
      <c r="F1235" s="48"/>
      <c r="G1235" s="32"/>
      <c r="H1235" s="68"/>
      <c r="I1235" s="36"/>
      <c r="J1235" s="27"/>
      <c r="K1235" s="27"/>
      <c r="L1235" s="27"/>
      <c r="M1235" s="27"/>
      <c r="N1235" s="27"/>
      <c r="O1235" s="64"/>
      <c r="P1235" s="64"/>
      <c r="Q1235" s="27"/>
      <c r="R1235" s="34"/>
      <c r="S1235" s="36"/>
      <c r="T1235" s="34"/>
      <c r="U1235" s="71"/>
      <c r="V1235" s="36"/>
      <c r="W1235" s="36"/>
      <c r="X1235" s="36"/>
      <c r="Y1235" s="27"/>
      <c r="AA1235" s="9"/>
      <c r="AB1235" s="72"/>
    </row>
    <row r="1236" spans="6:28">
      <c r="F1236" s="48"/>
      <c r="G1236" s="32"/>
      <c r="H1236" s="68"/>
      <c r="I1236" s="36"/>
      <c r="J1236" s="27"/>
      <c r="K1236" s="27"/>
      <c r="L1236" s="27"/>
      <c r="M1236" s="27"/>
      <c r="N1236" s="27"/>
      <c r="O1236" s="64"/>
      <c r="P1236" s="64"/>
      <c r="Q1236" s="27"/>
      <c r="R1236" s="34"/>
      <c r="S1236" s="36"/>
      <c r="T1236" s="34"/>
      <c r="U1236" s="71"/>
      <c r="V1236" s="36"/>
      <c r="W1236" s="36"/>
      <c r="X1236" s="36"/>
      <c r="Y1236" s="27"/>
      <c r="AA1236" s="9"/>
      <c r="AB1236" s="72"/>
    </row>
    <row r="1237" spans="6:28">
      <c r="F1237" s="48"/>
      <c r="G1237" s="32"/>
      <c r="H1237" s="68"/>
      <c r="I1237" s="36"/>
      <c r="J1237" s="27"/>
      <c r="K1237" s="27"/>
      <c r="L1237" s="27"/>
      <c r="M1237" s="27"/>
      <c r="N1237" s="27"/>
      <c r="O1237" s="64"/>
      <c r="P1237" s="64"/>
      <c r="Q1237" s="27"/>
      <c r="R1237" s="34"/>
      <c r="S1237" s="36"/>
      <c r="T1237" s="34"/>
      <c r="U1237" s="71"/>
      <c r="V1237" s="36"/>
      <c r="W1237" s="36"/>
      <c r="X1237" s="36"/>
      <c r="Y1237" s="27"/>
      <c r="AA1237" s="9"/>
      <c r="AB1237" s="72"/>
    </row>
    <row r="1238" spans="6:28">
      <c r="F1238" s="48"/>
      <c r="G1238" s="32"/>
      <c r="H1238" s="68"/>
      <c r="I1238" s="36"/>
      <c r="J1238" s="27"/>
      <c r="K1238" s="27"/>
      <c r="L1238" s="27"/>
      <c r="M1238" s="27"/>
      <c r="N1238" s="27"/>
      <c r="O1238" s="64"/>
      <c r="P1238" s="64"/>
      <c r="Q1238" s="27"/>
      <c r="R1238" s="34"/>
      <c r="S1238" s="36"/>
      <c r="T1238" s="34"/>
      <c r="U1238" s="71"/>
      <c r="V1238" s="36"/>
      <c r="W1238" s="36"/>
      <c r="X1238" s="36"/>
      <c r="Y1238" s="27"/>
      <c r="AA1238" s="9"/>
      <c r="AB1238" s="72"/>
    </row>
    <row r="1239" spans="6:28">
      <c r="F1239" s="48"/>
      <c r="G1239" s="32"/>
      <c r="H1239" s="68"/>
      <c r="I1239" s="36"/>
      <c r="J1239" s="27"/>
      <c r="K1239" s="27"/>
      <c r="L1239" s="27"/>
      <c r="M1239" s="27"/>
      <c r="N1239" s="27"/>
      <c r="O1239" s="64"/>
      <c r="P1239" s="64"/>
      <c r="Q1239" s="27"/>
      <c r="R1239" s="34"/>
      <c r="S1239" s="36"/>
      <c r="T1239" s="34"/>
      <c r="U1239" s="71"/>
      <c r="V1239" s="36"/>
      <c r="W1239" s="36"/>
      <c r="X1239" s="36"/>
      <c r="Y1239" s="27"/>
      <c r="AA1239" s="9"/>
      <c r="AB1239" s="72"/>
    </row>
    <row r="1240" spans="6:28">
      <c r="F1240" s="48"/>
      <c r="G1240" s="32"/>
      <c r="H1240" s="68"/>
      <c r="I1240" s="36"/>
      <c r="J1240" s="27"/>
      <c r="K1240" s="27"/>
      <c r="L1240" s="27"/>
      <c r="M1240" s="27"/>
      <c r="N1240" s="27"/>
      <c r="O1240" s="64"/>
      <c r="P1240" s="64"/>
      <c r="Q1240" s="27"/>
      <c r="R1240" s="34"/>
      <c r="S1240" s="36"/>
      <c r="T1240" s="34"/>
      <c r="U1240" s="71"/>
      <c r="V1240" s="36"/>
      <c r="W1240" s="36"/>
      <c r="X1240" s="36"/>
      <c r="Y1240" s="27"/>
      <c r="AA1240" s="9"/>
      <c r="AB1240" s="72"/>
    </row>
    <row r="1241" spans="6:28">
      <c r="F1241" s="48"/>
      <c r="G1241" s="32"/>
      <c r="H1241" s="68"/>
      <c r="I1241" s="36"/>
      <c r="J1241" s="27"/>
      <c r="K1241" s="27"/>
      <c r="L1241" s="27"/>
      <c r="M1241" s="27"/>
      <c r="N1241" s="27"/>
      <c r="O1241" s="64"/>
      <c r="P1241" s="64"/>
      <c r="Q1241" s="27"/>
      <c r="R1241" s="34"/>
      <c r="S1241" s="36"/>
      <c r="T1241" s="34"/>
      <c r="U1241" s="71"/>
      <c r="V1241" s="36"/>
      <c r="W1241" s="36"/>
      <c r="X1241" s="36"/>
      <c r="Y1241" s="27"/>
      <c r="AA1241" s="9"/>
      <c r="AB1241" s="72"/>
    </row>
    <row r="1242" spans="6:28">
      <c r="F1242" s="48"/>
      <c r="G1242" s="32"/>
      <c r="H1242" s="68"/>
      <c r="I1242" s="36"/>
      <c r="J1242" s="27"/>
      <c r="K1242" s="27"/>
      <c r="L1242" s="27"/>
      <c r="M1242" s="27"/>
      <c r="N1242" s="27"/>
      <c r="O1242" s="64"/>
      <c r="P1242" s="64"/>
      <c r="Q1242" s="27"/>
      <c r="R1242" s="34"/>
      <c r="S1242" s="36"/>
      <c r="T1242" s="34"/>
      <c r="U1242" s="71"/>
      <c r="V1242" s="36"/>
      <c r="W1242" s="36"/>
      <c r="X1242" s="36"/>
      <c r="Y1242" s="27"/>
      <c r="AA1242" s="9"/>
      <c r="AB1242" s="72"/>
    </row>
    <row r="1243" spans="6:28">
      <c r="F1243" s="48"/>
      <c r="G1243" s="32"/>
      <c r="H1243" s="68"/>
      <c r="I1243" s="36"/>
      <c r="J1243" s="27"/>
      <c r="K1243" s="27"/>
      <c r="L1243" s="27"/>
      <c r="M1243" s="27"/>
      <c r="N1243" s="27"/>
      <c r="O1243" s="64"/>
      <c r="P1243" s="64"/>
      <c r="Q1243" s="27"/>
      <c r="R1243" s="34"/>
      <c r="S1243" s="36"/>
      <c r="T1243" s="34"/>
      <c r="U1243" s="71"/>
      <c r="V1243" s="36"/>
      <c r="W1243" s="36"/>
      <c r="X1243" s="36"/>
      <c r="Y1243" s="27"/>
      <c r="AA1243" s="9"/>
      <c r="AB1243" s="72"/>
    </row>
    <row r="1244" spans="6:28">
      <c r="F1244" s="48"/>
      <c r="G1244" s="32"/>
      <c r="H1244" s="68"/>
      <c r="I1244" s="36"/>
      <c r="J1244" s="27"/>
      <c r="K1244" s="27"/>
      <c r="L1244" s="27"/>
      <c r="M1244" s="27"/>
      <c r="N1244" s="27"/>
      <c r="O1244" s="64"/>
      <c r="P1244" s="64"/>
      <c r="Q1244" s="27"/>
      <c r="R1244" s="34"/>
      <c r="S1244" s="36"/>
      <c r="T1244" s="34"/>
      <c r="U1244" s="71"/>
      <c r="V1244" s="36"/>
      <c r="W1244" s="36"/>
      <c r="X1244" s="36"/>
      <c r="Y1244" s="27"/>
      <c r="AA1244" s="9"/>
      <c r="AB1244" s="72"/>
    </row>
    <row r="1245" spans="6:28">
      <c r="F1245" s="48"/>
      <c r="G1245" s="32"/>
      <c r="H1245" s="68"/>
      <c r="I1245" s="36"/>
      <c r="J1245" s="27"/>
      <c r="K1245" s="27"/>
      <c r="L1245" s="27"/>
      <c r="M1245" s="27"/>
      <c r="N1245" s="27"/>
      <c r="O1245" s="64"/>
      <c r="P1245" s="64"/>
      <c r="Q1245" s="27"/>
      <c r="R1245" s="34"/>
      <c r="S1245" s="36"/>
      <c r="T1245" s="34"/>
      <c r="U1245" s="71"/>
      <c r="V1245" s="36"/>
      <c r="W1245" s="36"/>
      <c r="X1245" s="36"/>
      <c r="Y1245" s="27"/>
      <c r="AA1245" s="9"/>
      <c r="AB1245" s="72"/>
    </row>
    <row r="1246" spans="6:28">
      <c r="F1246" s="48"/>
      <c r="G1246" s="32"/>
      <c r="H1246" s="68"/>
      <c r="I1246" s="36"/>
      <c r="J1246" s="27"/>
      <c r="K1246" s="27"/>
      <c r="L1246" s="27"/>
      <c r="M1246" s="27"/>
      <c r="N1246" s="27"/>
      <c r="O1246" s="64"/>
      <c r="P1246" s="64"/>
      <c r="Q1246" s="27"/>
      <c r="R1246" s="34"/>
      <c r="S1246" s="36"/>
      <c r="T1246" s="34"/>
      <c r="U1246" s="71"/>
      <c r="V1246" s="36"/>
      <c r="W1246" s="36"/>
      <c r="X1246" s="36"/>
      <c r="Y1246" s="27"/>
      <c r="AA1246" s="9"/>
      <c r="AB1246" s="72"/>
    </row>
    <row r="1247" spans="6:28">
      <c r="F1247" s="48"/>
      <c r="G1247" s="32"/>
      <c r="H1247" s="68"/>
      <c r="I1247" s="36"/>
      <c r="J1247" s="27"/>
      <c r="K1247" s="27"/>
      <c r="L1247" s="27"/>
      <c r="M1247" s="27"/>
      <c r="N1247" s="27"/>
      <c r="O1247" s="64"/>
      <c r="P1247" s="64"/>
      <c r="Q1247" s="27"/>
      <c r="R1247" s="34"/>
      <c r="S1247" s="36"/>
      <c r="T1247" s="34"/>
      <c r="U1247" s="71"/>
      <c r="V1247" s="36"/>
      <c r="W1247" s="36"/>
      <c r="X1247" s="36"/>
      <c r="Y1247" s="27"/>
      <c r="AA1247" s="9"/>
      <c r="AB1247" s="72"/>
    </row>
    <row r="1248" spans="6:28">
      <c r="F1248" s="48"/>
      <c r="G1248" s="32"/>
      <c r="H1248" s="68"/>
      <c r="I1248" s="36"/>
      <c r="J1248" s="27"/>
      <c r="K1248" s="27"/>
      <c r="L1248" s="27"/>
      <c r="M1248" s="27"/>
      <c r="N1248" s="27"/>
      <c r="O1248" s="64"/>
      <c r="P1248" s="64"/>
      <c r="Q1248" s="27"/>
      <c r="R1248" s="34"/>
      <c r="S1248" s="36"/>
      <c r="T1248" s="34"/>
      <c r="U1248" s="71"/>
      <c r="V1248" s="36"/>
      <c r="W1248" s="36"/>
      <c r="X1248" s="36"/>
      <c r="Y1248" s="27"/>
      <c r="AA1248" s="9"/>
      <c r="AB1248" s="72"/>
    </row>
    <row r="1249" spans="6:28">
      <c r="F1249" s="48"/>
      <c r="G1249" s="32"/>
      <c r="H1249" s="68"/>
      <c r="I1249" s="36"/>
      <c r="J1249" s="27"/>
      <c r="K1249" s="27"/>
      <c r="L1249" s="27"/>
      <c r="M1249" s="27"/>
      <c r="N1249" s="27"/>
      <c r="O1249" s="64"/>
      <c r="P1249" s="64"/>
      <c r="Q1249" s="27"/>
      <c r="R1249" s="34"/>
      <c r="S1249" s="36"/>
      <c r="T1249" s="34"/>
      <c r="U1249" s="71"/>
      <c r="V1249" s="36"/>
      <c r="W1249" s="36"/>
      <c r="X1249" s="36"/>
      <c r="Y1249" s="27"/>
      <c r="AA1249" s="9"/>
      <c r="AB1249" s="72"/>
    </row>
    <row r="1250" spans="6:28">
      <c r="F1250" s="48"/>
      <c r="G1250" s="32"/>
      <c r="H1250" s="68"/>
      <c r="I1250" s="36"/>
      <c r="J1250" s="27"/>
      <c r="K1250" s="27"/>
      <c r="L1250" s="27"/>
      <c r="M1250" s="27"/>
      <c r="N1250" s="27"/>
      <c r="O1250" s="64"/>
      <c r="P1250" s="64"/>
      <c r="Q1250" s="27"/>
      <c r="R1250" s="34"/>
      <c r="S1250" s="36"/>
      <c r="T1250" s="34"/>
      <c r="U1250" s="71"/>
      <c r="V1250" s="36"/>
      <c r="W1250" s="36"/>
      <c r="X1250" s="36"/>
      <c r="Y1250" s="27"/>
      <c r="AA1250" s="9"/>
      <c r="AB1250" s="72"/>
    </row>
    <row r="1251" spans="6:28">
      <c r="F1251" s="48"/>
      <c r="G1251" s="32"/>
      <c r="H1251" s="68"/>
      <c r="I1251" s="36"/>
      <c r="J1251" s="27"/>
      <c r="K1251" s="27"/>
      <c r="L1251" s="27"/>
      <c r="M1251" s="27"/>
      <c r="N1251" s="27"/>
      <c r="O1251" s="64"/>
      <c r="P1251" s="64"/>
      <c r="Q1251" s="27"/>
      <c r="R1251" s="34"/>
      <c r="S1251" s="36"/>
      <c r="T1251" s="34"/>
      <c r="U1251" s="71"/>
      <c r="V1251" s="36"/>
      <c r="W1251" s="36"/>
      <c r="X1251" s="36"/>
      <c r="Y1251" s="27"/>
      <c r="AA1251" s="9"/>
      <c r="AB1251" s="72"/>
    </row>
    <row r="1252" spans="6:28">
      <c r="F1252" s="48"/>
      <c r="G1252" s="32"/>
      <c r="H1252" s="68"/>
      <c r="I1252" s="36"/>
      <c r="J1252" s="27"/>
      <c r="K1252" s="27"/>
      <c r="L1252" s="27"/>
      <c r="M1252" s="27"/>
      <c r="N1252" s="27"/>
      <c r="O1252" s="64"/>
      <c r="P1252" s="64"/>
      <c r="Q1252" s="27"/>
      <c r="R1252" s="34"/>
      <c r="S1252" s="36"/>
      <c r="T1252" s="34"/>
      <c r="U1252" s="71"/>
      <c r="V1252" s="36"/>
      <c r="W1252" s="36"/>
      <c r="X1252" s="36"/>
      <c r="Y1252" s="27"/>
      <c r="AA1252" s="9"/>
      <c r="AB1252" s="72"/>
    </row>
    <row r="1253" spans="6:28">
      <c r="F1253" s="48"/>
      <c r="G1253" s="32"/>
      <c r="H1253" s="68"/>
      <c r="I1253" s="36"/>
      <c r="J1253" s="27"/>
      <c r="K1253" s="27"/>
      <c r="L1253" s="27"/>
      <c r="M1253" s="27"/>
      <c r="N1253" s="27"/>
      <c r="O1253" s="64"/>
      <c r="P1253" s="64"/>
      <c r="Q1253" s="27"/>
      <c r="R1253" s="34"/>
      <c r="S1253" s="36"/>
      <c r="T1253" s="34"/>
      <c r="U1253" s="71"/>
      <c r="V1253" s="36"/>
      <c r="W1253" s="36"/>
      <c r="X1253" s="36"/>
      <c r="Y1253" s="27"/>
      <c r="AA1253" s="9"/>
      <c r="AB1253" s="72"/>
    </row>
    <row r="1254" spans="6:28">
      <c r="F1254" s="48"/>
      <c r="G1254" s="32"/>
      <c r="H1254" s="68"/>
      <c r="I1254" s="36"/>
      <c r="J1254" s="27"/>
      <c r="K1254" s="27"/>
      <c r="L1254" s="27"/>
      <c r="M1254" s="27"/>
      <c r="N1254" s="27"/>
      <c r="O1254" s="64"/>
      <c r="P1254" s="64"/>
      <c r="Q1254" s="27"/>
      <c r="R1254" s="34"/>
      <c r="S1254" s="36"/>
      <c r="T1254" s="34"/>
      <c r="U1254" s="71"/>
      <c r="V1254" s="36"/>
      <c r="W1254" s="36"/>
      <c r="X1254" s="36"/>
      <c r="Y1254" s="27"/>
      <c r="AA1254" s="9"/>
      <c r="AB1254" s="72"/>
    </row>
    <row r="1255" spans="6:28">
      <c r="F1255" s="48"/>
      <c r="G1255" s="32"/>
      <c r="H1255" s="68"/>
      <c r="I1255" s="36"/>
      <c r="J1255" s="27"/>
      <c r="K1255" s="27"/>
      <c r="L1255" s="27"/>
      <c r="M1255" s="27"/>
      <c r="N1255" s="27"/>
      <c r="O1255" s="64"/>
      <c r="P1255" s="64"/>
      <c r="Q1255" s="27"/>
      <c r="R1255" s="34"/>
      <c r="S1255" s="36"/>
      <c r="T1255" s="34"/>
      <c r="U1255" s="71"/>
      <c r="V1255" s="36"/>
      <c r="W1255" s="36"/>
      <c r="X1255" s="36"/>
      <c r="Y1255" s="27"/>
      <c r="AA1255" s="9"/>
      <c r="AB1255" s="72"/>
    </row>
    <row r="1256" spans="6:28">
      <c r="F1256" s="48"/>
      <c r="G1256" s="32"/>
      <c r="H1256" s="68"/>
      <c r="I1256" s="36"/>
      <c r="J1256" s="27"/>
      <c r="K1256" s="27"/>
      <c r="L1256" s="27"/>
      <c r="M1256" s="27"/>
      <c r="N1256" s="27"/>
      <c r="O1256" s="64"/>
      <c r="P1256" s="64"/>
      <c r="Q1256" s="27"/>
      <c r="R1256" s="34"/>
      <c r="S1256" s="36"/>
      <c r="T1256" s="34"/>
      <c r="U1256" s="71"/>
      <c r="V1256" s="36"/>
      <c r="W1256" s="36"/>
      <c r="X1256" s="36"/>
      <c r="Y1256" s="27"/>
      <c r="AA1256" s="9"/>
      <c r="AB1256" s="72"/>
    </row>
    <row r="1257" spans="6:28">
      <c r="F1257" s="48"/>
      <c r="G1257" s="32"/>
      <c r="H1257" s="68"/>
      <c r="I1257" s="36"/>
      <c r="J1257" s="27"/>
      <c r="K1257" s="27"/>
      <c r="L1257" s="27"/>
      <c r="M1257" s="27"/>
      <c r="N1257" s="27"/>
      <c r="O1257" s="64"/>
      <c r="P1257" s="64"/>
      <c r="Q1257" s="27"/>
      <c r="R1257" s="34"/>
      <c r="S1257" s="36"/>
      <c r="T1257" s="34"/>
      <c r="U1257" s="71"/>
      <c r="V1257" s="36"/>
      <c r="W1257" s="36"/>
      <c r="X1257" s="36"/>
      <c r="Y1257" s="27"/>
      <c r="AA1257" s="9"/>
      <c r="AB1257" s="72"/>
    </row>
    <row r="1258" spans="6:28">
      <c r="F1258" s="48"/>
      <c r="G1258" s="32"/>
      <c r="H1258" s="68"/>
      <c r="I1258" s="36"/>
      <c r="J1258" s="27"/>
      <c r="K1258" s="27"/>
      <c r="L1258" s="27"/>
      <c r="M1258" s="27"/>
      <c r="N1258" s="27"/>
      <c r="O1258" s="64"/>
      <c r="P1258" s="64"/>
      <c r="Q1258" s="27"/>
      <c r="R1258" s="34"/>
      <c r="S1258" s="36"/>
      <c r="T1258" s="34"/>
      <c r="U1258" s="71"/>
      <c r="V1258" s="36"/>
      <c r="W1258" s="36"/>
      <c r="X1258" s="36"/>
      <c r="Y1258" s="27"/>
      <c r="AA1258" s="9"/>
      <c r="AB1258" s="72"/>
    </row>
    <row r="1259" spans="6:28">
      <c r="F1259" s="48"/>
      <c r="G1259" s="32"/>
      <c r="H1259" s="68"/>
      <c r="I1259" s="36"/>
      <c r="J1259" s="27"/>
      <c r="K1259" s="27"/>
      <c r="L1259" s="27"/>
      <c r="M1259" s="27"/>
      <c r="N1259" s="27"/>
      <c r="O1259" s="64"/>
      <c r="P1259" s="64"/>
      <c r="Q1259" s="27"/>
      <c r="R1259" s="34"/>
      <c r="S1259" s="36"/>
      <c r="T1259" s="34"/>
      <c r="U1259" s="71"/>
      <c r="V1259" s="36"/>
      <c r="W1259" s="36"/>
      <c r="X1259" s="36"/>
      <c r="Y1259" s="27"/>
      <c r="AA1259" s="9"/>
      <c r="AB1259" s="72"/>
    </row>
    <row r="1260" spans="6:28">
      <c r="F1260" s="48"/>
      <c r="G1260" s="32"/>
      <c r="H1260" s="68"/>
      <c r="I1260" s="36"/>
      <c r="J1260" s="27"/>
      <c r="K1260" s="27"/>
      <c r="L1260" s="27"/>
      <c r="M1260" s="27"/>
      <c r="N1260" s="27"/>
      <c r="O1260" s="64"/>
      <c r="P1260" s="64"/>
      <c r="Q1260" s="27"/>
      <c r="R1260" s="34"/>
      <c r="S1260" s="36"/>
      <c r="T1260" s="34"/>
      <c r="U1260" s="71"/>
      <c r="V1260" s="36"/>
      <c r="W1260" s="36"/>
      <c r="X1260" s="36"/>
      <c r="Y1260" s="27"/>
      <c r="AA1260" s="9"/>
      <c r="AB1260" s="72"/>
    </row>
    <row r="1261" spans="6:28">
      <c r="F1261" s="48"/>
      <c r="G1261" s="32"/>
      <c r="H1261" s="68"/>
      <c r="I1261" s="36"/>
      <c r="J1261" s="27"/>
      <c r="K1261" s="27"/>
      <c r="L1261" s="27"/>
      <c r="M1261" s="27"/>
      <c r="N1261" s="27"/>
      <c r="O1261" s="64"/>
      <c r="P1261" s="64"/>
      <c r="Q1261" s="27"/>
      <c r="R1261" s="34"/>
      <c r="S1261" s="36"/>
      <c r="T1261" s="34"/>
      <c r="U1261" s="71"/>
      <c r="V1261" s="36"/>
      <c r="W1261" s="36"/>
      <c r="X1261" s="36"/>
      <c r="Y1261" s="27"/>
      <c r="AA1261" s="9"/>
      <c r="AB1261" s="72"/>
    </row>
    <row r="1262" spans="6:28">
      <c r="F1262" s="48"/>
      <c r="G1262" s="32"/>
      <c r="H1262" s="68"/>
      <c r="I1262" s="36"/>
      <c r="J1262" s="27"/>
      <c r="K1262" s="27"/>
      <c r="L1262" s="27"/>
      <c r="M1262" s="27"/>
      <c r="N1262" s="27"/>
      <c r="O1262" s="64"/>
      <c r="P1262" s="64"/>
      <c r="Q1262" s="27"/>
      <c r="R1262" s="34"/>
      <c r="S1262" s="36"/>
      <c r="T1262" s="34"/>
      <c r="U1262" s="71"/>
      <c r="V1262" s="36"/>
      <c r="W1262" s="36"/>
      <c r="X1262" s="36"/>
      <c r="Y1262" s="27"/>
      <c r="AA1262" s="9"/>
      <c r="AB1262" s="72"/>
    </row>
    <row r="1263" spans="6:28">
      <c r="F1263" s="48"/>
      <c r="G1263" s="32"/>
      <c r="H1263" s="68"/>
      <c r="I1263" s="36"/>
      <c r="J1263" s="27"/>
      <c r="K1263" s="27"/>
      <c r="L1263" s="27"/>
      <c r="M1263" s="27"/>
      <c r="N1263" s="27"/>
      <c r="O1263" s="64"/>
      <c r="P1263" s="64"/>
      <c r="Q1263" s="27"/>
      <c r="R1263" s="34"/>
      <c r="S1263" s="36"/>
      <c r="T1263" s="34"/>
      <c r="U1263" s="71"/>
      <c r="V1263" s="36"/>
      <c r="W1263" s="36"/>
      <c r="X1263" s="36"/>
      <c r="Y1263" s="27"/>
      <c r="AA1263" s="9"/>
      <c r="AB1263" s="72"/>
    </row>
    <row r="1264" spans="6:28">
      <c r="F1264" s="48"/>
      <c r="G1264" s="32"/>
      <c r="H1264" s="68"/>
      <c r="I1264" s="36"/>
      <c r="J1264" s="27"/>
      <c r="K1264" s="27"/>
      <c r="L1264" s="27"/>
      <c r="M1264" s="27"/>
      <c r="N1264" s="27"/>
      <c r="O1264" s="64"/>
      <c r="P1264" s="64"/>
      <c r="Q1264" s="27"/>
      <c r="R1264" s="34"/>
      <c r="S1264" s="36"/>
      <c r="T1264" s="34"/>
      <c r="U1264" s="71"/>
      <c r="V1264" s="36"/>
      <c r="W1264" s="36"/>
      <c r="X1264" s="36"/>
      <c r="Y1264" s="27"/>
      <c r="AA1264" s="9"/>
      <c r="AB1264" s="72"/>
    </row>
    <row r="1265" spans="6:28">
      <c r="F1265" s="48"/>
      <c r="G1265" s="32"/>
      <c r="H1265" s="68"/>
      <c r="I1265" s="36"/>
      <c r="J1265" s="27"/>
      <c r="K1265" s="27"/>
      <c r="L1265" s="27"/>
      <c r="M1265" s="27"/>
      <c r="N1265" s="27"/>
      <c r="O1265" s="64"/>
      <c r="P1265" s="64"/>
      <c r="Q1265" s="27"/>
      <c r="R1265" s="34"/>
      <c r="S1265" s="36"/>
      <c r="T1265" s="34"/>
      <c r="U1265" s="71"/>
      <c r="V1265" s="36"/>
      <c r="W1265" s="36"/>
      <c r="X1265" s="36"/>
      <c r="Y1265" s="27"/>
      <c r="AA1265" s="9"/>
      <c r="AB1265" s="72"/>
    </row>
    <row r="1266" spans="6:28">
      <c r="F1266" s="48"/>
      <c r="G1266" s="32"/>
      <c r="H1266" s="68"/>
      <c r="I1266" s="36"/>
      <c r="J1266" s="27"/>
      <c r="K1266" s="27"/>
      <c r="L1266" s="27"/>
      <c r="M1266" s="27"/>
      <c r="N1266" s="27"/>
      <c r="O1266" s="64"/>
      <c r="P1266" s="64"/>
      <c r="Q1266" s="27"/>
      <c r="R1266" s="34"/>
      <c r="S1266" s="36"/>
      <c r="T1266" s="34"/>
      <c r="U1266" s="71"/>
      <c r="V1266" s="36"/>
      <c r="W1266" s="36"/>
      <c r="X1266" s="36"/>
      <c r="Y1266" s="27"/>
      <c r="AA1266" s="9"/>
      <c r="AB1266" s="72"/>
    </row>
    <row r="1267" spans="6:28">
      <c r="F1267" s="48"/>
      <c r="G1267" s="32"/>
      <c r="H1267" s="68"/>
      <c r="I1267" s="36"/>
      <c r="J1267" s="27"/>
      <c r="K1267" s="27"/>
      <c r="L1267" s="27"/>
      <c r="M1267" s="27"/>
      <c r="N1267" s="27"/>
      <c r="O1267" s="64"/>
      <c r="P1267" s="64"/>
      <c r="Q1267" s="27"/>
      <c r="R1267" s="34"/>
      <c r="S1267" s="36"/>
      <c r="T1267" s="34"/>
      <c r="U1267" s="71"/>
      <c r="V1267" s="36"/>
      <c r="W1267" s="36"/>
      <c r="X1267" s="36"/>
      <c r="Y1267" s="27"/>
      <c r="AA1267" s="9"/>
      <c r="AB1267" s="72"/>
    </row>
    <row r="1268" spans="6:28">
      <c r="F1268" s="48"/>
      <c r="G1268" s="32"/>
      <c r="H1268" s="68"/>
      <c r="I1268" s="36"/>
      <c r="J1268" s="27"/>
      <c r="K1268" s="27"/>
      <c r="L1268" s="27"/>
      <c r="M1268" s="27"/>
      <c r="N1268" s="27"/>
      <c r="O1268" s="64"/>
      <c r="P1268" s="64"/>
      <c r="Q1268" s="27"/>
      <c r="R1268" s="34"/>
      <c r="S1268" s="36"/>
      <c r="T1268" s="34"/>
      <c r="U1268" s="71"/>
      <c r="V1268" s="36"/>
      <c r="W1268" s="36"/>
      <c r="X1268" s="36"/>
      <c r="Y1268" s="27"/>
      <c r="AA1268" s="9"/>
      <c r="AB1268" s="72"/>
    </row>
    <row r="1269" spans="6:28">
      <c r="F1269" s="48"/>
      <c r="G1269" s="32"/>
      <c r="H1269" s="68"/>
      <c r="I1269" s="36"/>
      <c r="J1269" s="27"/>
      <c r="K1269" s="27"/>
      <c r="L1269" s="27"/>
      <c r="M1269" s="27"/>
      <c r="N1269" s="27"/>
      <c r="O1269" s="64"/>
      <c r="P1269" s="64"/>
      <c r="Q1269" s="27"/>
      <c r="R1269" s="34"/>
      <c r="S1269" s="36"/>
      <c r="T1269" s="34"/>
      <c r="U1269" s="71"/>
      <c r="V1269" s="36"/>
      <c r="W1269" s="36"/>
      <c r="X1269" s="36"/>
      <c r="Y1269" s="27"/>
      <c r="AA1269" s="9"/>
      <c r="AB1269" s="72"/>
    </row>
    <row r="1270" spans="6:28">
      <c r="F1270" s="48"/>
      <c r="G1270" s="32"/>
      <c r="H1270" s="68"/>
      <c r="I1270" s="36"/>
      <c r="J1270" s="27"/>
      <c r="K1270" s="27"/>
      <c r="L1270" s="27"/>
      <c r="M1270" s="27"/>
      <c r="N1270" s="27"/>
      <c r="O1270" s="64"/>
      <c r="P1270" s="64"/>
      <c r="Q1270" s="27"/>
      <c r="R1270" s="34"/>
      <c r="S1270" s="36"/>
      <c r="T1270" s="34"/>
      <c r="U1270" s="71"/>
      <c r="V1270" s="36"/>
      <c r="W1270" s="36"/>
      <c r="X1270" s="36"/>
      <c r="Y1270" s="27"/>
      <c r="AA1270" s="9"/>
      <c r="AB1270" s="72"/>
    </row>
    <row r="1271" spans="6:28">
      <c r="F1271" s="48"/>
      <c r="G1271" s="32"/>
      <c r="H1271" s="68"/>
      <c r="I1271" s="36"/>
      <c r="J1271" s="27"/>
      <c r="K1271" s="27"/>
      <c r="L1271" s="27"/>
      <c r="M1271" s="27"/>
      <c r="N1271" s="27"/>
      <c r="O1271" s="64"/>
      <c r="P1271" s="64"/>
      <c r="Q1271" s="27"/>
      <c r="R1271" s="34"/>
      <c r="S1271" s="36"/>
      <c r="T1271" s="34"/>
      <c r="U1271" s="71"/>
      <c r="V1271" s="36"/>
      <c r="W1271" s="36"/>
      <c r="X1271" s="36"/>
      <c r="Y1271" s="27"/>
      <c r="AA1271" s="9"/>
      <c r="AB1271" s="72"/>
    </row>
    <row r="1272" spans="6:28">
      <c r="F1272" s="48"/>
      <c r="G1272" s="32"/>
      <c r="H1272" s="68"/>
      <c r="I1272" s="36"/>
      <c r="J1272" s="27"/>
      <c r="K1272" s="27"/>
      <c r="L1272" s="27"/>
      <c r="M1272" s="27"/>
      <c r="N1272" s="27"/>
      <c r="O1272" s="64"/>
      <c r="P1272" s="64"/>
      <c r="Q1272" s="27"/>
      <c r="R1272" s="34"/>
      <c r="S1272" s="36"/>
      <c r="T1272" s="34"/>
      <c r="U1272" s="71"/>
      <c r="V1272" s="36"/>
      <c r="W1272" s="36"/>
      <c r="X1272" s="36"/>
      <c r="Y1272" s="27"/>
      <c r="AA1272" s="9"/>
      <c r="AB1272" s="72"/>
    </row>
    <row r="1273" spans="6:28">
      <c r="F1273" s="48"/>
      <c r="G1273" s="32"/>
      <c r="H1273" s="68"/>
      <c r="I1273" s="36"/>
      <c r="J1273" s="27"/>
      <c r="K1273" s="27"/>
      <c r="L1273" s="27"/>
      <c r="M1273" s="27"/>
      <c r="N1273" s="27"/>
      <c r="O1273" s="64"/>
      <c r="P1273" s="64"/>
      <c r="Q1273" s="27"/>
      <c r="R1273" s="34"/>
      <c r="S1273" s="36"/>
      <c r="T1273" s="34"/>
      <c r="U1273" s="71"/>
      <c r="V1273" s="36"/>
      <c r="W1273" s="36"/>
      <c r="X1273" s="36"/>
      <c r="Y1273" s="27"/>
      <c r="AA1273" s="9"/>
      <c r="AB1273" s="72"/>
    </row>
    <row r="1274" spans="6:28">
      <c r="F1274" s="48"/>
      <c r="G1274" s="32"/>
      <c r="H1274" s="68"/>
      <c r="I1274" s="36"/>
      <c r="J1274" s="27"/>
      <c r="K1274" s="27"/>
      <c r="L1274" s="27"/>
      <c r="M1274" s="27"/>
      <c r="N1274" s="27"/>
      <c r="O1274" s="64"/>
      <c r="P1274" s="64"/>
      <c r="Q1274" s="27"/>
      <c r="R1274" s="34"/>
      <c r="S1274" s="36"/>
      <c r="T1274" s="34"/>
      <c r="U1274" s="71"/>
      <c r="V1274" s="36"/>
      <c r="W1274" s="36"/>
      <c r="X1274" s="36"/>
      <c r="Y1274" s="27"/>
      <c r="AA1274" s="9"/>
      <c r="AB1274" s="72"/>
    </row>
    <row r="1275" spans="6:28">
      <c r="F1275" s="48"/>
      <c r="G1275" s="32"/>
      <c r="H1275" s="68"/>
      <c r="I1275" s="36"/>
      <c r="J1275" s="27"/>
      <c r="K1275" s="27"/>
      <c r="L1275" s="27"/>
      <c r="M1275" s="27"/>
      <c r="N1275" s="27"/>
      <c r="O1275" s="64"/>
      <c r="P1275" s="64"/>
      <c r="Q1275" s="27"/>
      <c r="R1275" s="34"/>
      <c r="S1275" s="36"/>
      <c r="T1275" s="34"/>
      <c r="U1275" s="71"/>
      <c r="V1275" s="36"/>
      <c r="W1275" s="36"/>
      <c r="X1275" s="36"/>
      <c r="Y1275" s="27"/>
      <c r="AA1275" s="9"/>
      <c r="AB1275" s="72"/>
    </row>
    <row r="1276" spans="6:28">
      <c r="F1276" s="48"/>
      <c r="G1276" s="32"/>
      <c r="H1276" s="68"/>
      <c r="I1276" s="36"/>
      <c r="J1276" s="27"/>
      <c r="K1276" s="27"/>
      <c r="L1276" s="27"/>
      <c r="M1276" s="27"/>
      <c r="N1276" s="27"/>
      <c r="O1276" s="64"/>
      <c r="P1276" s="64"/>
      <c r="Q1276" s="27"/>
      <c r="R1276" s="34"/>
      <c r="S1276" s="36"/>
      <c r="T1276" s="34"/>
      <c r="U1276" s="71"/>
      <c r="V1276" s="36"/>
      <c r="W1276" s="36"/>
      <c r="X1276" s="36"/>
      <c r="Y1276" s="27"/>
      <c r="AA1276" s="9"/>
      <c r="AB1276" s="72"/>
    </row>
    <row r="1277" spans="6:28">
      <c r="F1277" s="48"/>
      <c r="G1277" s="32"/>
      <c r="H1277" s="68"/>
      <c r="I1277" s="36"/>
      <c r="J1277" s="27"/>
      <c r="K1277" s="27"/>
      <c r="L1277" s="27"/>
      <c r="M1277" s="27"/>
      <c r="N1277" s="27"/>
      <c r="O1277" s="64"/>
      <c r="P1277" s="64"/>
      <c r="Q1277" s="27"/>
      <c r="R1277" s="34"/>
      <c r="S1277" s="36"/>
      <c r="T1277" s="34"/>
      <c r="U1277" s="71"/>
      <c r="V1277" s="36"/>
      <c r="W1277" s="36"/>
      <c r="X1277" s="36"/>
      <c r="Y1277" s="27"/>
      <c r="AA1277" s="9"/>
      <c r="AB1277" s="72"/>
    </row>
    <row r="1278" spans="6:28">
      <c r="F1278" s="48"/>
      <c r="G1278" s="32"/>
      <c r="H1278" s="68"/>
      <c r="I1278" s="36"/>
      <c r="J1278" s="27"/>
      <c r="K1278" s="27"/>
      <c r="L1278" s="27"/>
      <c r="M1278" s="27"/>
      <c r="N1278" s="27"/>
      <c r="O1278" s="64"/>
      <c r="P1278" s="64"/>
      <c r="Q1278" s="27"/>
      <c r="R1278" s="34"/>
      <c r="S1278" s="36"/>
      <c r="T1278" s="34"/>
      <c r="U1278" s="71"/>
      <c r="V1278" s="36"/>
      <c r="W1278" s="36"/>
      <c r="X1278" s="36"/>
      <c r="Y1278" s="27"/>
      <c r="AA1278" s="9"/>
      <c r="AB1278" s="72"/>
    </row>
    <row r="1279" spans="6:28">
      <c r="F1279" s="48"/>
      <c r="G1279" s="32"/>
      <c r="H1279" s="68"/>
      <c r="I1279" s="36"/>
      <c r="J1279" s="27"/>
      <c r="K1279" s="27"/>
      <c r="L1279" s="27"/>
      <c r="M1279" s="27"/>
      <c r="N1279" s="27"/>
      <c r="O1279" s="64"/>
      <c r="P1279" s="64"/>
      <c r="Q1279" s="27"/>
      <c r="R1279" s="34"/>
      <c r="S1279" s="36"/>
      <c r="T1279" s="34"/>
      <c r="U1279" s="71"/>
      <c r="V1279" s="36"/>
      <c r="W1279" s="36"/>
      <c r="X1279" s="36"/>
      <c r="Y1279" s="27"/>
      <c r="AA1279" s="9"/>
      <c r="AB1279" s="72"/>
    </row>
    <row r="1280" spans="6:28">
      <c r="F1280" s="48"/>
      <c r="G1280" s="32"/>
      <c r="H1280" s="68"/>
      <c r="I1280" s="36"/>
      <c r="J1280" s="27"/>
      <c r="K1280" s="27"/>
      <c r="L1280" s="27"/>
      <c r="M1280" s="27"/>
      <c r="N1280" s="27"/>
      <c r="O1280" s="64"/>
      <c r="P1280" s="64"/>
      <c r="Q1280" s="27"/>
      <c r="R1280" s="34"/>
      <c r="S1280" s="36"/>
      <c r="T1280" s="34"/>
      <c r="U1280" s="71"/>
      <c r="V1280" s="36"/>
      <c r="W1280" s="36"/>
      <c r="X1280" s="36"/>
      <c r="Y1280" s="27"/>
      <c r="AA1280" s="9"/>
      <c r="AB1280" s="72"/>
    </row>
    <row r="1281" spans="6:28">
      <c r="F1281" s="48"/>
      <c r="G1281" s="32"/>
      <c r="H1281" s="68"/>
      <c r="I1281" s="36"/>
      <c r="J1281" s="27"/>
      <c r="K1281" s="27"/>
      <c r="L1281" s="27"/>
      <c r="M1281" s="27"/>
      <c r="N1281" s="27"/>
      <c r="O1281" s="64"/>
      <c r="P1281" s="64"/>
      <c r="Q1281" s="27"/>
      <c r="R1281" s="34"/>
      <c r="S1281" s="36"/>
      <c r="T1281" s="34"/>
      <c r="U1281" s="71"/>
      <c r="V1281" s="36"/>
      <c r="W1281" s="36"/>
      <c r="X1281" s="36"/>
      <c r="Y1281" s="27"/>
      <c r="AA1281" s="9"/>
      <c r="AB1281" s="72"/>
    </row>
    <row r="1282" spans="6:28">
      <c r="F1282" s="48"/>
      <c r="G1282" s="32"/>
      <c r="H1282" s="68"/>
      <c r="I1282" s="36"/>
      <c r="J1282" s="27"/>
      <c r="K1282" s="27"/>
      <c r="L1282" s="27"/>
      <c r="M1282" s="27"/>
      <c r="N1282" s="27"/>
      <c r="O1282" s="64"/>
      <c r="P1282" s="64"/>
      <c r="Q1282" s="27"/>
      <c r="R1282" s="34"/>
      <c r="S1282" s="36"/>
      <c r="T1282" s="34"/>
      <c r="U1282" s="71"/>
      <c r="V1282" s="36"/>
      <c r="W1282" s="36"/>
      <c r="X1282" s="36"/>
      <c r="Y1282" s="27"/>
      <c r="AA1282" s="9"/>
      <c r="AB1282" s="72"/>
    </row>
    <row r="1283" spans="6:28">
      <c r="F1283" s="48"/>
      <c r="G1283" s="32"/>
      <c r="H1283" s="68"/>
      <c r="I1283" s="36"/>
      <c r="J1283" s="27"/>
      <c r="K1283" s="27"/>
      <c r="L1283" s="27"/>
      <c r="M1283" s="27"/>
      <c r="N1283" s="27"/>
      <c r="O1283" s="64"/>
      <c r="P1283" s="64"/>
      <c r="Q1283" s="27"/>
      <c r="R1283" s="34"/>
      <c r="S1283" s="36"/>
      <c r="T1283" s="34"/>
      <c r="U1283" s="71"/>
      <c r="V1283" s="36"/>
      <c r="W1283" s="36"/>
      <c r="X1283" s="36"/>
      <c r="Y1283" s="27"/>
      <c r="AA1283" s="9"/>
      <c r="AB1283" s="72"/>
    </row>
    <row r="1284" spans="6:28">
      <c r="F1284" s="48"/>
      <c r="G1284" s="32"/>
      <c r="H1284" s="68"/>
      <c r="I1284" s="36"/>
      <c r="J1284" s="27"/>
      <c r="K1284" s="27"/>
      <c r="L1284" s="27"/>
      <c r="M1284" s="27"/>
      <c r="N1284" s="27"/>
      <c r="O1284" s="64"/>
      <c r="P1284" s="64"/>
      <c r="Q1284" s="27"/>
      <c r="R1284" s="34"/>
      <c r="S1284" s="36"/>
      <c r="T1284" s="34"/>
      <c r="U1284" s="71"/>
      <c r="V1284" s="36"/>
      <c r="W1284" s="36"/>
      <c r="X1284" s="36"/>
      <c r="Y1284" s="27"/>
      <c r="AA1284" s="9"/>
      <c r="AB1284" s="72"/>
    </row>
    <row r="1285" spans="6:28">
      <c r="F1285" s="48"/>
      <c r="G1285" s="32"/>
      <c r="H1285" s="68"/>
      <c r="I1285" s="36"/>
      <c r="J1285" s="27"/>
      <c r="K1285" s="27"/>
      <c r="L1285" s="27"/>
      <c r="M1285" s="27"/>
      <c r="N1285" s="27"/>
      <c r="O1285" s="64"/>
      <c r="P1285" s="64"/>
      <c r="Q1285" s="27"/>
      <c r="R1285" s="34"/>
      <c r="S1285" s="36"/>
      <c r="T1285" s="34"/>
      <c r="U1285" s="71"/>
      <c r="V1285" s="36"/>
      <c r="W1285" s="36"/>
      <c r="X1285" s="36"/>
      <c r="Y1285" s="27"/>
      <c r="AA1285" s="9"/>
      <c r="AB1285" s="72"/>
    </row>
    <row r="1286" spans="6:28">
      <c r="F1286" s="48"/>
      <c r="G1286" s="32"/>
      <c r="H1286" s="68"/>
      <c r="I1286" s="36"/>
      <c r="J1286" s="27"/>
      <c r="K1286" s="27"/>
      <c r="L1286" s="27"/>
      <c r="M1286" s="27"/>
      <c r="N1286" s="27"/>
      <c r="O1286" s="64"/>
      <c r="P1286" s="64"/>
      <c r="Q1286" s="27"/>
      <c r="R1286" s="34"/>
      <c r="S1286" s="36"/>
      <c r="T1286" s="34"/>
      <c r="U1286" s="71"/>
      <c r="V1286" s="36"/>
      <c r="W1286" s="36"/>
      <c r="X1286" s="36"/>
      <c r="Y1286" s="27"/>
      <c r="AA1286" s="9"/>
      <c r="AB1286" s="72"/>
    </row>
    <row r="1287" spans="6:28">
      <c r="F1287" s="48"/>
      <c r="G1287" s="32"/>
      <c r="H1287" s="68"/>
      <c r="I1287" s="36"/>
      <c r="J1287" s="27"/>
      <c r="K1287" s="27"/>
      <c r="L1287" s="27"/>
      <c r="M1287" s="27"/>
      <c r="N1287" s="27"/>
      <c r="O1287" s="64"/>
      <c r="P1287" s="64"/>
      <c r="Q1287" s="27"/>
      <c r="R1287" s="34"/>
      <c r="S1287" s="36"/>
      <c r="T1287" s="34"/>
      <c r="U1287" s="71"/>
      <c r="V1287" s="36"/>
      <c r="W1287" s="36"/>
      <c r="X1287" s="36"/>
      <c r="Y1287" s="27"/>
      <c r="AA1287" s="9"/>
      <c r="AB1287" s="72"/>
    </row>
    <row r="1288" spans="6:28">
      <c r="F1288" s="48"/>
      <c r="G1288" s="32"/>
      <c r="H1288" s="68"/>
      <c r="I1288" s="36"/>
      <c r="J1288" s="27"/>
      <c r="K1288" s="27"/>
      <c r="L1288" s="27"/>
      <c r="M1288" s="27"/>
      <c r="N1288" s="27"/>
      <c r="O1288" s="64"/>
      <c r="P1288" s="64"/>
      <c r="Q1288" s="27"/>
      <c r="R1288" s="34"/>
      <c r="S1288" s="36"/>
      <c r="T1288" s="34"/>
      <c r="U1288" s="71"/>
      <c r="V1288" s="36"/>
      <c r="W1288" s="36"/>
      <c r="X1288" s="36"/>
      <c r="Y1288" s="27"/>
      <c r="AA1288" s="9"/>
      <c r="AB1288" s="72"/>
    </row>
    <row r="1289" spans="6:28">
      <c r="F1289" s="48"/>
      <c r="G1289" s="32"/>
      <c r="H1289" s="68"/>
      <c r="I1289" s="36"/>
      <c r="J1289" s="27"/>
      <c r="K1289" s="27"/>
      <c r="L1289" s="27"/>
      <c r="M1289" s="27"/>
      <c r="N1289" s="27"/>
      <c r="O1289" s="64"/>
      <c r="P1289" s="64"/>
      <c r="Q1289" s="27"/>
      <c r="R1289" s="34"/>
      <c r="S1289" s="36"/>
      <c r="T1289" s="34"/>
      <c r="U1289" s="71"/>
      <c r="V1289" s="36"/>
      <c r="W1289" s="36"/>
      <c r="X1289" s="36"/>
      <c r="Y1289" s="27"/>
      <c r="AA1289" s="9"/>
      <c r="AB1289" s="72"/>
    </row>
    <row r="1290" spans="6:28">
      <c r="F1290" s="48"/>
      <c r="G1290" s="32"/>
      <c r="H1290" s="68"/>
      <c r="I1290" s="36"/>
      <c r="J1290" s="27"/>
      <c r="K1290" s="27"/>
      <c r="L1290" s="27"/>
      <c r="M1290" s="27"/>
      <c r="N1290" s="27"/>
      <c r="O1290" s="64"/>
      <c r="P1290" s="64"/>
      <c r="Q1290" s="27"/>
      <c r="R1290" s="34"/>
      <c r="S1290" s="36"/>
      <c r="T1290" s="34"/>
      <c r="U1290" s="71"/>
      <c r="V1290" s="36"/>
      <c r="W1290" s="36"/>
      <c r="X1290" s="36"/>
      <c r="Y1290" s="27"/>
      <c r="AA1290" s="9"/>
      <c r="AB1290" s="72"/>
    </row>
    <row r="1291" spans="6:28">
      <c r="F1291" s="48"/>
      <c r="G1291" s="32"/>
      <c r="H1291" s="68"/>
      <c r="I1291" s="36"/>
      <c r="J1291" s="27"/>
      <c r="K1291" s="27"/>
      <c r="L1291" s="27"/>
      <c r="M1291" s="27"/>
      <c r="N1291" s="27"/>
      <c r="O1291" s="64"/>
      <c r="P1291" s="64"/>
      <c r="Q1291" s="27"/>
      <c r="R1291" s="34"/>
      <c r="S1291" s="36"/>
      <c r="T1291" s="34"/>
      <c r="U1291" s="71"/>
      <c r="V1291" s="36"/>
      <c r="W1291" s="36"/>
      <c r="X1291" s="36"/>
      <c r="Y1291" s="27"/>
      <c r="AA1291" s="9"/>
      <c r="AB1291" s="72"/>
    </row>
    <row r="1292" spans="6:28">
      <c r="F1292" s="48"/>
      <c r="G1292" s="32"/>
      <c r="H1292" s="68"/>
      <c r="I1292" s="36"/>
      <c r="J1292" s="27"/>
      <c r="K1292" s="27"/>
      <c r="L1292" s="27"/>
      <c r="M1292" s="27"/>
      <c r="N1292" s="27"/>
      <c r="O1292" s="64"/>
      <c r="P1292" s="64"/>
      <c r="Q1292" s="27"/>
      <c r="R1292" s="34"/>
      <c r="S1292" s="36"/>
      <c r="T1292" s="34"/>
      <c r="U1292" s="71"/>
      <c r="V1292" s="36"/>
      <c r="W1292" s="36"/>
      <c r="X1292" s="36"/>
      <c r="Y1292" s="27"/>
      <c r="AA1292" s="9"/>
      <c r="AB1292" s="72"/>
    </row>
    <row r="1293" spans="6:28">
      <c r="F1293" s="48"/>
      <c r="G1293" s="32"/>
      <c r="H1293" s="68"/>
      <c r="I1293" s="36"/>
      <c r="J1293" s="27"/>
      <c r="K1293" s="27"/>
      <c r="L1293" s="27"/>
      <c r="M1293" s="27"/>
      <c r="N1293" s="27"/>
      <c r="O1293" s="64"/>
      <c r="P1293" s="64"/>
      <c r="Q1293" s="27"/>
      <c r="R1293" s="34"/>
      <c r="S1293" s="36"/>
      <c r="T1293" s="34"/>
      <c r="U1293" s="71"/>
      <c r="V1293" s="36"/>
      <c r="W1293" s="36"/>
      <c r="X1293" s="36"/>
      <c r="Y1293" s="27"/>
      <c r="AA1293" s="9"/>
      <c r="AB1293" s="72"/>
    </row>
    <row r="1294" spans="6:28">
      <c r="F1294" s="48"/>
      <c r="G1294" s="32"/>
      <c r="H1294" s="68"/>
      <c r="I1294" s="36"/>
      <c r="J1294" s="27"/>
      <c r="K1294" s="27"/>
      <c r="L1294" s="27"/>
      <c r="M1294" s="27"/>
      <c r="N1294" s="27"/>
      <c r="O1294" s="64"/>
      <c r="P1294" s="64"/>
      <c r="Q1294" s="27"/>
      <c r="R1294" s="34"/>
      <c r="S1294" s="36"/>
      <c r="T1294" s="34"/>
      <c r="U1294" s="71"/>
      <c r="V1294" s="36"/>
      <c r="W1294" s="36"/>
      <c r="X1294" s="36"/>
      <c r="Y1294" s="27"/>
      <c r="AA1294" s="9"/>
      <c r="AB1294" s="72"/>
    </row>
    <row r="1295" spans="6:28">
      <c r="F1295" s="48"/>
      <c r="G1295" s="32"/>
      <c r="H1295" s="68"/>
      <c r="I1295" s="36"/>
      <c r="J1295" s="27"/>
      <c r="K1295" s="27"/>
      <c r="L1295" s="27"/>
      <c r="M1295" s="27"/>
      <c r="N1295" s="27"/>
      <c r="O1295" s="64"/>
      <c r="P1295" s="64"/>
      <c r="Q1295" s="27"/>
      <c r="R1295" s="34"/>
      <c r="S1295" s="36"/>
      <c r="T1295" s="34"/>
      <c r="U1295" s="71"/>
      <c r="V1295" s="36"/>
      <c r="W1295" s="36"/>
      <c r="X1295" s="36"/>
      <c r="Y1295" s="27"/>
      <c r="AA1295" s="9"/>
      <c r="AB1295" s="72"/>
    </row>
    <row r="1296" spans="6:28">
      <c r="F1296" s="48"/>
      <c r="G1296" s="32"/>
      <c r="H1296" s="68"/>
      <c r="I1296" s="36"/>
      <c r="J1296" s="27"/>
      <c r="K1296" s="27"/>
      <c r="L1296" s="27"/>
      <c r="M1296" s="27"/>
      <c r="N1296" s="27"/>
      <c r="O1296" s="64"/>
      <c r="P1296" s="64"/>
      <c r="Q1296" s="27"/>
      <c r="R1296" s="34"/>
      <c r="S1296" s="36"/>
      <c r="T1296" s="34"/>
      <c r="U1296" s="71"/>
      <c r="V1296" s="36"/>
      <c r="W1296" s="36"/>
      <c r="X1296" s="36"/>
      <c r="Y1296" s="27"/>
      <c r="AA1296" s="9"/>
      <c r="AB1296" s="72"/>
    </row>
    <row r="1297" spans="6:28">
      <c r="F1297" s="48"/>
      <c r="G1297" s="32"/>
      <c r="H1297" s="68"/>
      <c r="I1297" s="36"/>
      <c r="J1297" s="27"/>
      <c r="K1297" s="27"/>
      <c r="L1297" s="27"/>
      <c r="M1297" s="27"/>
      <c r="N1297" s="27"/>
      <c r="O1297" s="64"/>
      <c r="P1297" s="64"/>
      <c r="Q1297" s="27"/>
      <c r="R1297" s="34"/>
      <c r="S1297" s="36"/>
      <c r="T1297" s="34"/>
      <c r="U1297" s="71"/>
      <c r="V1297" s="36"/>
      <c r="W1297" s="36"/>
      <c r="X1297" s="36"/>
      <c r="Y1297" s="27"/>
      <c r="AA1297" s="9"/>
      <c r="AB1297" s="72"/>
    </row>
    <row r="1298" spans="6:28">
      <c r="F1298" s="48"/>
      <c r="G1298" s="32"/>
      <c r="H1298" s="68"/>
      <c r="I1298" s="36"/>
      <c r="J1298" s="27"/>
      <c r="K1298" s="27"/>
      <c r="L1298" s="27"/>
      <c r="M1298" s="27"/>
      <c r="N1298" s="27"/>
      <c r="O1298" s="64"/>
      <c r="P1298" s="64"/>
      <c r="Q1298" s="27"/>
      <c r="R1298" s="34"/>
      <c r="S1298" s="36"/>
      <c r="T1298" s="34"/>
      <c r="U1298" s="71"/>
      <c r="V1298" s="36"/>
      <c r="W1298" s="36"/>
      <c r="X1298" s="36"/>
      <c r="Y1298" s="27"/>
      <c r="AA1298" s="9"/>
      <c r="AB1298" s="72"/>
    </row>
    <row r="1299" spans="6:28">
      <c r="F1299" s="48"/>
      <c r="G1299" s="32"/>
      <c r="H1299" s="68"/>
      <c r="I1299" s="36"/>
      <c r="J1299" s="27"/>
      <c r="K1299" s="27"/>
      <c r="L1299" s="27"/>
      <c r="M1299" s="27"/>
      <c r="N1299" s="27"/>
      <c r="O1299" s="64"/>
      <c r="P1299" s="64"/>
      <c r="Q1299" s="27"/>
      <c r="R1299" s="34"/>
      <c r="S1299" s="36"/>
      <c r="T1299" s="34"/>
      <c r="U1299" s="71"/>
      <c r="V1299" s="36"/>
      <c r="W1299" s="36"/>
      <c r="X1299" s="36"/>
      <c r="Y1299" s="27"/>
      <c r="AA1299" s="9"/>
      <c r="AB1299" s="72"/>
    </row>
    <row r="1300" spans="6:28">
      <c r="F1300" s="48"/>
      <c r="G1300" s="32"/>
      <c r="H1300" s="68"/>
      <c r="I1300" s="36"/>
      <c r="J1300" s="27"/>
      <c r="K1300" s="27"/>
      <c r="L1300" s="27"/>
      <c r="M1300" s="27"/>
      <c r="N1300" s="27"/>
      <c r="O1300" s="64"/>
      <c r="P1300" s="64"/>
      <c r="Q1300" s="27"/>
      <c r="R1300" s="34"/>
      <c r="S1300" s="36"/>
      <c r="T1300" s="34"/>
      <c r="U1300" s="71"/>
      <c r="V1300" s="36"/>
      <c r="W1300" s="36"/>
      <c r="X1300" s="36"/>
      <c r="Y1300" s="27"/>
      <c r="AA1300" s="9"/>
      <c r="AB1300" s="72"/>
    </row>
    <row r="1301" spans="6:28">
      <c r="F1301" s="48"/>
      <c r="G1301" s="32"/>
      <c r="H1301" s="68"/>
      <c r="I1301" s="36"/>
      <c r="J1301" s="27"/>
      <c r="K1301" s="27"/>
      <c r="L1301" s="27"/>
      <c r="M1301" s="27"/>
      <c r="N1301" s="27"/>
      <c r="O1301" s="64"/>
      <c r="P1301" s="64"/>
      <c r="Q1301" s="27"/>
      <c r="R1301" s="34"/>
      <c r="S1301" s="36"/>
      <c r="T1301" s="34"/>
      <c r="U1301" s="71"/>
      <c r="V1301" s="36"/>
      <c r="W1301" s="36"/>
      <c r="X1301" s="36"/>
      <c r="Y1301" s="27"/>
      <c r="AA1301" s="9"/>
      <c r="AB1301" s="72"/>
    </row>
    <row r="1302" spans="6:28">
      <c r="F1302" s="48"/>
      <c r="G1302" s="32"/>
      <c r="H1302" s="68"/>
      <c r="I1302" s="36"/>
      <c r="J1302" s="27"/>
      <c r="K1302" s="27"/>
      <c r="L1302" s="27"/>
      <c r="M1302" s="27"/>
      <c r="N1302" s="27"/>
      <c r="O1302" s="64"/>
      <c r="P1302" s="64"/>
      <c r="Q1302" s="27"/>
      <c r="R1302" s="34"/>
      <c r="S1302" s="36"/>
      <c r="T1302" s="34"/>
      <c r="U1302" s="71"/>
      <c r="V1302" s="36"/>
      <c r="W1302" s="36"/>
      <c r="X1302" s="36"/>
      <c r="Y1302" s="27"/>
      <c r="AA1302" s="9"/>
      <c r="AB1302" s="72"/>
    </row>
    <row r="1303" spans="6:28">
      <c r="F1303" s="48"/>
      <c r="G1303" s="32"/>
      <c r="H1303" s="68"/>
      <c r="I1303" s="36"/>
      <c r="J1303" s="27"/>
      <c r="K1303" s="27"/>
      <c r="L1303" s="27"/>
      <c r="M1303" s="27"/>
      <c r="N1303" s="27"/>
      <c r="O1303" s="64"/>
      <c r="P1303" s="64"/>
      <c r="Q1303" s="27"/>
      <c r="R1303" s="34"/>
      <c r="S1303" s="36"/>
      <c r="T1303" s="34"/>
      <c r="U1303" s="71"/>
      <c r="V1303" s="36"/>
      <c r="W1303" s="36"/>
      <c r="X1303" s="36"/>
      <c r="Y1303" s="27"/>
      <c r="AA1303" s="9"/>
      <c r="AB1303" s="72"/>
    </row>
    <row r="1304" spans="6:28">
      <c r="F1304" s="48"/>
      <c r="G1304" s="32"/>
      <c r="H1304" s="68"/>
      <c r="I1304" s="36"/>
      <c r="J1304" s="27"/>
      <c r="K1304" s="27"/>
      <c r="L1304" s="27"/>
      <c r="M1304" s="27"/>
      <c r="N1304" s="27"/>
      <c r="O1304" s="64"/>
      <c r="P1304" s="64"/>
      <c r="Q1304" s="27"/>
      <c r="R1304" s="34"/>
      <c r="S1304" s="36"/>
      <c r="T1304" s="34"/>
      <c r="U1304" s="71"/>
      <c r="V1304" s="36"/>
      <c r="W1304" s="36"/>
      <c r="X1304" s="36"/>
      <c r="Y1304" s="27"/>
      <c r="AA1304" s="9"/>
      <c r="AB1304" s="72"/>
    </row>
    <row r="1305" spans="6:28">
      <c r="F1305" s="48"/>
      <c r="G1305" s="32"/>
      <c r="H1305" s="68"/>
      <c r="I1305" s="36"/>
      <c r="J1305" s="27"/>
      <c r="K1305" s="27"/>
      <c r="L1305" s="27"/>
      <c r="M1305" s="27"/>
      <c r="N1305" s="27"/>
      <c r="O1305" s="64"/>
      <c r="P1305" s="64"/>
      <c r="Q1305" s="27"/>
      <c r="R1305" s="34"/>
      <c r="S1305" s="36"/>
      <c r="T1305" s="34"/>
      <c r="U1305" s="71"/>
      <c r="V1305" s="36"/>
      <c r="W1305" s="36"/>
      <c r="X1305" s="36"/>
      <c r="Y1305" s="27"/>
      <c r="AA1305" s="9"/>
      <c r="AB1305" s="72"/>
    </row>
    <row r="1306" spans="6:28">
      <c r="F1306" s="48"/>
      <c r="G1306" s="32"/>
      <c r="H1306" s="68"/>
      <c r="I1306" s="36"/>
      <c r="J1306" s="27"/>
      <c r="K1306" s="27"/>
      <c r="L1306" s="27"/>
      <c r="M1306" s="27"/>
      <c r="N1306" s="27"/>
      <c r="O1306" s="64"/>
      <c r="P1306" s="64"/>
      <c r="Q1306" s="27"/>
      <c r="R1306" s="34"/>
      <c r="S1306" s="36"/>
      <c r="T1306" s="34"/>
      <c r="U1306" s="71"/>
      <c r="V1306" s="36"/>
      <c r="W1306" s="36"/>
      <c r="X1306" s="36"/>
      <c r="Y1306" s="27"/>
      <c r="AA1306" s="9"/>
      <c r="AB1306" s="72"/>
    </row>
    <row r="1307" spans="6:28">
      <c r="F1307" s="48"/>
      <c r="G1307" s="32"/>
      <c r="H1307" s="68"/>
      <c r="I1307" s="36"/>
      <c r="J1307" s="27"/>
      <c r="K1307" s="27"/>
      <c r="L1307" s="27"/>
      <c r="M1307" s="27"/>
      <c r="N1307" s="27"/>
      <c r="O1307" s="64"/>
      <c r="P1307" s="64"/>
      <c r="Q1307" s="27"/>
      <c r="R1307" s="34"/>
      <c r="S1307" s="36"/>
      <c r="T1307" s="34"/>
      <c r="U1307" s="71"/>
      <c r="V1307" s="36"/>
      <c r="W1307" s="36"/>
      <c r="X1307" s="36"/>
      <c r="Y1307" s="27"/>
      <c r="AA1307" s="9"/>
      <c r="AB1307" s="72"/>
    </row>
    <row r="1308" spans="6:28">
      <c r="F1308" s="48"/>
      <c r="G1308" s="32"/>
      <c r="H1308" s="68"/>
      <c r="I1308" s="36"/>
      <c r="J1308" s="27"/>
      <c r="K1308" s="27"/>
      <c r="L1308" s="27"/>
      <c r="M1308" s="27"/>
      <c r="N1308" s="27"/>
      <c r="O1308" s="64"/>
      <c r="P1308" s="64"/>
      <c r="Q1308" s="27"/>
      <c r="R1308" s="34"/>
      <c r="S1308" s="36"/>
      <c r="T1308" s="34"/>
      <c r="U1308" s="71"/>
      <c r="V1308" s="36"/>
      <c r="W1308" s="36"/>
      <c r="X1308" s="36"/>
      <c r="Y1308" s="27"/>
      <c r="AA1308" s="9"/>
      <c r="AB1308" s="72"/>
    </row>
    <row r="1309" spans="6:28">
      <c r="F1309" s="48"/>
      <c r="G1309" s="32"/>
      <c r="H1309" s="68"/>
      <c r="I1309" s="36"/>
      <c r="J1309" s="27"/>
      <c r="K1309" s="27"/>
      <c r="L1309" s="27"/>
      <c r="M1309" s="27"/>
      <c r="N1309" s="27"/>
      <c r="O1309" s="64"/>
      <c r="P1309" s="64"/>
      <c r="Q1309" s="27"/>
      <c r="R1309" s="34"/>
      <c r="S1309" s="36"/>
      <c r="T1309" s="34"/>
      <c r="U1309" s="71"/>
      <c r="V1309" s="36"/>
      <c r="W1309" s="36"/>
      <c r="X1309" s="36"/>
      <c r="Y1309" s="27"/>
      <c r="AA1309" s="9"/>
      <c r="AB1309" s="72"/>
    </row>
    <row r="1310" spans="6:28">
      <c r="F1310" s="48"/>
      <c r="G1310" s="32"/>
      <c r="H1310" s="68"/>
      <c r="I1310" s="36"/>
      <c r="J1310" s="27"/>
      <c r="K1310" s="27"/>
      <c r="L1310" s="27"/>
      <c r="M1310" s="27"/>
      <c r="N1310" s="27"/>
      <c r="O1310" s="64"/>
      <c r="P1310" s="64"/>
      <c r="Q1310" s="27"/>
      <c r="R1310" s="34"/>
      <c r="S1310" s="36"/>
      <c r="T1310" s="34"/>
      <c r="U1310" s="71"/>
      <c r="V1310" s="36"/>
      <c r="W1310" s="36"/>
      <c r="X1310" s="36"/>
      <c r="Y1310" s="27"/>
      <c r="AA1310" s="9"/>
      <c r="AB1310" s="72"/>
    </row>
    <row r="1311" spans="6:28">
      <c r="F1311" s="48"/>
      <c r="G1311" s="32"/>
      <c r="H1311" s="68"/>
      <c r="I1311" s="36"/>
      <c r="J1311" s="27"/>
      <c r="K1311" s="27"/>
      <c r="L1311" s="27"/>
      <c r="M1311" s="27"/>
      <c r="N1311" s="27"/>
      <c r="O1311" s="64"/>
      <c r="P1311" s="64"/>
      <c r="Q1311" s="27"/>
      <c r="R1311" s="34"/>
      <c r="S1311" s="36"/>
      <c r="T1311" s="34"/>
      <c r="U1311" s="71"/>
      <c r="V1311" s="36"/>
      <c r="W1311" s="36"/>
      <c r="X1311" s="36"/>
      <c r="Y1311" s="27"/>
      <c r="AA1311" s="9"/>
      <c r="AB1311" s="72"/>
    </row>
    <row r="1312" spans="6:28">
      <c r="F1312" s="48"/>
      <c r="G1312" s="32"/>
      <c r="H1312" s="68"/>
      <c r="I1312" s="36"/>
      <c r="J1312" s="27"/>
      <c r="K1312" s="27"/>
      <c r="L1312" s="27"/>
      <c r="M1312" s="27"/>
      <c r="N1312" s="27"/>
      <c r="O1312" s="64"/>
      <c r="P1312" s="64"/>
      <c r="Q1312" s="27"/>
      <c r="R1312" s="34"/>
      <c r="S1312" s="36"/>
      <c r="T1312" s="34"/>
      <c r="U1312" s="71"/>
      <c r="V1312" s="36"/>
      <c r="W1312" s="36"/>
      <c r="X1312" s="36"/>
      <c r="Y1312" s="27"/>
      <c r="AA1312" s="9"/>
      <c r="AB1312" s="72"/>
    </row>
    <row r="1313" spans="6:28">
      <c r="F1313" s="48"/>
      <c r="G1313" s="32"/>
      <c r="H1313" s="68"/>
      <c r="I1313" s="36"/>
      <c r="J1313" s="27"/>
      <c r="K1313" s="27"/>
      <c r="L1313" s="27"/>
      <c r="M1313" s="27"/>
      <c r="N1313" s="27"/>
      <c r="O1313" s="64"/>
      <c r="P1313" s="64"/>
      <c r="Q1313" s="27"/>
      <c r="R1313" s="34"/>
      <c r="S1313" s="36"/>
      <c r="T1313" s="34"/>
      <c r="U1313" s="71"/>
      <c r="V1313" s="36"/>
      <c r="W1313" s="36"/>
      <c r="X1313" s="36"/>
      <c r="Y1313" s="27"/>
      <c r="AA1313" s="9"/>
      <c r="AB1313" s="72"/>
    </row>
    <row r="1314" spans="6:28">
      <c r="F1314" s="48"/>
      <c r="G1314" s="32"/>
      <c r="H1314" s="68"/>
      <c r="I1314" s="36"/>
      <c r="J1314" s="27"/>
      <c r="K1314" s="27"/>
      <c r="L1314" s="27"/>
      <c r="M1314" s="27"/>
      <c r="N1314" s="27"/>
      <c r="O1314" s="64"/>
      <c r="P1314" s="64"/>
      <c r="Q1314" s="27"/>
      <c r="R1314" s="34"/>
      <c r="S1314" s="36"/>
      <c r="T1314" s="34"/>
      <c r="U1314" s="71"/>
      <c r="V1314" s="36"/>
      <c r="W1314" s="36"/>
      <c r="X1314" s="36"/>
      <c r="Y1314" s="27"/>
      <c r="AA1314" s="9"/>
      <c r="AB1314" s="72"/>
    </row>
    <row r="1315" spans="6:28">
      <c r="F1315" s="48"/>
      <c r="G1315" s="32"/>
      <c r="H1315" s="68"/>
      <c r="I1315" s="36"/>
      <c r="J1315" s="27"/>
      <c r="K1315" s="27"/>
      <c r="L1315" s="27"/>
      <c r="M1315" s="27"/>
      <c r="N1315" s="27"/>
      <c r="O1315" s="64"/>
      <c r="P1315" s="64"/>
      <c r="Q1315" s="27"/>
      <c r="R1315" s="34"/>
      <c r="S1315" s="36"/>
      <c r="T1315" s="34"/>
      <c r="U1315" s="71"/>
      <c r="V1315" s="36"/>
      <c r="W1315" s="36"/>
      <c r="X1315" s="36"/>
      <c r="Y1315" s="27"/>
      <c r="AA1315" s="9"/>
      <c r="AB1315" s="72"/>
    </row>
    <row r="1316" spans="6:28">
      <c r="F1316" s="48"/>
      <c r="G1316" s="32"/>
      <c r="H1316" s="68"/>
      <c r="I1316" s="36"/>
      <c r="J1316" s="27"/>
      <c r="K1316" s="27"/>
      <c r="L1316" s="27"/>
      <c r="M1316" s="27"/>
      <c r="N1316" s="27"/>
      <c r="O1316" s="64"/>
      <c r="P1316" s="64"/>
      <c r="Q1316" s="27"/>
      <c r="R1316" s="34"/>
      <c r="S1316" s="36"/>
      <c r="T1316" s="34"/>
      <c r="U1316" s="71"/>
      <c r="V1316" s="36"/>
      <c r="W1316" s="36"/>
      <c r="X1316" s="36"/>
      <c r="Y1316" s="27"/>
      <c r="AA1316" s="9"/>
      <c r="AB1316" s="72"/>
    </row>
    <row r="1317" spans="6:28">
      <c r="F1317" s="48"/>
      <c r="G1317" s="32"/>
      <c r="H1317" s="68"/>
      <c r="I1317" s="36"/>
      <c r="J1317" s="27"/>
      <c r="K1317" s="27"/>
      <c r="L1317" s="27"/>
      <c r="M1317" s="27"/>
      <c r="N1317" s="27"/>
      <c r="O1317" s="64"/>
      <c r="P1317" s="64"/>
      <c r="Q1317" s="27"/>
      <c r="R1317" s="34"/>
      <c r="S1317" s="36"/>
      <c r="T1317" s="34"/>
      <c r="U1317" s="71"/>
      <c r="V1317" s="36"/>
      <c r="W1317" s="36"/>
      <c r="X1317" s="36"/>
      <c r="Y1317" s="27"/>
      <c r="AA1317" s="9"/>
      <c r="AB1317" s="72"/>
    </row>
    <row r="1318" spans="6:28">
      <c r="F1318" s="48"/>
      <c r="G1318" s="32"/>
      <c r="H1318" s="68"/>
      <c r="I1318" s="36"/>
      <c r="J1318" s="27"/>
      <c r="K1318" s="27"/>
      <c r="L1318" s="27"/>
      <c r="M1318" s="27"/>
      <c r="N1318" s="27"/>
      <c r="O1318" s="64"/>
      <c r="P1318" s="64"/>
      <c r="Q1318" s="27"/>
      <c r="R1318" s="34"/>
      <c r="S1318" s="36"/>
      <c r="T1318" s="34"/>
      <c r="U1318" s="71"/>
      <c r="V1318" s="36"/>
      <c r="W1318" s="36"/>
      <c r="X1318" s="36"/>
      <c r="Y1318" s="27"/>
      <c r="AA1318" s="9"/>
      <c r="AB1318" s="72"/>
    </row>
    <row r="1319" spans="6:28">
      <c r="F1319" s="48"/>
      <c r="G1319" s="32"/>
      <c r="H1319" s="68"/>
      <c r="I1319" s="36"/>
      <c r="J1319" s="27"/>
      <c r="K1319" s="27"/>
      <c r="L1319" s="27"/>
      <c r="M1319" s="27"/>
      <c r="N1319" s="27"/>
      <c r="O1319" s="64"/>
      <c r="P1319" s="64"/>
      <c r="Q1319" s="27"/>
      <c r="R1319" s="34"/>
      <c r="S1319" s="36"/>
      <c r="T1319" s="34"/>
      <c r="U1319" s="71"/>
      <c r="V1319" s="36"/>
      <c r="W1319" s="36"/>
      <c r="X1319" s="36"/>
      <c r="Y1319" s="27"/>
      <c r="AA1319" s="9"/>
      <c r="AB1319" s="72"/>
    </row>
    <row r="1320" spans="6:28">
      <c r="F1320" s="48"/>
      <c r="G1320" s="32"/>
      <c r="H1320" s="68"/>
      <c r="I1320" s="36"/>
      <c r="J1320" s="27"/>
      <c r="K1320" s="27"/>
      <c r="L1320" s="27"/>
      <c r="M1320" s="27"/>
      <c r="N1320" s="27"/>
      <c r="O1320" s="64"/>
      <c r="P1320" s="64"/>
      <c r="Q1320" s="27"/>
      <c r="R1320" s="34"/>
      <c r="S1320" s="36"/>
      <c r="T1320" s="34"/>
      <c r="U1320" s="71"/>
      <c r="V1320" s="36"/>
      <c r="W1320" s="36"/>
      <c r="X1320" s="36"/>
      <c r="Y1320" s="27"/>
      <c r="AA1320" s="9"/>
      <c r="AB1320" s="72"/>
    </row>
    <row r="1321" spans="6:28">
      <c r="F1321" s="48"/>
      <c r="G1321" s="32"/>
      <c r="H1321" s="68"/>
      <c r="I1321" s="36"/>
      <c r="J1321" s="27"/>
      <c r="K1321" s="27"/>
      <c r="L1321" s="27"/>
      <c r="M1321" s="27"/>
      <c r="N1321" s="27"/>
      <c r="O1321" s="64"/>
      <c r="P1321" s="64"/>
      <c r="Q1321" s="27"/>
      <c r="R1321" s="34"/>
      <c r="S1321" s="36"/>
      <c r="T1321" s="34"/>
      <c r="U1321" s="71"/>
      <c r="V1321" s="36"/>
      <c r="W1321" s="36"/>
      <c r="X1321" s="36"/>
      <c r="Y1321" s="27"/>
      <c r="AA1321" s="9"/>
      <c r="AB1321" s="72"/>
    </row>
    <row r="1322" spans="6:28">
      <c r="F1322" s="48"/>
      <c r="G1322" s="32"/>
      <c r="H1322" s="68"/>
      <c r="I1322" s="36"/>
      <c r="J1322" s="27"/>
      <c r="K1322" s="27"/>
      <c r="L1322" s="27"/>
      <c r="M1322" s="27"/>
      <c r="N1322" s="27"/>
      <c r="O1322" s="64"/>
      <c r="P1322" s="64"/>
      <c r="Q1322" s="27"/>
      <c r="R1322" s="34"/>
      <c r="S1322" s="36"/>
      <c r="T1322" s="34"/>
      <c r="U1322" s="71"/>
      <c r="V1322" s="36"/>
      <c r="W1322" s="36"/>
      <c r="X1322" s="36"/>
      <c r="Y1322" s="27"/>
      <c r="AA1322" s="9"/>
      <c r="AB1322" s="72"/>
    </row>
    <row r="1323" spans="6:28">
      <c r="F1323" s="48"/>
      <c r="G1323" s="32"/>
      <c r="H1323" s="68"/>
      <c r="I1323" s="36"/>
      <c r="J1323" s="27"/>
      <c r="K1323" s="27"/>
      <c r="L1323" s="27"/>
      <c r="M1323" s="27"/>
      <c r="N1323" s="27"/>
      <c r="O1323" s="64"/>
      <c r="P1323" s="64"/>
      <c r="Q1323" s="27"/>
      <c r="R1323" s="34"/>
      <c r="S1323" s="36"/>
      <c r="T1323" s="34"/>
      <c r="U1323" s="71"/>
      <c r="V1323" s="36"/>
      <c r="W1323" s="36"/>
      <c r="X1323" s="36"/>
      <c r="Y1323" s="27"/>
      <c r="AA1323" s="9"/>
      <c r="AB1323" s="72"/>
    </row>
    <row r="1324" spans="6:28">
      <c r="F1324" s="48"/>
      <c r="G1324" s="32"/>
      <c r="H1324" s="68"/>
      <c r="I1324" s="36"/>
      <c r="J1324" s="27"/>
      <c r="K1324" s="27"/>
      <c r="L1324" s="27"/>
      <c r="M1324" s="27"/>
      <c r="N1324" s="27"/>
      <c r="O1324" s="64"/>
      <c r="P1324" s="64"/>
      <c r="Q1324" s="27"/>
      <c r="R1324" s="34"/>
      <c r="S1324" s="36"/>
      <c r="T1324" s="34"/>
      <c r="U1324" s="71"/>
      <c r="V1324" s="36"/>
      <c r="W1324" s="36"/>
      <c r="X1324" s="36"/>
      <c r="Y1324" s="27"/>
      <c r="AA1324" s="9"/>
      <c r="AB1324" s="72"/>
    </row>
    <row r="1325" spans="6:28">
      <c r="F1325" s="48"/>
      <c r="G1325" s="32"/>
      <c r="H1325" s="68"/>
      <c r="I1325" s="36"/>
      <c r="J1325" s="27"/>
      <c r="K1325" s="27"/>
      <c r="L1325" s="27"/>
      <c r="M1325" s="27"/>
      <c r="N1325" s="27"/>
      <c r="O1325" s="64"/>
      <c r="P1325" s="64"/>
      <c r="Q1325" s="27"/>
      <c r="R1325" s="34"/>
      <c r="S1325" s="36"/>
      <c r="T1325" s="34"/>
      <c r="U1325" s="71"/>
      <c r="V1325" s="36"/>
      <c r="W1325" s="36"/>
      <c r="X1325" s="36"/>
      <c r="Y1325" s="27"/>
      <c r="AA1325" s="9"/>
      <c r="AB1325" s="72"/>
    </row>
    <row r="1326" spans="6:28">
      <c r="F1326" s="48"/>
      <c r="G1326" s="32"/>
      <c r="H1326" s="68"/>
      <c r="I1326" s="36"/>
      <c r="J1326" s="27"/>
      <c r="K1326" s="27"/>
      <c r="L1326" s="27"/>
      <c r="M1326" s="27"/>
      <c r="N1326" s="27"/>
      <c r="O1326" s="64"/>
      <c r="P1326" s="64"/>
      <c r="Q1326" s="27"/>
      <c r="R1326" s="34"/>
      <c r="S1326" s="36"/>
      <c r="T1326" s="34"/>
      <c r="U1326" s="71"/>
      <c r="V1326" s="36"/>
      <c r="W1326" s="36"/>
      <c r="X1326" s="36"/>
      <c r="Y1326" s="27"/>
      <c r="AA1326" s="9"/>
      <c r="AB1326" s="72"/>
    </row>
    <row r="1327" spans="6:28">
      <c r="F1327" s="48"/>
      <c r="G1327" s="32"/>
      <c r="H1327" s="68"/>
      <c r="I1327" s="36"/>
      <c r="J1327" s="27"/>
      <c r="K1327" s="27"/>
      <c r="L1327" s="27"/>
      <c r="M1327" s="27"/>
      <c r="N1327" s="27"/>
      <c r="O1327" s="64"/>
      <c r="P1327" s="64"/>
      <c r="Q1327" s="27"/>
      <c r="R1327" s="34"/>
      <c r="S1327" s="36"/>
      <c r="T1327" s="34"/>
      <c r="U1327" s="71"/>
      <c r="V1327" s="36"/>
      <c r="W1327" s="36"/>
      <c r="X1327" s="36"/>
      <c r="Y1327" s="27"/>
      <c r="AA1327" s="9"/>
      <c r="AB1327" s="72"/>
    </row>
    <row r="1328" spans="6:28">
      <c r="F1328" s="48"/>
      <c r="G1328" s="32"/>
      <c r="H1328" s="68"/>
      <c r="I1328" s="36"/>
      <c r="J1328" s="27"/>
      <c r="K1328" s="27"/>
      <c r="L1328" s="27"/>
      <c r="M1328" s="27"/>
      <c r="N1328" s="27"/>
      <c r="O1328" s="64"/>
      <c r="P1328" s="64"/>
      <c r="Q1328" s="27"/>
      <c r="R1328" s="34"/>
      <c r="S1328" s="36"/>
      <c r="T1328" s="34"/>
      <c r="U1328" s="71"/>
      <c r="V1328" s="36"/>
      <c r="W1328" s="36"/>
      <c r="X1328" s="36"/>
      <c r="Y1328" s="27"/>
      <c r="AA1328" s="9"/>
      <c r="AB1328" s="72"/>
    </row>
    <row r="1329" spans="6:28">
      <c r="F1329" s="48"/>
      <c r="G1329" s="32"/>
      <c r="H1329" s="68"/>
      <c r="I1329" s="36"/>
      <c r="J1329" s="27"/>
      <c r="K1329" s="27"/>
      <c r="L1329" s="27"/>
      <c r="M1329" s="27"/>
      <c r="N1329" s="27"/>
      <c r="O1329" s="64"/>
      <c r="P1329" s="64"/>
      <c r="Q1329" s="27"/>
      <c r="R1329" s="34"/>
      <c r="S1329" s="36"/>
      <c r="T1329" s="34"/>
      <c r="U1329" s="71"/>
      <c r="V1329" s="36"/>
      <c r="W1329" s="36"/>
      <c r="X1329" s="36"/>
      <c r="Y1329" s="27"/>
      <c r="AA1329" s="9"/>
      <c r="AB1329" s="72"/>
    </row>
    <row r="1330" spans="6:28">
      <c r="F1330" s="48"/>
      <c r="G1330" s="32"/>
      <c r="H1330" s="68"/>
      <c r="I1330" s="36"/>
      <c r="J1330" s="27"/>
      <c r="K1330" s="27"/>
      <c r="L1330" s="27"/>
      <c r="M1330" s="27"/>
      <c r="N1330" s="27"/>
      <c r="O1330" s="64"/>
      <c r="P1330" s="64"/>
      <c r="Q1330" s="27"/>
      <c r="R1330" s="34"/>
      <c r="S1330" s="36"/>
      <c r="T1330" s="34"/>
      <c r="U1330" s="71"/>
      <c r="V1330" s="36"/>
      <c r="W1330" s="36"/>
      <c r="X1330" s="36"/>
      <c r="Y1330" s="27"/>
      <c r="AA1330" s="9"/>
      <c r="AB1330" s="72"/>
    </row>
    <row r="1331" spans="6:28">
      <c r="F1331" s="48"/>
      <c r="G1331" s="32"/>
      <c r="H1331" s="68"/>
      <c r="I1331" s="36"/>
      <c r="J1331" s="27"/>
      <c r="K1331" s="27"/>
      <c r="L1331" s="27"/>
      <c r="M1331" s="27"/>
      <c r="N1331" s="27"/>
      <c r="O1331" s="64"/>
      <c r="P1331" s="64"/>
      <c r="Q1331" s="27"/>
      <c r="R1331" s="34"/>
      <c r="S1331" s="36"/>
      <c r="T1331" s="34"/>
      <c r="U1331" s="71"/>
      <c r="V1331" s="36"/>
      <c r="W1331" s="36"/>
      <c r="X1331" s="36"/>
      <c r="Y1331" s="27"/>
      <c r="AA1331" s="9"/>
      <c r="AB1331" s="72"/>
    </row>
    <row r="1332" spans="6:28">
      <c r="F1332" s="48"/>
      <c r="G1332" s="32"/>
      <c r="H1332" s="68"/>
      <c r="I1332" s="36"/>
      <c r="J1332" s="27"/>
      <c r="K1332" s="27"/>
      <c r="L1332" s="27"/>
      <c r="M1332" s="27"/>
      <c r="N1332" s="27"/>
      <c r="O1332" s="64"/>
      <c r="P1332" s="64"/>
      <c r="Q1332" s="27"/>
      <c r="R1332" s="34"/>
      <c r="S1332" s="36"/>
      <c r="T1332" s="34"/>
      <c r="U1332" s="71"/>
      <c r="V1332" s="36"/>
      <c r="W1332" s="36"/>
      <c r="X1332" s="36"/>
      <c r="Y1332" s="27"/>
      <c r="AA1332" s="9"/>
      <c r="AB1332" s="72"/>
    </row>
    <row r="1333" spans="6:28">
      <c r="F1333" s="48"/>
      <c r="G1333" s="32"/>
      <c r="H1333" s="68"/>
      <c r="I1333" s="36"/>
      <c r="J1333" s="27"/>
      <c r="K1333" s="27"/>
      <c r="L1333" s="27"/>
      <c r="M1333" s="27"/>
      <c r="N1333" s="27"/>
      <c r="O1333" s="64"/>
      <c r="P1333" s="64"/>
      <c r="Q1333" s="27"/>
      <c r="R1333" s="34"/>
      <c r="S1333" s="36"/>
      <c r="T1333" s="34"/>
      <c r="U1333" s="71"/>
      <c r="V1333" s="36"/>
      <c r="W1333" s="36"/>
      <c r="X1333" s="36"/>
      <c r="Y1333" s="27"/>
      <c r="AA1333" s="9"/>
      <c r="AB1333" s="72"/>
    </row>
    <row r="1334" spans="6:28">
      <c r="F1334" s="48"/>
      <c r="G1334" s="32"/>
      <c r="H1334" s="68"/>
      <c r="I1334" s="36"/>
      <c r="J1334" s="27"/>
      <c r="K1334" s="27"/>
      <c r="L1334" s="27"/>
      <c r="M1334" s="27"/>
      <c r="N1334" s="27"/>
      <c r="O1334" s="64"/>
      <c r="P1334" s="64"/>
      <c r="Q1334" s="27"/>
      <c r="R1334" s="34"/>
      <c r="S1334" s="36"/>
      <c r="T1334" s="34"/>
      <c r="U1334" s="71"/>
      <c r="V1334" s="36"/>
      <c r="W1334" s="36"/>
      <c r="X1334" s="36"/>
      <c r="Y1334" s="27"/>
      <c r="AA1334" s="9"/>
      <c r="AB1334" s="72"/>
    </row>
    <row r="1335" spans="6:28">
      <c r="F1335" s="48"/>
      <c r="G1335" s="32"/>
      <c r="H1335" s="68"/>
      <c r="I1335" s="36"/>
      <c r="J1335" s="27"/>
      <c r="K1335" s="27"/>
      <c r="L1335" s="27"/>
      <c r="M1335" s="27"/>
      <c r="N1335" s="27"/>
      <c r="O1335" s="64"/>
      <c r="P1335" s="64"/>
      <c r="Q1335" s="27"/>
      <c r="R1335" s="34"/>
      <c r="S1335" s="36"/>
      <c r="T1335" s="34"/>
      <c r="U1335" s="71"/>
      <c r="V1335" s="36"/>
      <c r="W1335" s="36"/>
      <c r="X1335" s="36"/>
      <c r="Y1335" s="27"/>
      <c r="AA1335" s="9"/>
      <c r="AB1335" s="72"/>
    </row>
    <row r="1336" spans="6:28">
      <c r="F1336" s="48"/>
      <c r="G1336" s="32"/>
      <c r="H1336" s="68"/>
      <c r="I1336" s="36"/>
      <c r="J1336" s="27"/>
      <c r="K1336" s="27"/>
      <c r="L1336" s="27"/>
      <c r="M1336" s="27"/>
      <c r="N1336" s="27"/>
      <c r="O1336" s="64"/>
      <c r="P1336" s="64"/>
      <c r="Q1336" s="27"/>
      <c r="R1336" s="34"/>
      <c r="S1336" s="36"/>
      <c r="T1336" s="34"/>
      <c r="U1336" s="71"/>
      <c r="V1336" s="36"/>
      <c r="W1336" s="36"/>
      <c r="X1336" s="36"/>
      <c r="Y1336" s="27"/>
      <c r="AA1336" s="9"/>
      <c r="AB1336" s="72"/>
    </row>
    <row r="1337" spans="6:28">
      <c r="F1337" s="48"/>
      <c r="G1337" s="32"/>
      <c r="H1337" s="68"/>
      <c r="I1337" s="36"/>
      <c r="J1337" s="27"/>
      <c r="K1337" s="27"/>
      <c r="L1337" s="27"/>
      <c r="M1337" s="27"/>
      <c r="N1337" s="27"/>
      <c r="O1337" s="64"/>
      <c r="P1337" s="64"/>
      <c r="Q1337" s="27"/>
      <c r="R1337" s="34"/>
      <c r="S1337" s="36"/>
      <c r="T1337" s="34"/>
      <c r="U1337" s="71"/>
      <c r="V1337" s="36"/>
      <c r="W1337" s="36"/>
      <c r="X1337" s="36"/>
      <c r="Y1337" s="27"/>
      <c r="AA1337" s="9"/>
      <c r="AB1337" s="72"/>
    </row>
    <row r="1338" spans="6:28">
      <c r="F1338" s="48"/>
      <c r="G1338" s="32"/>
      <c r="H1338" s="68"/>
      <c r="I1338" s="36"/>
      <c r="J1338" s="27"/>
      <c r="K1338" s="27"/>
      <c r="L1338" s="27"/>
      <c r="M1338" s="27"/>
      <c r="N1338" s="27"/>
      <c r="O1338" s="64"/>
      <c r="P1338" s="64"/>
      <c r="Q1338" s="27"/>
      <c r="R1338" s="34"/>
      <c r="S1338" s="36"/>
      <c r="T1338" s="34"/>
      <c r="U1338" s="71"/>
      <c r="V1338" s="36"/>
      <c r="W1338" s="36"/>
      <c r="X1338" s="36"/>
      <c r="Y1338" s="27"/>
      <c r="AA1338" s="9"/>
      <c r="AB1338" s="72"/>
    </row>
    <row r="1339" spans="6:28">
      <c r="F1339" s="48"/>
      <c r="G1339" s="32"/>
      <c r="H1339" s="68"/>
      <c r="I1339" s="36"/>
      <c r="J1339" s="27"/>
      <c r="K1339" s="27"/>
      <c r="L1339" s="27"/>
      <c r="M1339" s="27"/>
      <c r="N1339" s="27"/>
      <c r="O1339" s="64"/>
      <c r="P1339" s="64"/>
      <c r="Q1339" s="27"/>
      <c r="R1339" s="34"/>
      <c r="S1339" s="36"/>
      <c r="T1339" s="34"/>
      <c r="U1339" s="71"/>
      <c r="V1339" s="36"/>
      <c r="W1339" s="36"/>
      <c r="X1339" s="36"/>
      <c r="Y1339" s="27"/>
      <c r="AA1339" s="9"/>
      <c r="AB1339" s="72"/>
    </row>
    <row r="1340" spans="6:28">
      <c r="F1340" s="48"/>
      <c r="G1340" s="32"/>
      <c r="H1340" s="68"/>
      <c r="I1340" s="36"/>
      <c r="J1340" s="27"/>
      <c r="K1340" s="27"/>
      <c r="L1340" s="27"/>
      <c r="M1340" s="27"/>
      <c r="N1340" s="27"/>
      <c r="O1340" s="64"/>
      <c r="P1340" s="64"/>
      <c r="Q1340" s="27"/>
      <c r="R1340" s="34"/>
      <c r="S1340" s="36"/>
      <c r="T1340" s="34"/>
      <c r="U1340" s="71"/>
      <c r="V1340" s="36"/>
      <c r="W1340" s="36"/>
      <c r="X1340" s="36"/>
      <c r="Y1340" s="27"/>
      <c r="AA1340" s="9"/>
      <c r="AB1340" s="72"/>
    </row>
    <row r="1341" spans="6:28">
      <c r="F1341" s="48"/>
      <c r="G1341" s="32"/>
      <c r="H1341" s="68"/>
      <c r="I1341" s="36"/>
      <c r="J1341" s="27"/>
      <c r="K1341" s="27"/>
      <c r="L1341" s="27"/>
      <c r="M1341" s="27"/>
      <c r="N1341" s="27"/>
      <c r="O1341" s="64"/>
      <c r="P1341" s="64"/>
      <c r="Q1341" s="27"/>
      <c r="R1341" s="34"/>
      <c r="S1341" s="36"/>
      <c r="T1341" s="34"/>
      <c r="U1341" s="71"/>
      <c r="V1341" s="36"/>
      <c r="W1341" s="36"/>
      <c r="X1341" s="36"/>
      <c r="Y1341" s="27"/>
      <c r="AA1341" s="9"/>
      <c r="AB1341" s="72"/>
    </row>
    <row r="1342" spans="6:28">
      <c r="F1342" s="48"/>
      <c r="G1342" s="32"/>
      <c r="H1342" s="68"/>
      <c r="I1342" s="36"/>
      <c r="J1342" s="27"/>
      <c r="K1342" s="27"/>
      <c r="L1342" s="27"/>
      <c r="M1342" s="27"/>
      <c r="N1342" s="27"/>
      <c r="O1342" s="64"/>
      <c r="P1342" s="64"/>
      <c r="Q1342" s="27"/>
      <c r="R1342" s="34"/>
      <c r="S1342" s="36"/>
      <c r="T1342" s="34"/>
      <c r="U1342" s="71"/>
      <c r="V1342" s="36"/>
      <c r="W1342" s="36"/>
      <c r="X1342" s="36"/>
      <c r="Y1342" s="27"/>
      <c r="AA1342" s="9"/>
      <c r="AB1342" s="72"/>
    </row>
    <row r="1343" spans="6:28">
      <c r="F1343" s="48"/>
      <c r="G1343" s="32"/>
      <c r="H1343" s="68"/>
      <c r="I1343" s="36"/>
      <c r="J1343" s="27"/>
      <c r="K1343" s="27"/>
      <c r="L1343" s="27"/>
      <c r="M1343" s="27"/>
      <c r="N1343" s="27"/>
      <c r="O1343" s="64"/>
      <c r="P1343" s="64"/>
      <c r="Q1343" s="27"/>
      <c r="R1343" s="34"/>
      <c r="S1343" s="36"/>
      <c r="T1343" s="34"/>
      <c r="U1343" s="71"/>
      <c r="V1343" s="36"/>
      <c r="W1343" s="36"/>
      <c r="X1343" s="36"/>
      <c r="Y1343" s="27"/>
      <c r="AA1343" s="9"/>
      <c r="AB1343" s="72"/>
    </row>
    <row r="1344" spans="6:28">
      <c r="F1344" s="48"/>
      <c r="G1344" s="32"/>
      <c r="H1344" s="68"/>
      <c r="I1344" s="36"/>
      <c r="J1344" s="27"/>
      <c r="K1344" s="27"/>
      <c r="L1344" s="27"/>
      <c r="M1344" s="27"/>
      <c r="N1344" s="27"/>
      <c r="O1344" s="64"/>
      <c r="P1344" s="64"/>
      <c r="Q1344" s="27"/>
      <c r="R1344" s="34"/>
      <c r="S1344" s="36"/>
      <c r="T1344" s="34"/>
      <c r="U1344" s="71"/>
      <c r="V1344" s="36"/>
      <c r="W1344" s="36"/>
      <c r="X1344" s="36"/>
      <c r="Y1344" s="27"/>
      <c r="AA1344" s="9"/>
      <c r="AB1344" s="72"/>
    </row>
    <row r="1345" spans="6:28">
      <c r="F1345" s="48"/>
      <c r="G1345" s="32"/>
      <c r="H1345" s="68"/>
      <c r="I1345" s="36"/>
      <c r="J1345" s="27"/>
      <c r="K1345" s="27"/>
      <c r="L1345" s="27"/>
      <c r="M1345" s="27"/>
      <c r="N1345" s="27"/>
      <c r="O1345" s="64"/>
      <c r="P1345" s="64"/>
      <c r="Q1345" s="27"/>
      <c r="R1345" s="34"/>
      <c r="S1345" s="36"/>
      <c r="T1345" s="34"/>
      <c r="U1345" s="71"/>
      <c r="V1345" s="36"/>
      <c r="W1345" s="36"/>
      <c r="X1345" s="36"/>
      <c r="Y1345" s="27"/>
      <c r="AA1345" s="9"/>
      <c r="AB1345" s="72"/>
    </row>
    <row r="1346" spans="6:28">
      <c r="F1346" s="48"/>
      <c r="G1346" s="32"/>
      <c r="H1346" s="68"/>
      <c r="I1346" s="36"/>
      <c r="J1346" s="27"/>
      <c r="K1346" s="27"/>
      <c r="L1346" s="27"/>
      <c r="M1346" s="27"/>
      <c r="N1346" s="27"/>
      <c r="O1346" s="64"/>
      <c r="P1346" s="64"/>
      <c r="Q1346" s="27"/>
      <c r="R1346" s="34"/>
      <c r="S1346" s="36"/>
      <c r="T1346" s="34"/>
      <c r="U1346" s="71"/>
      <c r="V1346" s="36"/>
      <c r="W1346" s="36"/>
      <c r="X1346" s="36"/>
      <c r="Y1346" s="27"/>
      <c r="AA1346" s="9"/>
      <c r="AB1346" s="72"/>
    </row>
    <row r="1347" spans="6:28">
      <c r="F1347" s="48"/>
      <c r="G1347" s="32"/>
      <c r="H1347" s="68"/>
      <c r="I1347" s="36"/>
      <c r="J1347" s="27"/>
      <c r="K1347" s="27"/>
      <c r="L1347" s="27"/>
      <c r="M1347" s="27"/>
      <c r="N1347" s="27"/>
      <c r="O1347" s="64"/>
      <c r="P1347" s="64"/>
      <c r="Q1347" s="27"/>
      <c r="R1347" s="34"/>
      <c r="S1347" s="36"/>
      <c r="T1347" s="34"/>
      <c r="U1347" s="71"/>
      <c r="V1347" s="36"/>
      <c r="W1347" s="36"/>
      <c r="X1347" s="36"/>
      <c r="Y1347" s="27"/>
      <c r="AA1347" s="9"/>
      <c r="AB1347" s="72"/>
    </row>
    <row r="1348" spans="6:28">
      <c r="F1348" s="48"/>
      <c r="G1348" s="32"/>
      <c r="H1348" s="68"/>
      <c r="I1348" s="36"/>
      <c r="J1348" s="27"/>
      <c r="K1348" s="27"/>
      <c r="L1348" s="27"/>
      <c r="M1348" s="27"/>
      <c r="N1348" s="27"/>
      <c r="O1348" s="64"/>
      <c r="P1348" s="64"/>
      <c r="Q1348" s="27"/>
      <c r="R1348" s="34"/>
      <c r="S1348" s="36"/>
      <c r="T1348" s="34"/>
      <c r="U1348" s="71"/>
      <c r="V1348" s="36"/>
      <c r="W1348" s="36"/>
      <c r="X1348" s="36"/>
      <c r="Y1348" s="27"/>
      <c r="AA1348" s="9"/>
      <c r="AB1348" s="72"/>
    </row>
    <row r="1349" spans="6:28">
      <c r="F1349" s="48"/>
      <c r="G1349" s="32"/>
      <c r="H1349" s="68"/>
      <c r="I1349" s="36"/>
      <c r="J1349" s="27"/>
      <c r="K1349" s="27"/>
      <c r="L1349" s="27"/>
      <c r="M1349" s="27"/>
      <c r="N1349" s="27"/>
      <c r="O1349" s="64"/>
      <c r="P1349" s="64"/>
      <c r="Q1349" s="27"/>
      <c r="R1349" s="34"/>
      <c r="S1349" s="36"/>
      <c r="T1349" s="34"/>
      <c r="U1349" s="71"/>
      <c r="V1349" s="36"/>
      <c r="W1349" s="36"/>
      <c r="X1349" s="36"/>
      <c r="Y1349" s="27"/>
      <c r="AA1349" s="9"/>
      <c r="AB1349" s="72"/>
    </row>
    <row r="1350" spans="6:28">
      <c r="F1350" s="48"/>
      <c r="G1350" s="32"/>
      <c r="H1350" s="68"/>
      <c r="I1350" s="36"/>
      <c r="J1350" s="27"/>
      <c r="K1350" s="27"/>
      <c r="L1350" s="27"/>
      <c r="M1350" s="27"/>
      <c r="N1350" s="27"/>
      <c r="O1350" s="64"/>
      <c r="P1350" s="64"/>
      <c r="Q1350" s="27"/>
      <c r="R1350" s="34"/>
      <c r="S1350" s="36"/>
      <c r="T1350" s="34"/>
      <c r="U1350" s="71"/>
      <c r="V1350" s="36"/>
      <c r="W1350" s="36"/>
      <c r="X1350" s="36"/>
      <c r="Y1350" s="27"/>
      <c r="AA1350" s="9"/>
      <c r="AB1350" s="72"/>
    </row>
    <row r="1351" spans="6:28">
      <c r="F1351" s="48"/>
      <c r="G1351" s="32"/>
      <c r="H1351" s="68"/>
      <c r="I1351" s="36"/>
      <c r="J1351" s="27"/>
      <c r="K1351" s="27"/>
      <c r="L1351" s="27"/>
      <c r="M1351" s="27"/>
      <c r="N1351" s="27"/>
      <c r="O1351" s="64"/>
      <c r="P1351" s="64"/>
      <c r="Q1351" s="27"/>
      <c r="R1351" s="34"/>
      <c r="S1351" s="36"/>
      <c r="T1351" s="34"/>
      <c r="U1351" s="71"/>
      <c r="V1351" s="36"/>
      <c r="W1351" s="36"/>
      <c r="X1351" s="36"/>
      <c r="Y1351" s="27"/>
      <c r="AA1351" s="9"/>
      <c r="AB1351" s="72"/>
    </row>
    <row r="1352" spans="6:28">
      <c r="F1352" s="48"/>
      <c r="G1352" s="32"/>
      <c r="H1352" s="68"/>
      <c r="I1352" s="36"/>
      <c r="J1352" s="27"/>
      <c r="K1352" s="27"/>
      <c r="L1352" s="27"/>
      <c r="M1352" s="27"/>
      <c r="N1352" s="27"/>
      <c r="O1352" s="64"/>
      <c r="P1352" s="64"/>
      <c r="Q1352" s="27"/>
      <c r="R1352" s="34"/>
      <c r="S1352" s="36"/>
      <c r="T1352" s="34"/>
      <c r="U1352" s="71"/>
      <c r="V1352" s="36"/>
      <c r="W1352" s="36"/>
      <c r="X1352" s="36"/>
      <c r="Y1352" s="27"/>
      <c r="AA1352" s="9"/>
      <c r="AB1352" s="72"/>
    </row>
    <row r="1353" spans="6:28">
      <c r="F1353" s="48"/>
      <c r="G1353" s="32"/>
      <c r="H1353" s="68"/>
      <c r="I1353" s="36"/>
      <c r="J1353" s="27"/>
      <c r="K1353" s="27"/>
      <c r="L1353" s="27"/>
      <c r="M1353" s="27"/>
      <c r="N1353" s="27"/>
      <c r="O1353" s="64"/>
      <c r="P1353" s="64"/>
      <c r="Q1353" s="27"/>
      <c r="R1353" s="34"/>
      <c r="S1353" s="36"/>
      <c r="T1353" s="34"/>
      <c r="U1353" s="71"/>
      <c r="V1353" s="36"/>
      <c r="W1353" s="36"/>
      <c r="X1353" s="36"/>
      <c r="Y1353" s="27"/>
      <c r="AA1353" s="9"/>
      <c r="AB1353" s="72"/>
    </row>
    <row r="1354" spans="6:28">
      <c r="F1354" s="48"/>
      <c r="G1354" s="32"/>
      <c r="H1354" s="68"/>
      <c r="I1354" s="36"/>
      <c r="J1354" s="27"/>
      <c r="K1354" s="27"/>
      <c r="L1354" s="27"/>
      <c r="M1354" s="27"/>
      <c r="N1354" s="27"/>
      <c r="O1354" s="64"/>
      <c r="P1354" s="64"/>
      <c r="Q1354" s="27"/>
      <c r="R1354" s="34"/>
      <c r="S1354" s="36"/>
      <c r="T1354" s="34"/>
      <c r="U1354" s="71"/>
      <c r="V1354" s="36"/>
      <c r="W1354" s="36"/>
      <c r="X1354" s="36"/>
      <c r="Y1354" s="27"/>
      <c r="AA1354" s="9"/>
      <c r="AB1354" s="72"/>
    </row>
    <row r="1355" spans="6:28">
      <c r="F1355" s="48"/>
      <c r="G1355" s="32"/>
      <c r="H1355" s="68"/>
      <c r="I1355" s="36"/>
      <c r="J1355" s="27"/>
      <c r="K1355" s="27"/>
      <c r="L1355" s="27"/>
      <c r="M1355" s="27"/>
      <c r="N1355" s="27"/>
      <c r="O1355" s="64"/>
      <c r="P1355" s="64"/>
      <c r="Q1355" s="27"/>
      <c r="R1355" s="34"/>
      <c r="S1355" s="36"/>
      <c r="T1355" s="34"/>
      <c r="U1355" s="71"/>
      <c r="V1355" s="36"/>
      <c r="W1355" s="36"/>
      <c r="X1355" s="36"/>
      <c r="Y1355" s="27"/>
      <c r="AA1355" s="9"/>
      <c r="AB1355" s="72"/>
    </row>
    <row r="1356" spans="6:28">
      <c r="F1356" s="48"/>
      <c r="G1356" s="32"/>
      <c r="H1356" s="68"/>
      <c r="I1356" s="36"/>
      <c r="J1356" s="27"/>
      <c r="K1356" s="27"/>
      <c r="L1356" s="27"/>
      <c r="M1356" s="27"/>
      <c r="N1356" s="27"/>
      <c r="O1356" s="64"/>
      <c r="P1356" s="64"/>
      <c r="Q1356" s="27"/>
      <c r="R1356" s="34"/>
      <c r="S1356" s="36"/>
      <c r="T1356" s="34"/>
      <c r="U1356" s="71"/>
      <c r="V1356" s="36"/>
      <c r="W1356" s="36"/>
      <c r="X1356" s="36"/>
      <c r="Y1356" s="27"/>
      <c r="AA1356" s="9"/>
      <c r="AB1356" s="72"/>
    </row>
    <row r="1357" spans="6:28">
      <c r="F1357" s="48"/>
      <c r="G1357" s="32"/>
      <c r="H1357" s="68"/>
      <c r="I1357" s="36"/>
      <c r="J1357" s="27"/>
      <c r="K1357" s="27"/>
      <c r="L1357" s="27"/>
      <c r="M1357" s="27"/>
      <c r="N1357" s="27"/>
      <c r="O1357" s="64"/>
      <c r="P1357" s="64"/>
      <c r="Q1357" s="27"/>
      <c r="R1357" s="34"/>
      <c r="S1357" s="36"/>
      <c r="T1357" s="34"/>
      <c r="U1357" s="71"/>
      <c r="V1357" s="36"/>
      <c r="W1357" s="36"/>
      <c r="X1357" s="36"/>
      <c r="Y1357" s="27"/>
      <c r="AA1357" s="9"/>
      <c r="AB1357" s="72"/>
    </row>
    <row r="1358" spans="6:28">
      <c r="F1358" s="48"/>
      <c r="G1358" s="32"/>
      <c r="H1358" s="68"/>
      <c r="I1358" s="36"/>
      <c r="J1358" s="27"/>
      <c r="K1358" s="27"/>
      <c r="L1358" s="27"/>
      <c r="M1358" s="27"/>
      <c r="N1358" s="27"/>
      <c r="O1358" s="64"/>
      <c r="P1358" s="64"/>
      <c r="Q1358" s="27"/>
      <c r="R1358" s="34"/>
      <c r="S1358" s="36"/>
      <c r="T1358" s="34"/>
      <c r="U1358" s="71"/>
      <c r="V1358" s="36"/>
      <c r="W1358" s="36"/>
      <c r="X1358" s="36"/>
      <c r="Y1358" s="27"/>
      <c r="AA1358" s="9"/>
      <c r="AB1358" s="72"/>
    </row>
    <row r="1359" spans="6:28">
      <c r="F1359" s="48"/>
      <c r="G1359" s="32"/>
      <c r="H1359" s="68"/>
      <c r="I1359" s="36"/>
      <c r="J1359" s="27"/>
      <c r="K1359" s="27"/>
      <c r="L1359" s="27"/>
      <c r="M1359" s="27"/>
      <c r="N1359" s="27"/>
      <c r="O1359" s="64"/>
      <c r="P1359" s="64"/>
      <c r="Q1359" s="27"/>
      <c r="R1359" s="34"/>
      <c r="S1359" s="36"/>
      <c r="T1359" s="34"/>
      <c r="U1359" s="71"/>
      <c r="V1359" s="36"/>
      <c r="W1359" s="36"/>
      <c r="X1359" s="36"/>
      <c r="Y1359" s="27"/>
      <c r="AA1359" s="9"/>
      <c r="AB1359" s="72"/>
    </row>
    <row r="1360" spans="6:28">
      <c r="F1360" s="48"/>
      <c r="G1360" s="32"/>
      <c r="H1360" s="68"/>
      <c r="I1360" s="36"/>
      <c r="J1360" s="27"/>
      <c r="K1360" s="27"/>
      <c r="L1360" s="27"/>
      <c r="M1360" s="27"/>
      <c r="N1360" s="27"/>
      <c r="O1360" s="64"/>
      <c r="P1360" s="64"/>
      <c r="Q1360" s="27"/>
      <c r="R1360" s="34"/>
      <c r="S1360" s="36"/>
      <c r="T1360" s="34"/>
      <c r="U1360" s="71"/>
      <c r="V1360" s="36"/>
      <c r="W1360" s="36"/>
      <c r="X1360" s="36"/>
      <c r="Y1360" s="27"/>
      <c r="AA1360" s="9"/>
      <c r="AB1360" s="72"/>
    </row>
    <row r="1361" spans="6:28">
      <c r="F1361" s="48"/>
      <c r="G1361" s="32"/>
      <c r="H1361" s="68"/>
      <c r="I1361" s="36"/>
      <c r="J1361" s="27"/>
      <c r="K1361" s="27"/>
      <c r="L1361" s="27"/>
      <c r="M1361" s="27"/>
      <c r="N1361" s="27"/>
      <c r="O1361" s="64"/>
      <c r="P1361" s="64"/>
      <c r="Q1361" s="27"/>
      <c r="R1361" s="34"/>
      <c r="S1361" s="36"/>
      <c r="T1361" s="34"/>
      <c r="U1361" s="71"/>
      <c r="V1361" s="36"/>
      <c r="W1361" s="36"/>
      <c r="X1361" s="36"/>
      <c r="Y1361" s="27"/>
      <c r="AA1361" s="9"/>
      <c r="AB1361" s="72"/>
    </row>
    <row r="1362" spans="6:28">
      <c r="F1362" s="48"/>
      <c r="G1362" s="32"/>
      <c r="H1362" s="68"/>
      <c r="I1362" s="36"/>
      <c r="J1362" s="27"/>
      <c r="K1362" s="27"/>
      <c r="L1362" s="27"/>
      <c r="M1362" s="27"/>
      <c r="N1362" s="27"/>
      <c r="O1362" s="64"/>
      <c r="P1362" s="64"/>
      <c r="Q1362" s="27"/>
      <c r="R1362" s="34"/>
      <c r="S1362" s="36"/>
      <c r="T1362" s="34"/>
      <c r="U1362" s="71"/>
      <c r="V1362" s="36"/>
      <c r="W1362" s="36"/>
      <c r="X1362" s="36"/>
      <c r="Y1362" s="27"/>
      <c r="AA1362" s="9"/>
      <c r="AB1362" s="72"/>
    </row>
    <row r="1363" spans="6:28">
      <c r="F1363" s="48"/>
      <c r="G1363" s="32"/>
      <c r="H1363" s="68"/>
      <c r="I1363" s="36"/>
      <c r="J1363" s="27"/>
      <c r="K1363" s="27"/>
      <c r="L1363" s="27"/>
      <c r="M1363" s="27"/>
      <c r="N1363" s="27"/>
      <c r="O1363" s="64"/>
      <c r="P1363" s="64"/>
      <c r="Q1363" s="27"/>
      <c r="R1363" s="34"/>
      <c r="S1363" s="36"/>
      <c r="T1363" s="34"/>
      <c r="U1363" s="71"/>
      <c r="V1363" s="36"/>
      <c r="W1363" s="36"/>
      <c r="X1363" s="36"/>
      <c r="Y1363" s="27"/>
      <c r="AA1363" s="9"/>
      <c r="AB1363" s="72"/>
    </row>
    <row r="1364" spans="6:28">
      <c r="F1364" s="48"/>
      <c r="G1364" s="32"/>
      <c r="H1364" s="68"/>
      <c r="I1364" s="36"/>
      <c r="J1364" s="27"/>
      <c r="K1364" s="27"/>
      <c r="L1364" s="27"/>
      <c r="M1364" s="27"/>
      <c r="N1364" s="27"/>
      <c r="O1364" s="64"/>
      <c r="P1364" s="64"/>
      <c r="Q1364" s="27"/>
      <c r="R1364" s="34"/>
      <c r="S1364" s="36"/>
      <c r="T1364" s="34"/>
      <c r="U1364" s="71"/>
      <c r="V1364" s="36"/>
      <c r="W1364" s="36"/>
      <c r="X1364" s="36"/>
      <c r="Y1364" s="27"/>
      <c r="AA1364" s="9"/>
      <c r="AB1364" s="72"/>
    </row>
    <row r="1365" spans="6:28">
      <c r="F1365" s="48"/>
      <c r="G1365" s="32"/>
      <c r="H1365" s="68"/>
      <c r="I1365" s="36"/>
      <c r="J1365" s="27"/>
      <c r="K1365" s="27"/>
      <c r="L1365" s="27"/>
      <c r="M1365" s="27"/>
      <c r="N1365" s="27"/>
      <c r="O1365" s="64"/>
      <c r="P1365" s="64"/>
      <c r="Q1365" s="27"/>
      <c r="R1365" s="34"/>
      <c r="S1365" s="36"/>
      <c r="T1365" s="34"/>
      <c r="U1365" s="71"/>
      <c r="V1365" s="36"/>
      <c r="W1365" s="36"/>
      <c r="X1365" s="36"/>
      <c r="Y1365" s="27"/>
      <c r="AA1365" s="9"/>
      <c r="AB1365" s="72"/>
    </row>
    <row r="1366" spans="6:28">
      <c r="F1366" s="48"/>
      <c r="G1366" s="32"/>
      <c r="H1366" s="68"/>
      <c r="I1366" s="36"/>
      <c r="J1366" s="27"/>
      <c r="K1366" s="27"/>
      <c r="L1366" s="27"/>
      <c r="M1366" s="27"/>
      <c r="N1366" s="27"/>
      <c r="O1366" s="64"/>
      <c r="P1366" s="64"/>
      <c r="Q1366" s="27"/>
      <c r="R1366" s="34"/>
      <c r="S1366" s="36"/>
      <c r="T1366" s="34"/>
      <c r="U1366" s="71"/>
      <c r="V1366" s="36"/>
      <c r="W1366" s="36"/>
      <c r="X1366" s="36"/>
      <c r="Y1366" s="27"/>
      <c r="AA1366" s="9"/>
      <c r="AB1366" s="72"/>
    </row>
    <row r="1367" spans="6:28">
      <c r="F1367" s="48"/>
      <c r="G1367" s="32"/>
      <c r="H1367" s="68"/>
      <c r="I1367" s="36"/>
      <c r="J1367" s="27"/>
      <c r="K1367" s="27"/>
      <c r="L1367" s="27"/>
      <c r="M1367" s="27"/>
      <c r="N1367" s="27"/>
      <c r="O1367" s="64"/>
      <c r="P1367" s="64"/>
      <c r="Q1367" s="27"/>
      <c r="R1367" s="34"/>
      <c r="S1367" s="36"/>
      <c r="T1367" s="34"/>
      <c r="U1367" s="71"/>
      <c r="V1367" s="36"/>
      <c r="W1367" s="36"/>
      <c r="X1367" s="36"/>
      <c r="Y1367" s="27"/>
      <c r="AA1367" s="9"/>
      <c r="AB1367" s="72"/>
    </row>
    <row r="1368" spans="6:28">
      <c r="F1368" s="48"/>
      <c r="G1368" s="32"/>
      <c r="H1368" s="68"/>
      <c r="I1368" s="36"/>
      <c r="J1368" s="27"/>
      <c r="K1368" s="27"/>
      <c r="L1368" s="27"/>
      <c r="M1368" s="27"/>
      <c r="N1368" s="27"/>
      <c r="O1368" s="64"/>
      <c r="P1368" s="64"/>
      <c r="Q1368" s="27"/>
      <c r="R1368" s="34"/>
      <c r="S1368" s="36"/>
      <c r="T1368" s="34"/>
      <c r="U1368" s="71"/>
      <c r="V1368" s="36"/>
      <c r="W1368" s="36"/>
      <c r="X1368" s="36"/>
      <c r="Y1368" s="27"/>
      <c r="AA1368" s="9"/>
      <c r="AB1368" s="72"/>
    </row>
    <row r="1369" spans="6:28">
      <c r="F1369" s="48"/>
      <c r="G1369" s="32"/>
      <c r="H1369" s="68"/>
      <c r="I1369" s="36"/>
      <c r="J1369" s="27"/>
      <c r="K1369" s="27"/>
      <c r="L1369" s="27"/>
      <c r="M1369" s="27"/>
      <c r="N1369" s="27"/>
      <c r="O1369" s="64"/>
      <c r="P1369" s="64"/>
      <c r="Q1369" s="27"/>
      <c r="R1369" s="34"/>
      <c r="S1369" s="36"/>
      <c r="T1369" s="34"/>
      <c r="U1369" s="71"/>
      <c r="V1369" s="36"/>
      <c r="W1369" s="36"/>
      <c r="X1369" s="36"/>
      <c r="Y1369" s="27"/>
      <c r="AA1369" s="9"/>
      <c r="AB1369" s="72"/>
    </row>
    <row r="1370" spans="6:28">
      <c r="F1370" s="48"/>
      <c r="G1370" s="32"/>
      <c r="H1370" s="68"/>
      <c r="I1370" s="36"/>
      <c r="J1370" s="27"/>
      <c r="K1370" s="27"/>
      <c r="L1370" s="27"/>
      <c r="M1370" s="27"/>
      <c r="N1370" s="27"/>
      <c r="O1370" s="64"/>
      <c r="P1370" s="64"/>
      <c r="Q1370" s="27"/>
      <c r="R1370" s="34"/>
      <c r="S1370" s="36"/>
      <c r="T1370" s="34"/>
      <c r="U1370" s="71"/>
      <c r="V1370" s="36"/>
      <c r="W1370" s="36"/>
      <c r="X1370" s="36"/>
      <c r="Y1370" s="27"/>
      <c r="AA1370" s="9"/>
      <c r="AB1370" s="72"/>
    </row>
    <row r="1371" spans="6:28">
      <c r="F1371" s="48"/>
      <c r="G1371" s="32"/>
      <c r="H1371" s="68"/>
      <c r="I1371" s="36"/>
      <c r="J1371" s="27"/>
      <c r="K1371" s="27"/>
      <c r="L1371" s="27"/>
      <c r="M1371" s="27"/>
      <c r="N1371" s="27"/>
      <c r="O1371" s="64"/>
      <c r="P1371" s="64"/>
      <c r="Q1371" s="27"/>
      <c r="R1371" s="34"/>
      <c r="S1371" s="36"/>
      <c r="T1371" s="34"/>
      <c r="U1371" s="71"/>
      <c r="V1371" s="36"/>
      <c r="W1371" s="36"/>
      <c r="X1371" s="36"/>
      <c r="Y1371" s="27"/>
      <c r="AA1371" s="9"/>
      <c r="AB1371" s="72"/>
    </row>
    <row r="1372" spans="6:28">
      <c r="F1372" s="48"/>
      <c r="G1372" s="32"/>
      <c r="H1372" s="68"/>
      <c r="I1372" s="36"/>
      <c r="J1372" s="27"/>
      <c r="K1372" s="27"/>
      <c r="L1372" s="27"/>
      <c r="M1372" s="27"/>
      <c r="N1372" s="27"/>
      <c r="O1372" s="64"/>
      <c r="P1372" s="64"/>
      <c r="Q1372" s="27"/>
      <c r="R1372" s="34"/>
      <c r="S1372" s="36"/>
      <c r="T1372" s="34"/>
      <c r="U1372" s="71"/>
      <c r="V1372" s="36"/>
      <c r="W1372" s="36"/>
      <c r="X1372" s="36"/>
      <c r="Y1372" s="27"/>
      <c r="AA1372" s="9"/>
      <c r="AB1372" s="72"/>
    </row>
    <row r="1373" spans="6:28">
      <c r="F1373" s="48"/>
      <c r="G1373" s="32"/>
      <c r="H1373" s="68"/>
      <c r="I1373" s="36"/>
      <c r="J1373" s="27"/>
      <c r="K1373" s="27"/>
      <c r="L1373" s="27"/>
      <c r="M1373" s="27"/>
      <c r="N1373" s="27"/>
      <c r="O1373" s="64"/>
      <c r="P1373" s="64"/>
      <c r="Q1373" s="27"/>
      <c r="R1373" s="34"/>
      <c r="S1373" s="36"/>
      <c r="T1373" s="34"/>
      <c r="U1373" s="71"/>
      <c r="V1373" s="36"/>
      <c r="W1373" s="36"/>
      <c r="X1373" s="36"/>
      <c r="Y1373" s="27"/>
      <c r="AA1373" s="9"/>
      <c r="AB1373" s="72"/>
    </row>
    <row r="1374" spans="6:28">
      <c r="F1374" s="48"/>
      <c r="G1374" s="32"/>
      <c r="H1374" s="68"/>
      <c r="I1374" s="36"/>
      <c r="J1374" s="27"/>
      <c r="K1374" s="27"/>
      <c r="L1374" s="27"/>
      <c r="M1374" s="27"/>
      <c r="N1374" s="27"/>
      <c r="O1374" s="64"/>
      <c r="P1374" s="64"/>
      <c r="Q1374" s="27"/>
      <c r="R1374" s="34"/>
      <c r="S1374" s="36"/>
      <c r="T1374" s="34"/>
      <c r="U1374" s="71"/>
      <c r="V1374" s="36"/>
      <c r="W1374" s="36"/>
      <c r="X1374" s="36"/>
      <c r="Y1374" s="27"/>
      <c r="AA1374" s="9"/>
      <c r="AB1374" s="72"/>
    </row>
    <row r="1375" spans="6:28">
      <c r="F1375" s="48"/>
      <c r="G1375" s="32"/>
      <c r="H1375" s="68"/>
      <c r="I1375" s="36"/>
      <c r="J1375" s="27"/>
      <c r="K1375" s="27"/>
      <c r="L1375" s="27"/>
      <c r="M1375" s="27"/>
      <c r="N1375" s="27"/>
      <c r="O1375" s="64"/>
      <c r="P1375" s="64"/>
      <c r="Q1375" s="27"/>
      <c r="R1375" s="34"/>
      <c r="S1375" s="36"/>
      <c r="T1375" s="34"/>
      <c r="U1375" s="71"/>
      <c r="V1375" s="36"/>
      <c r="W1375" s="36"/>
      <c r="X1375" s="36"/>
      <c r="Y1375" s="27"/>
      <c r="AA1375" s="9"/>
      <c r="AB1375" s="72"/>
    </row>
    <row r="1376" spans="6:28">
      <c r="F1376" s="48"/>
      <c r="G1376" s="32"/>
      <c r="H1376" s="68"/>
      <c r="I1376" s="36"/>
      <c r="J1376" s="27"/>
      <c r="K1376" s="27"/>
      <c r="L1376" s="27"/>
      <c r="M1376" s="27"/>
      <c r="N1376" s="27"/>
      <c r="O1376" s="64"/>
      <c r="P1376" s="64"/>
      <c r="Q1376" s="27"/>
      <c r="R1376" s="34"/>
      <c r="S1376" s="36"/>
      <c r="T1376" s="34"/>
      <c r="U1376" s="71"/>
      <c r="V1376" s="36"/>
      <c r="W1376" s="36"/>
      <c r="X1376" s="36"/>
      <c r="Y1376" s="27"/>
      <c r="AA1376" s="9"/>
      <c r="AB1376" s="72"/>
    </row>
    <row r="1377" spans="6:28">
      <c r="F1377" s="48"/>
      <c r="G1377" s="32"/>
      <c r="H1377" s="68"/>
      <c r="I1377" s="36"/>
      <c r="J1377" s="27"/>
      <c r="K1377" s="27"/>
      <c r="L1377" s="27"/>
      <c r="M1377" s="27"/>
      <c r="N1377" s="27"/>
      <c r="O1377" s="64"/>
      <c r="P1377" s="64"/>
      <c r="Q1377" s="27"/>
      <c r="R1377" s="34"/>
      <c r="S1377" s="36"/>
      <c r="T1377" s="34"/>
      <c r="U1377" s="71"/>
      <c r="V1377" s="36"/>
      <c r="W1377" s="36"/>
      <c r="X1377" s="36"/>
      <c r="Y1377" s="27"/>
      <c r="AA1377" s="9"/>
      <c r="AB1377" s="72"/>
    </row>
    <row r="1378" spans="6:28">
      <c r="F1378" s="48"/>
      <c r="G1378" s="32"/>
      <c r="H1378" s="68"/>
      <c r="I1378" s="36"/>
      <c r="J1378" s="27"/>
      <c r="K1378" s="27"/>
      <c r="L1378" s="27"/>
      <c r="M1378" s="27"/>
      <c r="N1378" s="27"/>
      <c r="O1378" s="64"/>
      <c r="P1378" s="64"/>
      <c r="Q1378" s="27"/>
      <c r="R1378" s="34"/>
      <c r="S1378" s="36"/>
      <c r="T1378" s="34"/>
      <c r="U1378" s="71"/>
      <c r="V1378" s="36"/>
      <c r="W1378" s="36"/>
      <c r="X1378" s="36"/>
      <c r="Y1378" s="27"/>
      <c r="AA1378" s="9"/>
      <c r="AB1378" s="72"/>
    </row>
    <row r="1379" spans="6:28">
      <c r="F1379" s="48"/>
      <c r="G1379" s="32"/>
      <c r="H1379" s="68"/>
      <c r="I1379" s="36"/>
      <c r="J1379" s="27"/>
      <c r="K1379" s="27"/>
      <c r="L1379" s="27"/>
      <c r="M1379" s="27"/>
      <c r="N1379" s="27"/>
      <c r="O1379" s="64"/>
      <c r="P1379" s="64"/>
      <c r="Q1379" s="27"/>
      <c r="R1379" s="34"/>
      <c r="S1379" s="36"/>
      <c r="T1379" s="34"/>
      <c r="U1379" s="71"/>
      <c r="V1379" s="36"/>
      <c r="W1379" s="36"/>
      <c r="X1379" s="36"/>
      <c r="Y1379" s="27"/>
      <c r="AA1379" s="9"/>
      <c r="AB1379" s="72"/>
    </row>
    <row r="1380" spans="6:28">
      <c r="F1380" s="48"/>
      <c r="G1380" s="32"/>
      <c r="H1380" s="68"/>
      <c r="I1380" s="36"/>
      <c r="J1380" s="27"/>
      <c r="K1380" s="27"/>
      <c r="L1380" s="27"/>
      <c r="M1380" s="27"/>
      <c r="N1380" s="27"/>
      <c r="O1380" s="64"/>
      <c r="P1380" s="64"/>
      <c r="Q1380" s="27"/>
      <c r="R1380" s="34"/>
      <c r="S1380" s="36"/>
      <c r="T1380" s="34"/>
      <c r="U1380" s="71"/>
      <c r="V1380" s="36"/>
      <c r="W1380" s="36"/>
      <c r="X1380" s="36"/>
      <c r="Y1380" s="27"/>
      <c r="AA1380" s="9"/>
      <c r="AB1380" s="72"/>
    </row>
    <row r="1381" spans="6:28">
      <c r="F1381" s="48"/>
      <c r="G1381" s="32"/>
      <c r="H1381" s="68"/>
      <c r="I1381" s="36"/>
      <c r="J1381" s="27"/>
      <c r="K1381" s="27"/>
      <c r="L1381" s="27"/>
      <c r="M1381" s="27"/>
      <c r="N1381" s="27"/>
      <c r="O1381" s="64"/>
      <c r="P1381" s="64"/>
      <c r="Q1381" s="27"/>
      <c r="R1381" s="34"/>
      <c r="S1381" s="36"/>
      <c r="T1381" s="34"/>
      <c r="U1381" s="71"/>
      <c r="V1381" s="36"/>
      <c r="W1381" s="36"/>
      <c r="X1381" s="36"/>
      <c r="Y1381" s="27"/>
      <c r="AA1381" s="9"/>
      <c r="AB1381" s="72"/>
    </row>
    <row r="1382" spans="6:28">
      <c r="F1382" s="48"/>
      <c r="G1382" s="32"/>
      <c r="H1382" s="68"/>
      <c r="I1382" s="36"/>
      <c r="J1382" s="27"/>
      <c r="K1382" s="27"/>
      <c r="L1382" s="27"/>
      <c r="M1382" s="27"/>
      <c r="N1382" s="27"/>
      <c r="O1382" s="64"/>
      <c r="P1382" s="64"/>
      <c r="Q1382" s="27"/>
      <c r="R1382" s="34"/>
      <c r="S1382" s="36"/>
      <c r="T1382" s="34"/>
      <c r="U1382" s="71"/>
      <c r="V1382" s="36"/>
      <c r="W1382" s="36"/>
      <c r="X1382" s="36"/>
      <c r="Y1382" s="27"/>
      <c r="AA1382" s="9"/>
      <c r="AB1382" s="72"/>
    </row>
    <row r="1383" spans="6:28">
      <c r="F1383" s="48"/>
      <c r="G1383" s="32"/>
      <c r="H1383" s="68"/>
      <c r="I1383" s="36"/>
      <c r="J1383" s="27"/>
      <c r="K1383" s="27"/>
      <c r="L1383" s="27"/>
      <c r="M1383" s="27"/>
      <c r="N1383" s="27"/>
      <c r="O1383" s="64"/>
      <c r="P1383" s="64"/>
      <c r="Q1383" s="27"/>
      <c r="R1383" s="34"/>
      <c r="S1383" s="36"/>
      <c r="T1383" s="34"/>
      <c r="U1383" s="71"/>
      <c r="V1383" s="36"/>
      <c r="W1383" s="36"/>
      <c r="X1383" s="36"/>
      <c r="Y1383" s="27"/>
      <c r="AA1383" s="9"/>
      <c r="AB1383" s="72"/>
    </row>
    <row r="1384" spans="6:28">
      <c r="F1384" s="48"/>
      <c r="G1384" s="32"/>
      <c r="H1384" s="68"/>
      <c r="I1384" s="36"/>
      <c r="J1384" s="27"/>
      <c r="K1384" s="27"/>
      <c r="L1384" s="27"/>
      <c r="M1384" s="27"/>
      <c r="N1384" s="27"/>
      <c r="O1384" s="64"/>
      <c r="P1384" s="64"/>
      <c r="Q1384" s="27"/>
      <c r="R1384" s="34"/>
      <c r="S1384" s="36"/>
      <c r="T1384" s="34"/>
      <c r="U1384" s="71"/>
      <c r="V1384" s="36"/>
      <c r="W1384" s="36"/>
      <c r="X1384" s="36"/>
      <c r="Y1384" s="27"/>
      <c r="AA1384" s="9"/>
      <c r="AB1384" s="72"/>
    </row>
    <row r="1385" spans="6:28">
      <c r="F1385" s="48"/>
      <c r="G1385" s="32"/>
      <c r="H1385" s="68"/>
      <c r="I1385" s="36"/>
      <c r="J1385" s="27"/>
      <c r="K1385" s="27"/>
      <c r="L1385" s="27"/>
      <c r="M1385" s="27"/>
      <c r="N1385" s="27"/>
      <c r="O1385" s="64"/>
      <c r="P1385" s="64"/>
      <c r="Q1385" s="27"/>
      <c r="R1385" s="34"/>
      <c r="S1385" s="36"/>
      <c r="T1385" s="34"/>
      <c r="U1385" s="71"/>
      <c r="V1385" s="36"/>
      <c r="W1385" s="36"/>
      <c r="X1385" s="36"/>
      <c r="Y1385" s="27"/>
      <c r="AA1385" s="9"/>
      <c r="AB1385" s="72"/>
    </row>
    <row r="1386" spans="6:28">
      <c r="F1386" s="48"/>
      <c r="G1386" s="32"/>
      <c r="H1386" s="68"/>
      <c r="I1386" s="36"/>
      <c r="J1386" s="27"/>
      <c r="K1386" s="27"/>
      <c r="L1386" s="27"/>
      <c r="M1386" s="27"/>
      <c r="N1386" s="27"/>
      <c r="O1386" s="64"/>
      <c r="P1386" s="64"/>
      <c r="Q1386" s="27"/>
      <c r="R1386" s="34"/>
      <c r="S1386" s="36"/>
      <c r="T1386" s="34"/>
      <c r="U1386" s="71"/>
      <c r="V1386" s="36"/>
      <c r="W1386" s="36"/>
      <c r="X1386" s="36"/>
      <c r="Y1386" s="27"/>
      <c r="AA1386" s="9"/>
      <c r="AB1386" s="72"/>
    </row>
    <row r="1387" spans="6:28">
      <c r="F1387" s="48"/>
      <c r="G1387" s="32"/>
      <c r="H1387" s="68"/>
      <c r="I1387" s="36"/>
      <c r="J1387" s="27"/>
      <c r="K1387" s="27"/>
      <c r="L1387" s="27"/>
      <c r="M1387" s="27"/>
      <c r="N1387" s="27"/>
      <c r="O1387" s="64"/>
      <c r="P1387" s="64"/>
      <c r="Q1387" s="27"/>
      <c r="R1387" s="34"/>
      <c r="S1387" s="36"/>
      <c r="T1387" s="34"/>
      <c r="U1387" s="71"/>
      <c r="V1387" s="36"/>
      <c r="W1387" s="36"/>
      <c r="X1387" s="36"/>
      <c r="Y1387" s="27"/>
      <c r="AA1387" s="9"/>
      <c r="AB1387" s="72"/>
    </row>
    <row r="1388" spans="6:28">
      <c r="F1388" s="48"/>
      <c r="G1388" s="32"/>
      <c r="H1388" s="68"/>
      <c r="I1388" s="36"/>
      <c r="J1388" s="27"/>
      <c r="K1388" s="27"/>
      <c r="L1388" s="27"/>
      <c r="M1388" s="27"/>
      <c r="N1388" s="27"/>
      <c r="O1388" s="64"/>
      <c r="P1388" s="64"/>
      <c r="Q1388" s="27"/>
      <c r="R1388" s="34"/>
      <c r="S1388" s="36"/>
      <c r="T1388" s="34"/>
      <c r="U1388" s="71"/>
      <c r="V1388" s="36"/>
      <c r="W1388" s="36"/>
      <c r="X1388" s="36"/>
      <c r="Y1388" s="27"/>
      <c r="AA1388" s="9"/>
      <c r="AB1388" s="72"/>
    </row>
    <row r="1389" spans="6:28">
      <c r="F1389" s="48"/>
      <c r="G1389" s="32"/>
      <c r="H1389" s="68"/>
      <c r="I1389" s="36"/>
      <c r="J1389" s="27"/>
      <c r="K1389" s="27"/>
      <c r="L1389" s="27"/>
      <c r="M1389" s="27"/>
      <c r="N1389" s="27"/>
      <c r="O1389" s="64"/>
      <c r="P1389" s="64"/>
      <c r="Q1389" s="27"/>
      <c r="R1389" s="34"/>
      <c r="S1389" s="36"/>
      <c r="T1389" s="34"/>
      <c r="U1389" s="71"/>
      <c r="V1389" s="36"/>
      <c r="W1389" s="36"/>
      <c r="X1389" s="36"/>
      <c r="Y1389" s="27"/>
      <c r="AA1389" s="9"/>
      <c r="AB1389" s="72"/>
    </row>
    <row r="1390" spans="6:28">
      <c r="F1390" s="48"/>
      <c r="G1390" s="32"/>
      <c r="H1390" s="68"/>
      <c r="I1390" s="36"/>
      <c r="J1390" s="27"/>
      <c r="K1390" s="27"/>
      <c r="L1390" s="27"/>
      <c r="M1390" s="27"/>
      <c r="N1390" s="27"/>
      <c r="O1390" s="64"/>
      <c r="P1390" s="64"/>
      <c r="Q1390" s="27"/>
      <c r="R1390" s="34"/>
      <c r="S1390" s="36"/>
      <c r="T1390" s="34"/>
      <c r="U1390" s="71"/>
      <c r="V1390" s="36"/>
      <c r="W1390" s="36"/>
      <c r="X1390" s="36"/>
      <c r="Y1390" s="27"/>
      <c r="AA1390" s="9"/>
      <c r="AB1390" s="72"/>
    </row>
    <row r="1391" spans="6:28">
      <c r="F1391" s="48"/>
      <c r="G1391" s="32"/>
      <c r="H1391" s="68"/>
      <c r="I1391" s="36"/>
      <c r="J1391" s="27"/>
      <c r="K1391" s="27"/>
      <c r="L1391" s="27"/>
      <c r="M1391" s="27"/>
      <c r="N1391" s="27"/>
      <c r="O1391" s="64"/>
      <c r="P1391" s="64"/>
      <c r="Q1391" s="27"/>
      <c r="R1391" s="34"/>
      <c r="S1391" s="36"/>
      <c r="T1391" s="34"/>
      <c r="U1391" s="71"/>
      <c r="V1391" s="36"/>
      <c r="W1391" s="36"/>
      <c r="X1391" s="36"/>
      <c r="Y1391" s="27"/>
      <c r="AA1391" s="9"/>
      <c r="AB1391" s="72"/>
    </row>
    <row r="1392" spans="6:28">
      <c r="F1392" s="48"/>
      <c r="G1392" s="32"/>
      <c r="H1392" s="68"/>
      <c r="I1392" s="36"/>
      <c r="J1392" s="27"/>
      <c r="K1392" s="27"/>
      <c r="L1392" s="27"/>
      <c r="M1392" s="27"/>
      <c r="N1392" s="27"/>
      <c r="O1392" s="64"/>
      <c r="P1392" s="64"/>
      <c r="Q1392" s="27"/>
      <c r="R1392" s="34"/>
      <c r="S1392" s="36"/>
      <c r="T1392" s="34"/>
      <c r="U1392" s="71"/>
      <c r="V1392" s="36"/>
      <c r="W1392" s="36"/>
      <c r="X1392" s="36"/>
      <c r="Y1392" s="27"/>
      <c r="AA1392" s="9"/>
      <c r="AB1392" s="72"/>
    </row>
    <row r="1393" spans="6:28">
      <c r="F1393" s="48"/>
      <c r="G1393" s="32"/>
      <c r="H1393" s="68"/>
      <c r="I1393" s="36"/>
      <c r="J1393" s="27"/>
      <c r="K1393" s="27"/>
      <c r="L1393" s="27"/>
      <c r="M1393" s="27"/>
      <c r="N1393" s="27"/>
      <c r="O1393" s="64"/>
      <c r="P1393" s="64"/>
      <c r="Q1393" s="27"/>
      <c r="R1393" s="34"/>
      <c r="S1393" s="36"/>
      <c r="T1393" s="34"/>
      <c r="U1393" s="71"/>
      <c r="V1393" s="36"/>
      <c r="W1393" s="36"/>
      <c r="X1393" s="36"/>
      <c r="Y1393" s="27"/>
      <c r="AA1393" s="9"/>
      <c r="AB1393" s="72"/>
    </row>
    <row r="1394" spans="6:28">
      <c r="F1394" s="48"/>
      <c r="G1394" s="32"/>
      <c r="H1394" s="68"/>
      <c r="I1394" s="36"/>
      <c r="J1394" s="27"/>
      <c r="K1394" s="27"/>
      <c r="L1394" s="27"/>
      <c r="M1394" s="27"/>
      <c r="N1394" s="27"/>
      <c r="O1394" s="64"/>
      <c r="P1394" s="64"/>
      <c r="Q1394" s="27"/>
      <c r="R1394" s="34"/>
      <c r="S1394" s="36"/>
      <c r="T1394" s="34"/>
      <c r="U1394" s="71"/>
      <c r="V1394" s="36"/>
      <c r="W1394" s="36"/>
      <c r="X1394" s="36"/>
      <c r="Y1394" s="27"/>
      <c r="AA1394" s="9"/>
      <c r="AB1394" s="72"/>
    </row>
    <row r="1395" spans="6:28">
      <c r="F1395" s="48"/>
      <c r="G1395" s="32"/>
      <c r="H1395" s="68"/>
      <c r="I1395" s="36"/>
      <c r="J1395" s="27"/>
      <c r="K1395" s="27"/>
      <c r="L1395" s="27"/>
      <c r="M1395" s="27"/>
      <c r="N1395" s="27"/>
      <c r="O1395" s="64"/>
      <c r="P1395" s="64"/>
      <c r="Q1395" s="27"/>
      <c r="R1395" s="34"/>
      <c r="S1395" s="36"/>
      <c r="T1395" s="34"/>
      <c r="U1395" s="71"/>
      <c r="V1395" s="36"/>
      <c r="W1395" s="36"/>
      <c r="X1395" s="36"/>
      <c r="Y1395" s="27"/>
      <c r="AA1395" s="9"/>
      <c r="AB1395" s="72"/>
    </row>
  </sheetData>
  <phoneticPr fontId="2" type="noConversion"/>
  <dataValidations count="2">
    <dataValidation type="list" allowBlank="1" showInputMessage="1" showErrorMessage="1" sqref="F12">
      <formula1>"China 1993,A2000/AA"</formula1>
    </dataValidation>
    <dataValidation type="list" allowBlank="1" showInputMessage="1" showErrorMessage="1" sqref="D13 E12">
      <formula1>"China 1993,A2000/ModG"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2003"/>
  <sheetViews>
    <sheetView topLeftCell="A1981" workbookViewId="0">
      <selection activeCell="O1997" sqref="O1997"/>
    </sheetView>
  </sheetViews>
  <sheetFormatPr defaultRowHeight="14.25"/>
  <cols>
    <col min="2" max="2" width="10.125" customWidth="1"/>
    <col min="5" max="5" width="12" customWidth="1"/>
    <col min="6" max="6" width="12.375" customWidth="1"/>
  </cols>
  <sheetData>
    <row r="1" spans="1:6">
      <c r="A1" s="119">
        <v>1</v>
      </c>
      <c r="B1" s="119">
        <v>0.33333333333333331</v>
      </c>
      <c r="C1">
        <v>29</v>
      </c>
      <c r="D1" s="120" t="s">
        <v>74</v>
      </c>
      <c r="E1" s="120" t="s">
        <v>75</v>
      </c>
      <c r="F1" s="120" t="s">
        <v>76</v>
      </c>
    </row>
    <row r="2" spans="1:6">
      <c r="A2" s="119">
        <v>2</v>
      </c>
      <c r="B2" s="119">
        <v>0.66666666666666663</v>
      </c>
      <c r="C2">
        <v>48</v>
      </c>
      <c r="D2" s="121">
        <v>0</v>
      </c>
      <c r="E2" s="121">
        <f>EXP(-0.00046*D2^2)</f>
        <v>1</v>
      </c>
      <c r="F2" s="121">
        <f>1-E2</f>
        <v>0</v>
      </c>
    </row>
    <row r="3" spans="1:6">
      <c r="A3" s="119">
        <v>3</v>
      </c>
      <c r="B3" s="119">
        <v>0.1111111111111111</v>
      </c>
      <c r="C3">
        <v>16</v>
      </c>
      <c r="D3" s="121">
        <v>1</v>
      </c>
      <c r="E3" s="121">
        <f t="shared" ref="E3:E66" si="0">EXP(-0.00046*D3^2)</f>
        <v>0.99954010578377916</v>
      </c>
      <c r="F3" s="121">
        <f t="shared" ref="F3:F66" si="1">1-E3</f>
        <v>4.5989421622083526E-4</v>
      </c>
    </row>
    <row r="4" spans="1:6">
      <c r="A4" s="119">
        <v>4</v>
      </c>
      <c r="B4" s="119">
        <v>0.44444444444444442</v>
      </c>
      <c r="C4">
        <v>35</v>
      </c>
      <c r="D4" s="121">
        <v>2</v>
      </c>
      <c r="E4" s="121">
        <f t="shared" si="0"/>
        <v>0.9981616917622268</v>
      </c>
      <c r="F4" s="121">
        <f t="shared" si="1"/>
        <v>1.8383082377732007E-3</v>
      </c>
    </row>
    <row r="5" spans="1:6">
      <c r="A5" s="119">
        <v>5</v>
      </c>
      <c r="B5" s="119">
        <v>0.77777777777777768</v>
      </c>
      <c r="C5">
        <v>57</v>
      </c>
      <c r="D5" s="121">
        <v>3</v>
      </c>
      <c r="E5" s="121">
        <f t="shared" si="0"/>
        <v>0.99586855798590612</v>
      </c>
      <c r="F5" s="121">
        <f t="shared" si="1"/>
        <v>4.1314420140938779E-3</v>
      </c>
    </row>
    <row r="6" spans="1:6">
      <c r="A6" s="119">
        <v>6</v>
      </c>
      <c r="B6" s="119">
        <v>0.22222222222222221</v>
      </c>
      <c r="C6">
        <v>23</v>
      </c>
      <c r="D6" s="121">
        <v>4</v>
      </c>
      <c r="E6" s="121">
        <f t="shared" si="0"/>
        <v>0.99266701847404193</v>
      </c>
      <c r="F6" s="121">
        <f t="shared" si="1"/>
        <v>7.3329815259580711E-3</v>
      </c>
    </row>
    <row r="7" spans="1:6">
      <c r="A7" s="119">
        <v>7</v>
      </c>
      <c r="B7" s="119">
        <v>0.55555555555555558</v>
      </c>
      <c r="C7">
        <v>41</v>
      </c>
      <c r="D7" s="121">
        <v>5</v>
      </c>
      <c r="E7" s="121">
        <f t="shared" si="0"/>
        <v>0.98856587224791304</v>
      </c>
      <c r="F7" s="121">
        <f t="shared" si="1"/>
        <v>1.1434127752086964E-2</v>
      </c>
    </row>
    <row r="8" spans="1:6">
      <c r="A8" s="119">
        <v>8</v>
      </c>
      <c r="B8" s="119">
        <v>0.88888888888888884</v>
      </c>
      <c r="C8">
        <v>69</v>
      </c>
      <c r="D8" s="121">
        <v>6</v>
      </c>
      <c r="E8" s="121">
        <f t="shared" si="0"/>
        <v>0.98357636303841722</v>
      </c>
      <c r="F8" s="121">
        <f t="shared" si="1"/>
        <v>1.6423636961582777E-2</v>
      </c>
    </row>
    <row r="9" spans="1:6">
      <c r="A9" s="119">
        <v>9</v>
      </c>
      <c r="B9" s="119">
        <v>3.7037037037037035E-2</v>
      </c>
      <c r="C9">
        <v>9</v>
      </c>
      <c r="D9" s="121">
        <v>7</v>
      </c>
      <c r="E9" s="121">
        <f t="shared" si="0"/>
        <v>0.97771212792603923</v>
      </c>
      <c r="F9" s="121">
        <f t="shared" si="1"/>
        <v>2.2287872073960768E-2</v>
      </c>
    </row>
    <row r="10" spans="1:6">
      <c r="A10" s="119">
        <v>10</v>
      </c>
      <c r="B10" s="119">
        <v>0.37037037037037035</v>
      </c>
      <c r="C10">
        <v>31</v>
      </c>
      <c r="D10" s="121">
        <v>8</v>
      </c>
      <c r="E10" s="121">
        <f t="shared" si="0"/>
        <v>0.97098913524156327</v>
      </c>
      <c r="F10" s="121">
        <f t="shared" si="1"/>
        <v>2.9010864758436727E-2</v>
      </c>
    </row>
    <row r="11" spans="1:6">
      <c r="A11" s="119">
        <v>11</v>
      </c>
      <c r="B11" s="119">
        <v>0.70370370370370372</v>
      </c>
      <c r="C11">
        <v>51</v>
      </c>
      <c r="D11" s="121">
        <v>9</v>
      </c>
      <c r="E11" s="121">
        <f t="shared" si="0"/>
        <v>0.96342561212329336</v>
      </c>
      <c r="F11" s="121">
        <f t="shared" si="1"/>
        <v>3.6574387876706638E-2</v>
      </c>
    </row>
    <row r="12" spans="1:6">
      <c r="A12" s="119">
        <v>12</v>
      </c>
      <c r="B12" s="119">
        <v>0.14814814814814814</v>
      </c>
      <c r="C12">
        <v>18</v>
      </c>
      <c r="D12" s="121">
        <v>10</v>
      </c>
      <c r="E12" s="121">
        <f t="shared" si="0"/>
        <v>0.95504196219071469</v>
      </c>
      <c r="F12" s="121">
        <f t="shared" si="1"/>
        <v>4.4958037809285312E-2</v>
      </c>
    </row>
    <row r="13" spans="1:6">
      <c r="A13" s="119">
        <v>13</v>
      </c>
      <c r="B13" s="119">
        <v>0.48148148148148145</v>
      </c>
      <c r="C13">
        <v>37</v>
      </c>
      <c r="D13" s="121">
        <v>11</v>
      </c>
      <c r="E13" s="121">
        <f t="shared" si="0"/>
        <v>0.94586067385495554</v>
      </c>
      <c r="F13" s="121">
        <f t="shared" si="1"/>
        <v>5.4139326145044464E-2</v>
      </c>
    </row>
    <row r="14" spans="1:6">
      <c r="A14" s="119">
        <v>14</v>
      </c>
      <c r="B14" s="119">
        <v>0.81481481481481466</v>
      </c>
      <c r="C14">
        <v>60</v>
      </c>
      <c r="D14" s="121">
        <v>12</v>
      </c>
      <c r="E14" s="121">
        <f t="shared" si="0"/>
        <v>0.93590621984260103</v>
      </c>
      <c r="F14" s="121">
        <f t="shared" si="1"/>
        <v>6.4093780157398972E-2</v>
      </c>
    </row>
    <row r="15" spans="1:6">
      <c r="A15" s="119">
        <v>15</v>
      </c>
      <c r="B15" s="119">
        <v>0.25925925925925924</v>
      </c>
      <c r="C15">
        <v>25</v>
      </c>
      <c r="D15" s="121">
        <v>13</v>
      </c>
      <c r="E15" s="121">
        <f t="shared" si="0"/>
        <v>0.92520494856094793</v>
      </c>
      <c r="F15" s="121">
        <f t="shared" si="1"/>
        <v>7.4795051439052074E-2</v>
      </c>
    </row>
    <row r="16" spans="1:6">
      <c r="A16" s="119">
        <v>16</v>
      </c>
      <c r="B16" s="119">
        <v>0.59259259259259256</v>
      </c>
      <c r="C16">
        <v>44</v>
      </c>
      <c r="D16" s="121">
        <v>14</v>
      </c>
      <c r="E16" s="121">
        <f t="shared" si="0"/>
        <v>0.9137849679792801</v>
      </c>
      <c r="F16" s="121">
        <f t="shared" si="1"/>
        <v>8.6215032020719895E-2</v>
      </c>
    </row>
    <row r="17" spans="1:6">
      <c r="A17" s="119">
        <v>17</v>
      </c>
      <c r="B17" s="119">
        <v>0.92592592592592582</v>
      </c>
      <c r="C17">
        <v>75</v>
      </c>
      <c r="D17" s="121">
        <v>15</v>
      </c>
      <c r="E17" s="121">
        <f t="shared" si="0"/>
        <v>0.90167602274185543</v>
      </c>
      <c r="F17" s="121">
        <f t="shared" si="1"/>
        <v>9.8323977258144568E-2</v>
      </c>
    </row>
    <row r="18" spans="1:6">
      <c r="A18" s="119">
        <v>18</v>
      </c>
      <c r="B18" s="119">
        <v>7.407407407407407E-2</v>
      </c>
      <c r="C18">
        <v>12</v>
      </c>
      <c r="D18" s="121">
        <v>16</v>
      </c>
      <c r="E18" s="121">
        <f t="shared" si="0"/>
        <v>0.88890936526373887</v>
      </c>
      <c r="F18" s="121">
        <f t="shared" si="1"/>
        <v>0.11109063473626113</v>
      </c>
    </row>
    <row r="19" spans="1:6">
      <c r="A19" s="119">
        <v>19</v>
      </c>
      <c r="B19" s="119">
        <v>0.40740740740740738</v>
      </c>
      <c r="C19">
        <v>33</v>
      </c>
      <c r="D19" s="121">
        <v>17</v>
      </c>
      <c r="E19" s="121">
        <f t="shared" si="0"/>
        <v>0.87551762159016633</v>
      </c>
      <c r="F19" s="121">
        <f t="shared" si="1"/>
        <v>0.12448237840983367</v>
      </c>
    </row>
    <row r="20" spans="1:6">
      <c r="A20" s="119">
        <v>20</v>
      </c>
      <c r="B20" s="119">
        <v>0.7407407407407407</v>
      </c>
      <c r="C20">
        <v>54</v>
      </c>
      <c r="D20" s="121">
        <v>18</v>
      </c>
      <c r="E20" s="121">
        <f t="shared" si="0"/>
        <v>0.86153465282360842</v>
      </c>
      <c r="F20" s="121">
        <f t="shared" si="1"/>
        <v>0.13846534717639158</v>
      </c>
    </row>
    <row r="21" spans="1:6">
      <c r="A21" s="119">
        <v>21</v>
      </c>
      <c r="B21" s="119">
        <v>0.18518518518518517</v>
      </c>
      <c r="C21">
        <v>21</v>
      </c>
      <c r="D21" s="121">
        <v>19</v>
      </c>
      <c r="E21" s="121">
        <f t="shared" si="0"/>
        <v>0.84699541294000102</v>
      </c>
      <c r="F21" s="121">
        <f t="shared" si="1"/>
        <v>0.15300458705999898</v>
      </c>
    </row>
    <row r="22" spans="1:6">
      <c r="A22" s="119">
        <v>22</v>
      </c>
      <c r="B22" s="119">
        <v>0.51851851851851849</v>
      </c>
      <c r="C22">
        <v>39</v>
      </c>
      <c r="D22" s="121">
        <v>20</v>
      </c>
      <c r="E22" s="121">
        <f t="shared" si="0"/>
        <v>0.83193580382667176</v>
      </c>
      <c r="F22" s="121">
        <f t="shared" si="1"/>
        <v>0.16806419617332824</v>
      </c>
    </row>
    <row r="23" spans="1:6">
      <c r="A23" s="119">
        <v>23</v>
      </c>
      <c r="B23" s="119">
        <v>0.85185185185185175</v>
      </c>
      <c r="C23">
        <v>64</v>
      </c>
      <c r="D23" s="121">
        <v>21</v>
      </c>
      <c r="E23" s="121">
        <f t="shared" si="0"/>
        <v>0.81639252837930965</v>
      </c>
      <c r="F23" s="121">
        <f t="shared" si="1"/>
        <v>0.18360747162069035</v>
      </c>
    </row>
    <row r="24" spans="1:6">
      <c r="A24" s="119">
        <v>24</v>
      </c>
      <c r="B24" s="119">
        <v>0.29629629629629628</v>
      </c>
      <c r="C24">
        <v>27</v>
      </c>
      <c r="D24" s="121">
        <v>22</v>
      </c>
      <c r="E24" s="121">
        <f t="shared" si="0"/>
        <v>0.80040294249396471</v>
      </c>
      <c r="F24" s="121">
        <f t="shared" si="1"/>
        <v>0.19959705750603529</v>
      </c>
    </row>
    <row r="25" spans="1:6">
      <c r="A25" s="119">
        <v>25</v>
      </c>
      <c r="B25" s="119">
        <v>0.62962962962962965</v>
      </c>
      <c r="C25">
        <v>46</v>
      </c>
      <c r="D25" s="121">
        <v>23</v>
      </c>
      <c r="E25" s="121">
        <f t="shared" si="0"/>
        <v>0.78400490678263057</v>
      </c>
      <c r="F25" s="121">
        <f t="shared" si="1"/>
        <v>0.21599509321736943</v>
      </c>
    </row>
    <row r="26" spans="1:6">
      <c r="A26" s="119">
        <v>26</v>
      </c>
      <c r="B26" s="119">
        <v>0.96296296296296291</v>
      </c>
      <c r="C26">
        <v>84</v>
      </c>
      <c r="D26" s="121">
        <v>24</v>
      </c>
      <c r="E26" s="121">
        <f t="shared" si="0"/>
        <v>0.7672366388276276</v>
      </c>
      <c r="F26" s="121">
        <f t="shared" si="1"/>
        <v>0.2327633611723724</v>
      </c>
    </row>
    <row r="27" spans="1:6">
      <c r="A27" s="119">
        <v>27</v>
      </c>
      <c r="B27" s="119">
        <v>1.2345679012345678E-2</v>
      </c>
      <c r="C27">
        <v>5</v>
      </c>
      <c r="D27" s="121">
        <v>25</v>
      </c>
      <c r="E27" s="121">
        <f t="shared" si="0"/>
        <v>0.75013656677098184</v>
      </c>
      <c r="F27" s="121">
        <f t="shared" si="1"/>
        <v>0.24986343322901816</v>
      </c>
    </row>
    <row r="28" spans="1:6">
      <c r="A28" s="119">
        <v>28</v>
      </c>
      <c r="B28" s="119">
        <v>0.34567901234567899</v>
      </c>
      <c r="C28">
        <v>30</v>
      </c>
      <c r="D28" s="121">
        <v>26</v>
      </c>
      <c r="E28" s="121">
        <f t="shared" si="0"/>
        <v>0.73274318501054614</v>
      </c>
      <c r="F28" s="121">
        <f t="shared" si="1"/>
        <v>0.26725681498945386</v>
      </c>
    </row>
    <row r="29" spans="1:6">
      <c r="A29" s="119">
        <v>29</v>
      </c>
      <c r="B29" s="119">
        <v>0.67901234567901225</v>
      </c>
      <c r="C29">
        <v>49</v>
      </c>
      <c r="D29" s="121">
        <v>27</v>
      </c>
      <c r="E29" s="121">
        <f t="shared" si="0"/>
        <v>0.71509491274505588</v>
      </c>
      <c r="F29" s="121">
        <f t="shared" si="1"/>
        <v>0.28490508725494412</v>
      </c>
    </row>
    <row r="30" spans="1:6">
      <c r="A30" s="119">
        <v>30</v>
      </c>
      <c r="B30" s="119">
        <v>0.12345679012345678</v>
      </c>
      <c r="C30">
        <v>16</v>
      </c>
      <c r="D30" s="121">
        <v>28</v>
      </c>
      <c r="E30" s="121">
        <f t="shared" si="0"/>
        <v>0.69722995607598015</v>
      </c>
      <c r="F30" s="121">
        <f t="shared" si="1"/>
        <v>0.30277004392401985</v>
      </c>
    </row>
    <row r="31" spans="1:6">
      <c r="A31" s="119">
        <v>31</v>
      </c>
      <c r="B31" s="119">
        <v>0.4567901234567901</v>
      </c>
      <c r="C31">
        <v>36</v>
      </c>
      <c r="D31" s="121">
        <v>29</v>
      </c>
      <c r="E31" s="121">
        <f t="shared" si="0"/>
        <v>0.6791861743353298</v>
      </c>
      <c r="F31" s="121">
        <f t="shared" si="1"/>
        <v>0.3208138256646702</v>
      </c>
    </row>
    <row r="32" spans="1:6">
      <c r="A32" s="119">
        <v>32</v>
      </c>
      <c r="B32" s="119">
        <v>0.79012345679012341</v>
      </c>
      <c r="C32">
        <v>58</v>
      </c>
      <c r="D32" s="121">
        <v>30</v>
      </c>
      <c r="E32" s="121">
        <f t="shared" si="0"/>
        <v>0.66100095126591241</v>
      </c>
      <c r="F32" s="121">
        <f t="shared" si="1"/>
        <v>0.33899904873408759</v>
      </c>
    </row>
    <row r="33" spans="1:6">
      <c r="A33" s="119">
        <v>33</v>
      </c>
      <c r="B33" s="119">
        <v>0.23456790123456789</v>
      </c>
      <c r="C33">
        <v>24</v>
      </c>
      <c r="D33" s="121">
        <v>31</v>
      </c>
      <c r="E33" s="121">
        <f t="shared" si="0"/>
        <v>0.64271107163433006</v>
      </c>
      <c r="F33" s="121">
        <f t="shared" si="1"/>
        <v>0.35728892836566994</v>
      </c>
    </row>
    <row r="34" spans="1:6">
      <c r="A34" s="119">
        <v>34</v>
      </c>
      <c r="B34" s="119">
        <v>0.56790123456790131</v>
      </c>
      <c r="C34">
        <v>42</v>
      </c>
      <c r="D34" s="121">
        <v>32</v>
      </c>
      <c r="E34" s="121">
        <f t="shared" si="0"/>
        <v>0.62435260380777013</v>
      </c>
      <c r="F34" s="121">
        <f t="shared" si="1"/>
        <v>0.37564739619222987</v>
      </c>
    </row>
    <row r="35" spans="1:6">
      <c r="A35" s="119">
        <v>35</v>
      </c>
      <c r="B35" s="119">
        <v>0.90123456790123457</v>
      </c>
      <c r="C35">
        <v>70</v>
      </c>
      <c r="D35" s="121">
        <v>33</v>
      </c>
      <c r="E35" s="121">
        <f t="shared" si="0"/>
        <v>0.60596078877380621</v>
      </c>
      <c r="F35" s="121">
        <f t="shared" si="1"/>
        <v>0.39403921122619379</v>
      </c>
    </row>
    <row r="36" spans="1:6">
      <c r="A36" s="119">
        <v>36</v>
      </c>
      <c r="B36" s="119">
        <v>4.9382716049382713E-2</v>
      </c>
      <c r="C36">
        <v>10</v>
      </c>
      <c r="D36" s="121">
        <v>34</v>
      </c>
      <c r="E36" s="121">
        <f t="shared" si="0"/>
        <v>0.58756993602850982</v>
      </c>
      <c r="F36" s="121">
        <f t="shared" si="1"/>
        <v>0.41243006397149018</v>
      </c>
    </row>
    <row r="37" spans="1:6">
      <c r="A37" s="119">
        <v>37</v>
      </c>
      <c r="B37" s="119">
        <v>0.38271604938271603</v>
      </c>
      <c r="C37">
        <v>32</v>
      </c>
      <c r="D37" s="121">
        <v>35</v>
      </c>
      <c r="E37" s="121">
        <f t="shared" si="0"/>
        <v>0.56921332670266434</v>
      </c>
      <c r="F37" s="121">
        <f t="shared" si="1"/>
        <v>0.43078667329733566</v>
      </c>
    </row>
    <row r="38" spans="1:6">
      <c r="A38" s="119">
        <v>38</v>
      </c>
      <c r="B38" s="119">
        <v>0.71604938271604945</v>
      </c>
      <c r="C38">
        <v>52</v>
      </c>
      <c r="D38" s="121">
        <v>36</v>
      </c>
      <c r="E38" s="121">
        <f t="shared" si="0"/>
        <v>0.55092312423927037</v>
      </c>
      <c r="F38" s="121">
        <f t="shared" si="1"/>
        <v>0.44907687576072963</v>
      </c>
    </row>
    <row r="39" spans="1:6">
      <c r="A39" s="119">
        <v>39</v>
      </c>
      <c r="B39" s="119">
        <v>0.16049382716049382</v>
      </c>
      <c r="C39">
        <v>19</v>
      </c>
      <c r="D39" s="121">
        <v>37</v>
      </c>
      <c r="E39" s="121">
        <f t="shared" si="0"/>
        <v>0.53273029287832208</v>
      </c>
      <c r="F39" s="121">
        <f t="shared" si="1"/>
        <v>0.46726970712167792</v>
      </c>
    </row>
    <row r="40" spans="1:6">
      <c r="A40" s="119">
        <v>40</v>
      </c>
      <c r="B40" s="119">
        <v>0.49382716049382713</v>
      </c>
      <c r="C40">
        <v>38</v>
      </c>
      <c r="D40" s="121">
        <v>38</v>
      </c>
      <c r="E40" s="121">
        <f t="shared" si="0"/>
        <v>0.51466452414751651</v>
      </c>
      <c r="F40" s="121">
        <f t="shared" si="1"/>
        <v>0.48533547585248349</v>
      </c>
    </row>
    <row r="41" spans="1:6">
      <c r="A41" s="119">
        <v>41</v>
      </c>
      <c r="B41" s="119">
        <v>0.82716049382716039</v>
      </c>
      <c r="C41">
        <v>61</v>
      </c>
      <c r="D41" s="121">
        <v>39</v>
      </c>
      <c r="E41" s="121">
        <f t="shared" si="0"/>
        <v>0.49675417150058238</v>
      </c>
      <c r="F41" s="121">
        <f t="shared" si="1"/>
        <v>0.50324582849941768</v>
      </c>
    </row>
    <row r="42" spans="1:6">
      <c r="A42" s="119">
        <v>42</v>
      </c>
      <c r="B42" s="119">
        <v>0.27160493827160492</v>
      </c>
      <c r="C42">
        <v>26</v>
      </c>
      <c r="D42" s="121">
        <v>40</v>
      </c>
      <c r="E42" s="121">
        <f t="shared" si="0"/>
        <v>0.47902619318875111</v>
      </c>
      <c r="F42" s="121">
        <f t="shared" si="1"/>
        <v>0.52097380681124883</v>
      </c>
    </row>
    <row r="43" spans="1:6">
      <c r="A43" s="119">
        <v>43</v>
      </c>
      <c r="B43" s="119">
        <v>0.60493827160493829</v>
      </c>
      <c r="C43">
        <v>44</v>
      </c>
      <c r="D43" s="121">
        <v>41</v>
      </c>
      <c r="E43" s="121">
        <f t="shared" si="0"/>
        <v>0.46150610339596343</v>
      </c>
      <c r="F43" s="121">
        <f t="shared" si="1"/>
        <v>0.53849389660403657</v>
      </c>
    </row>
    <row r="44" spans="1:6">
      <c r="A44" s="119">
        <v>44</v>
      </c>
      <c r="B44" s="119">
        <v>0.93827160493827155</v>
      </c>
      <c r="C44">
        <v>77</v>
      </c>
      <c r="D44" s="121">
        <v>42</v>
      </c>
      <c r="E44" s="121">
        <f t="shared" si="0"/>
        <v>0.44421793161511297</v>
      </c>
      <c r="F44" s="121">
        <f t="shared" si="1"/>
        <v>0.55578206838488708</v>
      </c>
    </row>
    <row r="45" spans="1:6">
      <c r="A45" s="119">
        <v>45</v>
      </c>
      <c r="B45" s="119">
        <v>8.6419753086419748E-2</v>
      </c>
      <c r="C45">
        <v>14</v>
      </c>
      <c r="D45" s="121">
        <v>43</v>
      </c>
      <c r="E45" s="121">
        <f t="shared" si="0"/>
        <v>0.42718419019135584</v>
      </c>
      <c r="F45" s="121">
        <f t="shared" si="1"/>
        <v>0.57281580980864422</v>
      </c>
    </row>
    <row r="46" spans="1:6">
      <c r="A46" s="119">
        <v>46</v>
      </c>
      <c r="B46" s="119">
        <v>0.41975308641975306</v>
      </c>
      <c r="C46">
        <v>34</v>
      </c>
      <c r="D46" s="121">
        <v>44</v>
      </c>
      <c r="E46" s="121">
        <f t="shared" si="0"/>
        <v>0.41042584990960829</v>
      </c>
      <c r="F46" s="121">
        <f t="shared" si="1"/>
        <v>0.58957415009039171</v>
      </c>
    </row>
    <row r="47" spans="1:6">
      <c r="A47" s="119">
        <v>47</v>
      </c>
      <c r="B47" s="119">
        <v>0.75308641975308643</v>
      </c>
      <c r="C47">
        <v>55</v>
      </c>
      <c r="D47" s="121">
        <v>45</v>
      </c>
      <c r="E47" s="121">
        <f t="shared" si="0"/>
        <v>0.39396232345711463</v>
      </c>
      <c r="F47" s="121">
        <f t="shared" si="1"/>
        <v>0.60603767654288543</v>
      </c>
    </row>
    <row r="48" spans="1:6">
      <c r="A48" s="119">
        <v>48</v>
      </c>
      <c r="B48" s="119">
        <v>0.19753086419753085</v>
      </c>
      <c r="C48">
        <v>21</v>
      </c>
      <c r="D48" s="121">
        <v>46</v>
      </c>
      <c r="E48" s="121">
        <f t="shared" si="0"/>
        <v>0.37781145654868703</v>
      </c>
      <c r="F48" s="121">
        <f t="shared" si="1"/>
        <v>0.62218854345131303</v>
      </c>
    </row>
    <row r="49" spans="1:6">
      <c r="A49" s="119">
        <v>49</v>
      </c>
      <c r="B49" s="119">
        <v>0.53086419753086411</v>
      </c>
      <c r="C49">
        <v>40</v>
      </c>
      <c r="D49" s="121">
        <v>47</v>
      </c>
      <c r="E49" s="121">
        <f t="shared" si="0"/>
        <v>0.36198952646211985</v>
      </c>
      <c r="F49" s="121">
        <f t="shared" si="1"/>
        <v>0.63801047353788021</v>
      </c>
    </row>
    <row r="50" spans="1:6">
      <c r="A50" s="119">
        <v>50</v>
      </c>
      <c r="B50" s="119">
        <v>0.86419753086419737</v>
      </c>
      <c r="C50">
        <v>65</v>
      </c>
      <c r="D50" s="121">
        <v>48</v>
      </c>
      <c r="E50" s="121">
        <f t="shared" si="0"/>
        <v>0.34651124769458108</v>
      </c>
      <c r="F50" s="121">
        <f t="shared" si="1"/>
        <v>0.65348875230541892</v>
      </c>
    </row>
    <row r="51" spans="1:6">
      <c r="A51" s="119">
        <v>51</v>
      </c>
      <c r="B51" s="119">
        <v>0.30864197530864196</v>
      </c>
      <c r="C51">
        <v>28</v>
      </c>
      <c r="D51" s="121">
        <v>49</v>
      </c>
      <c r="E51" s="121">
        <f t="shared" si="0"/>
        <v>0.33138978441763178</v>
      </c>
      <c r="F51" s="121">
        <f t="shared" si="1"/>
        <v>0.66861021558236822</v>
      </c>
    </row>
    <row r="52" spans="1:6">
      <c r="A52" s="119">
        <v>52</v>
      </c>
      <c r="B52" s="119">
        <v>0.64197530864197527</v>
      </c>
      <c r="C52">
        <v>47</v>
      </c>
      <c r="D52" s="121">
        <v>50</v>
      </c>
      <c r="E52" s="121">
        <f t="shared" si="0"/>
        <v>0.31663676937905316</v>
      </c>
      <c r="F52" s="121">
        <f t="shared" si="1"/>
        <v>0.68336323062094684</v>
      </c>
    </row>
    <row r="53" spans="1:6">
      <c r="A53" s="119">
        <v>53</v>
      </c>
      <c r="B53" s="119">
        <v>0.97530864197530853</v>
      </c>
      <c r="C53">
        <v>89</v>
      </c>
      <c r="D53" s="121">
        <v>51</v>
      </c>
      <c r="E53" s="121">
        <f t="shared" si="0"/>
        <v>0.30226232887395926</v>
      </c>
      <c r="F53" s="121">
        <f t="shared" si="1"/>
        <v>0.69773767112604079</v>
      </c>
    </row>
    <row r="54" spans="1:6">
      <c r="A54" s="119">
        <v>54</v>
      </c>
      <c r="B54" s="119">
        <v>2.4691358024691357E-2</v>
      </c>
      <c r="C54">
        <v>7</v>
      </c>
      <c r="D54" s="121">
        <v>52</v>
      </c>
      <c r="E54" s="121">
        <f t="shared" si="0"/>
        <v>0.28827511338577427</v>
      </c>
      <c r="F54" s="121">
        <f t="shared" si="1"/>
        <v>0.71172488661422573</v>
      </c>
    </row>
    <row r="55" spans="1:6">
      <c r="A55" s="119">
        <v>55</v>
      </c>
      <c r="B55" s="119">
        <v>0.35802469135802467</v>
      </c>
      <c r="C55">
        <v>31</v>
      </c>
      <c r="D55" s="121">
        <v>53</v>
      </c>
      <c r="E55" s="121">
        <f t="shared" si="0"/>
        <v>0.27468233347959509</v>
      </c>
      <c r="F55" s="121">
        <f t="shared" si="1"/>
        <v>0.72531766652040486</v>
      </c>
    </row>
    <row r="56" spans="1:6">
      <c r="A56" s="119">
        <v>56</v>
      </c>
      <c r="B56" s="119">
        <v>0.69135802469135799</v>
      </c>
      <c r="C56">
        <v>50</v>
      </c>
      <c r="D56" s="121">
        <v>54</v>
      </c>
      <c r="E56" s="121">
        <f t="shared" si="0"/>
        <v>0.26148980051619147</v>
      </c>
      <c r="F56" s="121">
        <f t="shared" si="1"/>
        <v>0.73851019948380858</v>
      </c>
    </row>
    <row r="57" spans="1:6">
      <c r="A57" s="119">
        <v>57</v>
      </c>
      <c r="B57" s="119">
        <v>0.13580246913580246</v>
      </c>
      <c r="C57">
        <v>17</v>
      </c>
      <c r="D57" s="121">
        <v>55</v>
      </c>
      <c r="E57" s="121">
        <f t="shared" si="0"/>
        <v>0.24870197174438607</v>
      </c>
      <c r="F57" s="121">
        <f t="shared" si="1"/>
        <v>0.75129802825561387</v>
      </c>
    </row>
    <row r="58" spans="1:6">
      <c r="A58" s="119">
        <v>58</v>
      </c>
      <c r="B58" s="119">
        <v>0.46913580246913578</v>
      </c>
      <c r="C58">
        <v>37</v>
      </c>
      <c r="D58" s="121">
        <v>56</v>
      </c>
      <c r="E58" s="121">
        <f t="shared" si="0"/>
        <v>0.2363219993227009</v>
      </c>
      <c r="F58" s="121">
        <f t="shared" si="1"/>
        <v>0.76367800067729907</v>
      </c>
    </row>
    <row r="59" spans="1:6">
      <c r="A59" s="119">
        <v>59</v>
      </c>
      <c r="B59" s="119">
        <v>0.80246913580246904</v>
      </c>
      <c r="C59">
        <v>59</v>
      </c>
      <c r="D59" s="121">
        <v>57</v>
      </c>
      <c r="E59" s="121">
        <f t="shared" si="0"/>
        <v>0.22435178281785209</v>
      </c>
      <c r="F59" s="121">
        <f t="shared" si="1"/>
        <v>0.77564821718214794</v>
      </c>
    </row>
    <row r="60" spans="1:6">
      <c r="A60" s="119">
        <v>60</v>
      </c>
      <c r="B60" s="119">
        <v>0.24691358024691357</v>
      </c>
      <c r="C60">
        <v>24</v>
      </c>
      <c r="D60" s="121">
        <v>58</v>
      </c>
      <c r="E60" s="121">
        <f t="shared" si="0"/>
        <v>0.21279202472776851</v>
      </c>
      <c r="F60" s="121">
        <f t="shared" si="1"/>
        <v>0.78720797527223152</v>
      </c>
    </row>
    <row r="61" spans="1:6">
      <c r="A61" s="119">
        <v>61</v>
      </c>
      <c r="B61" s="119">
        <v>0.58024691358024694</v>
      </c>
      <c r="C61">
        <v>43</v>
      </c>
      <c r="D61" s="121">
        <v>59</v>
      </c>
      <c r="E61" s="121">
        <f t="shared" si="0"/>
        <v>0.20164228858014779</v>
      </c>
      <c r="F61" s="121">
        <f t="shared" si="1"/>
        <v>0.79835771141985223</v>
      </c>
    </row>
    <row r="62" spans="1:6">
      <c r="A62" s="119">
        <v>62</v>
      </c>
      <c r="B62" s="119">
        <v>0.9135802469135802</v>
      </c>
      <c r="C62">
        <v>72</v>
      </c>
      <c r="D62" s="121">
        <v>60</v>
      </c>
      <c r="E62" s="121">
        <f t="shared" si="0"/>
        <v>0.19090105916394629</v>
      </c>
      <c r="F62" s="121">
        <f t="shared" si="1"/>
        <v>0.80909894083605371</v>
      </c>
    </row>
    <row r="63" spans="1:6">
      <c r="A63" s="119">
        <v>63</v>
      </c>
      <c r="B63" s="119">
        <v>6.1728395061728392E-2</v>
      </c>
      <c r="C63">
        <v>11</v>
      </c>
      <c r="D63" s="121">
        <v>61</v>
      </c>
      <c r="E63" s="121">
        <f t="shared" si="0"/>
        <v>0.18056580446043499</v>
      </c>
      <c r="F63" s="121">
        <f t="shared" si="1"/>
        <v>0.81943419553956498</v>
      </c>
    </row>
    <row r="64" spans="1:6">
      <c r="A64" s="119">
        <v>64</v>
      </c>
      <c r="B64" s="119">
        <v>0.39506172839506171</v>
      </c>
      <c r="C64">
        <v>33</v>
      </c>
      <c r="D64" s="121">
        <v>62</v>
      </c>
      <c r="E64" s="121">
        <f t="shared" si="0"/>
        <v>0.1706330388523129</v>
      </c>
      <c r="F64" s="121">
        <f t="shared" si="1"/>
        <v>0.82936696114768704</v>
      </c>
    </row>
    <row r="65" spans="1:6">
      <c r="A65" s="119">
        <v>65</v>
      </c>
      <c r="B65" s="119">
        <v>0.72839506172839508</v>
      </c>
      <c r="C65">
        <v>53</v>
      </c>
      <c r="D65" s="121">
        <v>63</v>
      </c>
      <c r="E65" s="121">
        <f t="shared" si="0"/>
        <v>0.16109838720362546</v>
      </c>
      <c r="F65" s="121">
        <f t="shared" si="1"/>
        <v>0.83890161279637454</v>
      </c>
    </row>
    <row r="66" spans="1:6">
      <c r="A66" s="119">
        <v>66</v>
      </c>
      <c r="B66" s="119">
        <v>0.1728395061728395</v>
      </c>
      <c r="C66">
        <v>20</v>
      </c>
      <c r="D66" s="121">
        <v>64</v>
      </c>
      <c r="E66" s="121">
        <f t="shared" si="0"/>
        <v>0.15195664941964493</v>
      </c>
      <c r="F66" s="121">
        <f t="shared" si="1"/>
        <v>0.84804335058035507</v>
      </c>
    </row>
    <row r="67" spans="1:6">
      <c r="A67" s="119">
        <v>67</v>
      </c>
      <c r="B67" s="119">
        <v>0.50617283950617287</v>
      </c>
      <c r="C67">
        <v>39</v>
      </c>
      <c r="D67" s="121">
        <v>65</v>
      </c>
      <c r="E67" s="121">
        <f t="shared" ref="E67:E107" si="2">EXP(-0.00046*D67^2)</f>
        <v>0.14320186511418675</v>
      </c>
      <c r="F67" s="121">
        <f t="shared" ref="F67:F108" si="3">1-E67</f>
        <v>0.85679813488581325</v>
      </c>
    </row>
    <row r="68" spans="1:6">
      <c r="A68" s="119">
        <v>68</v>
      </c>
      <c r="B68" s="119">
        <v>0.83950617283950602</v>
      </c>
      <c r="C68">
        <v>63</v>
      </c>
      <c r="D68" s="121">
        <v>66</v>
      </c>
      <c r="E68" s="121">
        <f t="shared" si="2"/>
        <v>0.13482737803180794</v>
      </c>
      <c r="F68" s="121">
        <f t="shared" si="3"/>
        <v>0.86517262196819211</v>
      </c>
    </row>
    <row r="69" spans="1:6">
      <c r="A69" s="119">
        <v>69</v>
      </c>
      <c r="B69" s="119">
        <v>0.2839506172839506</v>
      </c>
      <c r="C69">
        <v>26</v>
      </c>
      <c r="D69" s="121">
        <v>67</v>
      </c>
      <c r="E69" s="121">
        <f t="shared" si="2"/>
        <v>0.12682589989370666</v>
      </c>
      <c r="F69" s="121">
        <f t="shared" si="3"/>
        <v>0.87317410010629337</v>
      </c>
    </row>
    <row r="70" spans="1:6">
      <c r="A70" s="119">
        <v>70</v>
      </c>
      <c r="B70" s="119">
        <v>0.61728395061728392</v>
      </c>
      <c r="C70">
        <v>45</v>
      </c>
      <c r="D70" s="121">
        <v>68</v>
      </c>
      <c r="E70" s="121">
        <f t="shared" si="2"/>
        <v>0.11918957335867106</v>
      </c>
      <c r="F70" s="121">
        <f t="shared" si="3"/>
        <v>0.88081042664132891</v>
      </c>
    </row>
    <row r="71" spans="1:6">
      <c r="A71" s="119">
        <v>71</v>
      </c>
      <c r="B71" s="119">
        <v>0.95061728395061718</v>
      </c>
      <c r="C71">
        <v>80</v>
      </c>
      <c r="D71" s="121">
        <v>69</v>
      </c>
      <c r="E71" s="121">
        <f t="shared" si="2"/>
        <v>0.11191003381385796</v>
      </c>
      <c r="F71" s="121">
        <f t="shared" si="3"/>
        <v>0.888089966186142</v>
      </c>
    </row>
    <row r="72" spans="1:6">
      <c r="A72" s="119">
        <v>72</v>
      </c>
      <c r="B72" s="119">
        <v>9.8765432098765427E-2</v>
      </c>
      <c r="C72">
        <v>15</v>
      </c>
      <c r="D72" s="121">
        <v>70</v>
      </c>
      <c r="E72" s="121">
        <f t="shared" si="2"/>
        <v>0.10497846973427834</v>
      </c>
      <c r="F72" s="121">
        <f t="shared" si="3"/>
        <v>0.89502153026572162</v>
      </c>
    </row>
    <row r="73" spans="1:6">
      <c r="A73" s="119">
        <v>73</v>
      </c>
      <c r="B73" s="119">
        <v>0.43209876543209874</v>
      </c>
      <c r="C73">
        <v>35</v>
      </c>
      <c r="D73" s="121">
        <v>71</v>
      </c>
      <c r="E73" s="121">
        <f t="shared" si="2"/>
        <v>9.8385681374399458E-2</v>
      </c>
      <c r="F73" s="121">
        <f t="shared" si="3"/>
        <v>0.90161431862560049</v>
      </c>
    </row>
    <row r="74" spans="1:6">
      <c r="A74" s="119">
        <v>74</v>
      </c>
      <c r="B74" s="119">
        <v>0.76543209876543206</v>
      </c>
      <c r="C74">
        <v>56</v>
      </c>
      <c r="D74" s="121">
        <v>72</v>
      </c>
      <c r="E74" s="121">
        <f t="shared" si="2"/>
        <v>9.2122137580011726E-2</v>
      </c>
      <c r="F74" s="121">
        <f t="shared" si="3"/>
        <v>0.90787786241998825</v>
      </c>
    </row>
    <row r="75" spans="1:6">
      <c r="A75" s="119">
        <v>75</v>
      </c>
      <c r="B75" s="119">
        <v>0.20987654320987653</v>
      </c>
      <c r="C75">
        <v>22</v>
      </c>
      <c r="D75" s="121">
        <v>73</v>
      </c>
      <c r="E75" s="121">
        <f t="shared" si="2"/>
        <v>8.6178030533249669E-2</v>
      </c>
      <c r="F75" s="121">
        <f t="shared" si="3"/>
        <v>0.91382196946675032</v>
      </c>
    </row>
    <row r="76" spans="1:6">
      <c r="A76" s="119">
        <v>76</v>
      </c>
      <c r="B76" s="119">
        <v>0.54320987654320985</v>
      </c>
      <c r="C76">
        <v>41</v>
      </c>
      <c r="D76" s="121">
        <v>74</v>
      </c>
      <c r="E76" s="121">
        <f t="shared" si="2"/>
        <v>8.054332826819556E-2</v>
      </c>
      <c r="F76" s="121">
        <f t="shared" si="3"/>
        <v>0.91945667173180445</v>
      </c>
    </row>
    <row r="77" spans="1:6">
      <c r="A77" s="119">
        <v>77</v>
      </c>
      <c r="B77" s="119">
        <v>0.87654320987654311</v>
      </c>
      <c r="C77">
        <v>67</v>
      </c>
      <c r="D77" s="121">
        <v>75</v>
      </c>
      <c r="E77" s="121">
        <f t="shared" si="2"/>
        <v>7.5207824818652402E-2</v>
      </c>
      <c r="F77" s="121">
        <f t="shared" si="3"/>
        <v>0.9247921751813476</v>
      </c>
    </row>
    <row r="78" spans="1:6">
      <c r="A78" s="119">
        <v>78</v>
      </c>
      <c r="B78" s="119">
        <v>0.32098765432098764</v>
      </c>
      <c r="C78">
        <v>29</v>
      </c>
      <c r="D78" s="121">
        <v>76</v>
      </c>
      <c r="E78" s="121">
        <f t="shared" si="2"/>
        <v>7.0161187883277507E-2</v>
      </c>
      <c r="F78" s="121">
        <f t="shared" si="3"/>
        <v>0.92983881211672248</v>
      </c>
    </row>
    <row r="79" spans="1:6">
      <c r="A79" s="119">
        <v>79</v>
      </c>
      <c r="B79" s="119">
        <v>0.65432098765432101</v>
      </c>
      <c r="C79">
        <v>48</v>
      </c>
      <c r="D79" s="121">
        <v>77</v>
      </c>
      <c r="E79" s="121">
        <f t="shared" si="2"/>
        <v>6.5393003916166939E-2</v>
      </c>
      <c r="F79" s="121">
        <f t="shared" si="3"/>
        <v>0.93460699608383302</v>
      </c>
    </row>
    <row r="80" spans="1:6">
      <c r="A80" s="119">
        <v>80</v>
      </c>
      <c r="B80" s="119">
        <v>0.98765432098765427</v>
      </c>
      <c r="C80">
        <v>97</v>
      </c>
      <c r="D80" s="121">
        <v>78</v>
      </c>
      <c r="E80" s="121">
        <f t="shared" si="2"/>
        <v>6.0892820573037007E-2</v>
      </c>
      <c r="F80" s="121">
        <f t="shared" si="3"/>
        <v>0.93910717942696298</v>
      </c>
    </row>
    <row r="81" spans="1:6">
      <c r="A81" s="119">
        <v>81</v>
      </c>
      <c r="B81" s="119">
        <v>4.11522633744856E-3</v>
      </c>
      <c r="C81">
        <v>2</v>
      </c>
      <c r="D81" s="121">
        <v>79</v>
      </c>
      <c r="E81" s="121">
        <f t="shared" si="2"/>
        <v>5.6650186464241969E-2</v>
      </c>
      <c r="F81" s="121">
        <f t="shared" si="3"/>
        <v>0.94334981353575809</v>
      </c>
    </row>
    <row r="82" spans="1:6">
      <c r="A82" s="119">
        <v>82</v>
      </c>
      <c r="B82" s="119">
        <v>0.33744855967078186</v>
      </c>
      <c r="C82">
        <v>29</v>
      </c>
      <c r="D82" s="121">
        <v>80</v>
      </c>
      <c r="E82" s="121">
        <f t="shared" si="2"/>
        <v>5.2654688185889212E-2</v>
      </c>
      <c r="F82" s="121">
        <f t="shared" si="3"/>
        <v>0.94734531181411075</v>
      </c>
    </row>
    <row r="83" spans="1:6">
      <c r="A83" s="119">
        <v>83</v>
      </c>
      <c r="B83" s="119">
        <v>0.67078189300411517</v>
      </c>
      <c r="C83">
        <v>49</v>
      </c>
      <c r="D83" s="121">
        <v>81</v>
      </c>
      <c r="E83" s="121">
        <f t="shared" si="2"/>
        <v>4.8895984619182854E-2</v>
      </c>
      <c r="F83" s="121">
        <f t="shared" si="3"/>
        <v>0.95110401538081712</v>
      </c>
    </row>
    <row r="84" spans="1:6">
      <c r="A84" s="119">
        <v>84</v>
      </c>
      <c r="B84" s="119">
        <v>0.11522633744855966</v>
      </c>
      <c r="C84">
        <v>16</v>
      </c>
      <c r="D84" s="121">
        <v>82</v>
      </c>
      <c r="E84" s="121">
        <f t="shared" si="2"/>
        <v>4.5363838505765405E-2</v>
      </c>
      <c r="F84" s="121">
        <f t="shared" si="3"/>
        <v>0.95463616149423458</v>
      </c>
    </row>
    <row r="85" spans="1:6">
      <c r="A85" s="119">
        <v>85</v>
      </c>
      <c r="B85" s="119">
        <v>0.44855967078189296</v>
      </c>
      <c r="C85">
        <v>35</v>
      </c>
      <c r="D85" s="121">
        <v>83</v>
      </c>
      <c r="E85" s="121">
        <f t="shared" si="2"/>
        <v>4.2048145323184537E-2</v>
      </c>
      <c r="F85" s="121">
        <f t="shared" si="3"/>
        <v>0.95795185467681543</v>
      </c>
    </row>
    <row r="86" spans="1:6">
      <c r="A86" s="119">
        <v>86</v>
      </c>
      <c r="B86" s="119">
        <v>0.78189300411522622</v>
      </c>
      <c r="C86">
        <v>57</v>
      </c>
      <c r="D86" s="121">
        <v>84</v>
      </c>
      <c r="E86" s="121">
        <f t="shared" si="2"/>
        <v>3.8938959499644606E-2</v>
      </c>
      <c r="F86" s="121">
        <f t="shared" si="3"/>
        <v>0.96106104050035535</v>
      </c>
    </row>
    <row r="87" spans="1:6">
      <c r="A87" s="119">
        <v>87</v>
      </c>
      <c r="B87" s="119">
        <v>0.22633744855967078</v>
      </c>
      <c r="C87">
        <v>23</v>
      </c>
      <c r="D87" s="121">
        <v>85</v>
      </c>
      <c r="E87" s="121">
        <f t="shared" si="2"/>
        <v>3.602651802088553E-2</v>
      </c>
      <c r="F87" s="121">
        <f t="shared" si="3"/>
        <v>0.96397348197911448</v>
      </c>
    </row>
    <row r="88" spans="1:6">
      <c r="A88" s="119">
        <v>88</v>
      </c>
      <c r="B88" s="119">
        <v>0.55967078189300412</v>
      </c>
      <c r="C88">
        <v>42</v>
      </c>
      <c r="D88" s="121">
        <v>86</v>
      </c>
      <c r="E88" s="121">
        <f t="shared" si="2"/>
        <v>3.3301261494351905E-2</v>
      </c>
      <c r="F88" s="121">
        <f t="shared" si="3"/>
        <v>0.96669873850564814</v>
      </c>
    </row>
    <row r="89" spans="1:6">
      <c r="A89" s="119">
        <v>89</v>
      </c>
      <c r="B89" s="119">
        <v>0.89300411522633738</v>
      </c>
      <c r="C89">
        <v>69</v>
      </c>
      <c r="D89" s="121">
        <v>87</v>
      </c>
      <c r="E89" s="121">
        <f t="shared" si="2"/>
        <v>3.0753852746775633E-2</v>
      </c>
      <c r="F89" s="121">
        <f t="shared" si="3"/>
        <v>0.96924614725322433</v>
      </c>
    </row>
    <row r="90" spans="1:6">
      <c r="A90" s="119">
        <v>90</v>
      </c>
      <c r="B90" s="119">
        <v>4.1152263374485597E-2</v>
      </c>
      <c r="C90">
        <v>9</v>
      </c>
      <c r="D90" s="121">
        <v>88</v>
      </c>
      <c r="E90" s="121">
        <f t="shared" si="2"/>
        <v>2.8375193040905324E-2</v>
      </c>
      <c r="F90" s="121">
        <f t="shared" si="3"/>
        <v>0.9716248069590947</v>
      </c>
    </row>
    <row r="91" spans="1:6">
      <c r="A91" s="119">
        <v>91</v>
      </c>
      <c r="B91" s="119">
        <v>0.37448559670781889</v>
      </c>
      <c r="C91">
        <v>31</v>
      </c>
      <c r="D91" s="121">
        <v>89</v>
      </c>
      <c r="E91" s="121">
        <f t="shared" si="2"/>
        <v>2.6156436005402895E-2</v>
      </c>
      <c r="F91" s="121">
        <f t="shared" si="3"/>
        <v>0.97384356399459715</v>
      </c>
    </row>
    <row r="92" spans="1:6">
      <c r="A92" s="119">
        <v>92</v>
      </c>
      <c r="B92" s="119">
        <v>0.70781893004115226</v>
      </c>
      <c r="C92">
        <v>51</v>
      </c>
      <c r="D92" s="121">
        <v>90</v>
      </c>
      <c r="E92" s="121">
        <f t="shared" si="2"/>
        <v>2.4088999378922418E-2</v>
      </c>
      <c r="F92" s="121">
        <f t="shared" si="3"/>
        <v>0.97591100062107761</v>
      </c>
    </row>
    <row r="93" spans="1:6">
      <c r="A93" s="119">
        <v>93</v>
      </c>
      <c r="B93" s="119">
        <v>0.15226337448559671</v>
      </c>
      <c r="C93">
        <v>18</v>
      </c>
      <c r="D93" s="121">
        <v>91</v>
      </c>
      <c r="E93" s="121">
        <f t="shared" si="2"/>
        <v>2.2164574675133025E-2</v>
      </c>
      <c r="F93" s="121">
        <f t="shared" si="3"/>
        <v>0.977835425324867</v>
      </c>
    </row>
    <row r="94" spans="1:6">
      <c r="A94" s="119">
        <v>94</v>
      </c>
      <c r="B94" s="119">
        <v>0.48559670781893</v>
      </c>
      <c r="C94">
        <v>38</v>
      </c>
      <c r="D94" s="121">
        <v>92</v>
      </c>
      <c r="E94" s="121">
        <f t="shared" si="2"/>
        <v>2.037513487999636E-2</v>
      </c>
      <c r="F94" s="121">
        <f t="shared" si="3"/>
        <v>0.97962486512000368</v>
      </c>
    </row>
    <row r="95" spans="1:6">
      <c r="A95" s="119">
        <v>95</v>
      </c>
      <c r="B95" s="119">
        <v>0.8189300411522632</v>
      </c>
      <c r="C95">
        <v>60</v>
      </c>
      <c r="D95" s="121">
        <v>93</v>
      </c>
      <c r="E95" s="121">
        <f t="shared" si="2"/>
        <v>1.8712940296015845E-2</v>
      </c>
      <c r="F95" s="121">
        <f t="shared" si="3"/>
        <v>0.98128705970398411</v>
      </c>
    </row>
    <row r="96" spans="1:6">
      <c r="A96" s="119">
        <v>96</v>
      </c>
      <c r="B96" s="119">
        <v>0.26337448559670779</v>
      </c>
      <c r="C96">
        <v>25</v>
      </c>
      <c r="D96" s="121">
        <v>94</v>
      </c>
      <c r="E96" s="121">
        <f t="shared" si="2"/>
        <v>1.7170542650504102E-2</v>
      </c>
      <c r="F96" s="121">
        <f t="shared" si="3"/>
        <v>0.98282945734949589</v>
      </c>
    </row>
    <row r="97" spans="1:6">
      <c r="A97" s="119">
        <v>97</v>
      </c>
      <c r="B97" s="119">
        <v>0.5967078189300411</v>
      </c>
      <c r="C97">
        <v>44</v>
      </c>
      <c r="D97" s="121">
        <v>95</v>
      </c>
      <c r="E97" s="121">
        <f t="shared" si="2"/>
        <v>1.5740787586231587E-2</v>
      </c>
      <c r="F97" s="121">
        <f t="shared" si="3"/>
        <v>0.98425921241376846</v>
      </c>
    </row>
    <row r="98" spans="1:6">
      <c r="A98" s="119">
        <v>98</v>
      </c>
      <c r="B98" s="119">
        <v>0.93004115226337436</v>
      </c>
      <c r="C98">
        <v>76</v>
      </c>
      <c r="D98" s="121">
        <v>96</v>
      </c>
      <c r="E98" s="121">
        <f t="shared" si="2"/>
        <v>1.4416815653196326E-2</v>
      </c>
      <c r="F98" s="121">
        <f t="shared" si="3"/>
        <v>0.9855831843468037</v>
      </c>
    </row>
    <row r="99" spans="1:6">
      <c r="A99" s="119">
        <v>99</v>
      </c>
      <c r="B99" s="119">
        <v>7.8189300411522625E-2</v>
      </c>
      <c r="C99">
        <v>13</v>
      </c>
      <c r="D99" s="121">
        <v>97</v>
      </c>
      <c r="E99" s="121">
        <f t="shared" si="2"/>
        <v>1.3192061919763392E-2</v>
      </c>
      <c r="F99" s="121">
        <f t="shared" si="3"/>
        <v>0.98680793808023659</v>
      </c>
    </row>
    <row r="100" spans="1:6">
      <c r="A100" s="119">
        <v>100</v>
      </c>
      <c r="B100" s="119">
        <v>0.41152263374485593</v>
      </c>
      <c r="C100">
        <v>33</v>
      </c>
      <c r="D100" s="121">
        <v>98</v>
      </c>
      <c r="E100" s="121">
        <f t="shared" si="2"/>
        <v>1.2060254320139659E-2</v>
      </c>
      <c r="F100" s="121">
        <f t="shared" si="3"/>
        <v>0.98793974567986031</v>
      </c>
    </row>
    <row r="101" spans="1:6">
      <c r="A101" s="119">
        <v>101</v>
      </c>
      <c r="B101" s="119">
        <v>0.74485596707818924</v>
      </c>
      <c r="C101">
        <v>54</v>
      </c>
      <c r="D101" s="121">
        <v>99</v>
      </c>
      <c r="E101" s="121">
        <f t="shared" si="2"/>
        <v>1.1015410853149152E-2</v>
      </c>
      <c r="F101" s="121">
        <f t="shared" si="3"/>
        <v>0.98898458914685083</v>
      </c>
    </row>
    <row r="102" spans="1:6">
      <c r="A102" s="119">
        <v>102</v>
      </c>
      <c r="B102" s="119">
        <v>0.18930041152263374</v>
      </c>
      <c r="C102">
        <v>21</v>
      </c>
      <c r="D102" s="121">
        <v>100</v>
      </c>
      <c r="E102" s="121">
        <f t="shared" si="2"/>
        <v>1.0051835744633576E-2</v>
      </c>
      <c r="F102" s="121">
        <f t="shared" si="3"/>
        <v>0.98994816425536647</v>
      </c>
    </row>
    <row r="103" spans="1:6">
      <c r="A103" s="119">
        <v>103</v>
      </c>
      <c r="B103" s="119">
        <v>0.52263374485596703</v>
      </c>
      <c r="C103">
        <v>40</v>
      </c>
      <c r="D103" s="121">
        <v>101</v>
      </c>
      <c r="E103" s="121">
        <f t="shared" si="2"/>
        <v>9.1641146825956823E-3</v>
      </c>
      <c r="F103" s="121">
        <f t="shared" si="3"/>
        <v>0.9908358853174043</v>
      </c>
    </row>
    <row r="104" spans="1:6">
      <c r="A104" s="119">
        <v>104</v>
      </c>
      <c r="B104" s="119">
        <v>0.85596707818930029</v>
      </c>
      <c r="C104">
        <v>64</v>
      </c>
      <c r="D104" s="121">
        <v>102</v>
      </c>
      <c r="E104" s="121">
        <f t="shared" si="2"/>
        <v>8.3471092305043935E-3</v>
      </c>
      <c r="F104" s="121">
        <f t="shared" si="3"/>
        <v>0.99165289076949559</v>
      </c>
    </row>
    <row r="105" spans="1:6">
      <c r="A105" s="119">
        <v>105</v>
      </c>
      <c r="B105" s="119">
        <v>0.30041152263374482</v>
      </c>
      <c r="C105">
        <v>27</v>
      </c>
      <c r="D105" s="121">
        <v>103</v>
      </c>
      <c r="E105" s="121">
        <f t="shared" si="2"/>
        <v>7.5959505200609697E-3</v>
      </c>
      <c r="F105" s="121">
        <f t="shared" si="3"/>
        <v>0.99240404947993899</v>
      </c>
    </row>
    <row r="106" spans="1:6">
      <c r="A106" s="119">
        <v>106</v>
      </c>
      <c r="B106" s="119">
        <v>0.63374485596707819</v>
      </c>
      <c r="C106">
        <v>46</v>
      </c>
      <c r="D106" s="121">
        <v>104</v>
      </c>
      <c r="E106" s="121">
        <f t="shared" si="2"/>
        <v>6.9060323202546356E-3</v>
      </c>
      <c r="F106" s="121">
        <f t="shared" si="3"/>
        <v>0.99309396767974534</v>
      </c>
    </row>
    <row r="107" spans="1:6">
      <c r="A107" s="119">
        <v>107</v>
      </c>
      <c r="B107" s="119">
        <v>0.96707818930041145</v>
      </c>
      <c r="C107">
        <v>86</v>
      </c>
      <c r="D107" s="121">
        <v>105</v>
      </c>
      <c r="E107" s="121">
        <f t="shared" si="2"/>
        <v>6.273003574780037E-3</v>
      </c>
      <c r="F107" s="121">
        <f t="shared" si="3"/>
        <v>0.99372699642522</v>
      </c>
    </row>
    <row r="108" spans="1:6">
      <c r="A108" s="119">
        <v>108</v>
      </c>
      <c r="B108" s="119">
        <v>1.646090534979424E-2</v>
      </c>
      <c r="C108">
        <v>6</v>
      </c>
      <c r="D108" s="121">
        <v>106</v>
      </c>
      <c r="E108" s="121">
        <v>0</v>
      </c>
      <c r="F108" s="121">
        <f t="shared" si="3"/>
        <v>1</v>
      </c>
    </row>
    <row r="109" spans="1:6">
      <c r="A109" s="119">
        <v>109</v>
      </c>
      <c r="B109" s="119">
        <v>0.34979423868312753</v>
      </c>
      <c r="C109">
        <v>30</v>
      </c>
    </row>
    <row r="110" spans="1:6">
      <c r="A110" s="119">
        <v>110</v>
      </c>
      <c r="B110" s="119">
        <v>0.68312757201646079</v>
      </c>
      <c r="C110">
        <v>49</v>
      </c>
    </row>
    <row r="111" spans="1:6">
      <c r="A111" s="119">
        <v>111</v>
      </c>
      <c r="B111" s="119">
        <v>0.12757201646090535</v>
      </c>
      <c r="C111">
        <v>17</v>
      </c>
    </row>
    <row r="112" spans="1:6">
      <c r="A112" s="119">
        <v>112</v>
      </c>
      <c r="B112" s="119">
        <v>0.46090534979423864</v>
      </c>
      <c r="C112">
        <v>36</v>
      </c>
    </row>
    <row r="113" spans="1:3">
      <c r="A113" s="119">
        <v>113</v>
      </c>
      <c r="B113" s="119">
        <v>0.79423868312757195</v>
      </c>
      <c r="C113">
        <v>58</v>
      </c>
    </row>
    <row r="114" spans="1:3">
      <c r="A114" s="119">
        <v>114</v>
      </c>
      <c r="B114" s="119">
        <v>0.23868312757201646</v>
      </c>
      <c r="C114">
        <v>24</v>
      </c>
    </row>
    <row r="115" spans="1:3">
      <c r="A115" s="119">
        <v>115</v>
      </c>
      <c r="B115" s="119">
        <v>0.57201646090534986</v>
      </c>
      <c r="C115">
        <v>42</v>
      </c>
    </row>
    <row r="116" spans="1:3">
      <c r="A116" s="119">
        <v>116</v>
      </c>
      <c r="B116" s="119">
        <v>0.90534979423868311</v>
      </c>
      <c r="C116">
        <v>71</v>
      </c>
    </row>
    <row r="117" spans="1:3">
      <c r="A117" s="119">
        <v>117</v>
      </c>
      <c r="B117" s="119">
        <v>5.3497942386831275E-2</v>
      </c>
      <c r="C117">
        <v>10</v>
      </c>
    </row>
    <row r="118" spans="1:3">
      <c r="A118" s="119">
        <v>118</v>
      </c>
      <c r="B118" s="119">
        <v>0.38683127572016457</v>
      </c>
      <c r="C118">
        <v>32</v>
      </c>
    </row>
    <row r="119" spans="1:3">
      <c r="A119" s="119">
        <v>119</v>
      </c>
      <c r="B119" s="119">
        <v>0.72016460905349799</v>
      </c>
      <c r="C119">
        <v>52</v>
      </c>
    </row>
    <row r="120" spans="1:3">
      <c r="A120" s="119">
        <v>120</v>
      </c>
      <c r="B120" s="119">
        <v>0.16460905349794239</v>
      </c>
      <c r="C120">
        <v>19</v>
      </c>
    </row>
    <row r="121" spans="1:3">
      <c r="A121" s="119">
        <v>121</v>
      </c>
      <c r="B121" s="119">
        <v>0.49794238683127567</v>
      </c>
      <c r="C121">
        <v>38</v>
      </c>
    </row>
    <row r="122" spans="1:3">
      <c r="A122" s="119">
        <v>122</v>
      </c>
      <c r="B122" s="119">
        <v>0.83127572016460893</v>
      </c>
      <c r="C122">
        <v>62</v>
      </c>
    </row>
    <row r="123" spans="1:3">
      <c r="A123" s="119">
        <v>123</v>
      </c>
      <c r="B123" s="119">
        <v>0.27572016460905346</v>
      </c>
      <c r="C123">
        <v>26</v>
      </c>
    </row>
    <row r="124" spans="1:3">
      <c r="A124" s="119">
        <v>124</v>
      </c>
      <c r="B124" s="119">
        <v>0.60905349794238683</v>
      </c>
      <c r="C124">
        <v>45</v>
      </c>
    </row>
    <row r="125" spans="1:3">
      <c r="A125" s="119">
        <v>125</v>
      </c>
      <c r="B125" s="119">
        <v>0.94238683127572009</v>
      </c>
      <c r="C125">
        <v>78</v>
      </c>
    </row>
    <row r="126" spans="1:3">
      <c r="A126" s="119">
        <v>126</v>
      </c>
      <c r="B126" s="119">
        <v>9.0534979423868303E-2</v>
      </c>
      <c r="C126">
        <v>14</v>
      </c>
    </row>
    <row r="127" spans="1:3">
      <c r="A127" s="119">
        <v>127</v>
      </c>
      <c r="B127" s="119">
        <v>0.4238683127572016</v>
      </c>
      <c r="C127">
        <v>34</v>
      </c>
    </row>
    <row r="128" spans="1:3">
      <c r="A128" s="119">
        <v>128</v>
      </c>
      <c r="B128" s="119">
        <v>0.75720164609053497</v>
      </c>
      <c r="C128">
        <v>55</v>
      </c>
    </row>
    <row r="129" spans="1:3">
      <c r="A129" s="119">
        <v>129</v>
      </c>
      <c r="B129" s="119">
        <v>0.20164609053497942</v>
      </c>
      <c r="C129">
        <v>22</v>
      </c>
    </row>
    <row r="130" spans="1:3">
      <c r="A130" s="119">
        <v>130</v>
      </c>
      <c r="B130" s="119">
        <v>0.53497942386831265</v>
      </c>
      <c r="C130">
        <v>40</v>
      </c>
    </row>
    <row r="131" spans="1:3">
      <c r="A131" s="119">
        <v>131</v>
      </c>
      <c r="B131" s="119">
        <v>0.86831275720164591</v>
      </c>
      <c r="C131">
        <v>66</v>
      </c>
    </row>
    <row r="132" spans="1:3">
      <c r="A132" s="119">
        <v>132</v>
      </c>
      <c r="B132" s="119">
        <v>0.3127572016460905</v>
      </c>
      <c r="C132">
        <v>28</v>
      </c>
    </row>
    <row r="133" spans="1:3">
      <c r="A133" s="119">
        <v>133</v>
      </c>
      <c r="B133" s="119">
        <v>0.64609053497942381</v>
      </c>
      <c r="C133">
        <v>47</v>
      </c>
    </row>
    <row r="134" spans="1:3">
      <c r="A134" s="119">
        <v>134</v>
      </c>
      <c r="B134" s="119">
        <v>0.97942386831275707</v>
      </c>
      <c r="C134">
        <v>91</v>
      </c>
    </row>
    <row r="135" spans="1:3">
      <c r="A135" s="119">
        <v>135</v>
      </c>
      <c r="B135" s="119">
        <v>2.8806584362139918E-2</v>
      </c>
      <c r="C135">
        <v>7</v>
      </c>
    </row>
    <row r="136" spans="1:3">
      <c r="A136" s="119">
        <v>136</v>
      </c>
      <c r="B136" s="119">
        <v>0.36213991769547321</v>
      </c>
      <c r="C136">
        <v>31</v>
      </c>
    </row>
    <row r="137" spans="1:3">
      <c r="A137" s="119">
        <v>137</v>
      </c>
      <c r="B137" s="119">
        <v>0.69547325102880653</v>
      </c>
      <c r="C137">
        <v>50</v>
      </c>
    </row>
    <row r="138" spans="1:3">
      <c r="A138" s="119">
        <v>138</v>
      </c>
      <c r="B138" s="119">
        <v>0.13991769547325103</v>
      </c>
      <c r="C138">
        <v>18</v>
      </c>
    </row>
    <row r="139" spans="1:3">
      <c r="A139" s="119">
        <v>139</v>
      </c>
      <c r="B139" s="119">
        <v>0.47325102880658432</v>
      </c>
      <c r="C139">
        <v>37</v>
      </c>
    </row>
    <row r="140" spans="1:3">
      <c r="A140" s="119">
        <v>140</v>
      </c>
      <c r="B140" s="119">
        <v>0.80658436213991758</v>
      </c>
      <c r="C140">
        <v>59</v>
      </c>
    </row>
    <row r="141" spans="1:3">
      <c r="A141" s="119">
        <v>141</v>
      </c>
      <c r="B141" s="119">
        <v>0.25102880658436211</v>
      </c>
      <c r="C141">
        <v>25</v>
      </c>
    </row>
    <row r="142" spans="1:3">
      <c r="A142" s="119">
        <v>142</v>
      </c>
      <c r="B142" s="119">
        <v>0.58436213991769548</v>
      </c>
      <c r="C142">
        <v>43</v>
      </c>
    </row>
    <row r="143" spans="1:3">
      <c r="A143" s="119">
        <v>143</v>
      </c>
      <c r="B143" s="119">
        <v>0.91769547325102874</v>
      </c>
      <c r="C143">
        <v>73</v>
      </c>
    </row>
    <row r="144" spans="1:3">
      <c r="A144" s="119">
        <v>144</v>
      </c>
      <c r="B144" s="119">
        <v>6.5843621399176946E-2</v>
      </c>
      <c r="C144">
        <v>12</v>
      </c>
    </row>
    <row r="145" spans="1:3">
      <c r="A145" s="119">
        <v>145</v>
      </c>
      <c r="B145" s="119">
        <v>0.39917695473251025</v>
      </c>
      <c r="C145">
        <v>33</v>
      </c>
    </row>
    <row r="146" spans="1:3">
      <c r="A146" s="119">
        <v>146</v>
      </c>
      <c r="B146" s="119">
        <v>0.73251028806584362</v>
      </c>
      <c r="C146">
        <v>53</v>
      </c>
    </row>
    <row r="147" spans="1:3">
      <c r="A147" s="119">
        <v>147</v>
      </c>
      <c r="B147" s="119">
        <v>0.17695473251028807</v>
      </c>
      <c r="C147">
        <v>20</v>
      </c>
    </row>
    <row r="148" spans="1:3">
      <c r="A148" s="119">
        <v>148</v>
      </c>
      <c r="B148" s="119">
        <v>0.51028806584362141</v>
      </c>
      <c r="C148">
        <v>39</v>
      </c>
    </row>
    <row r="149" spans="1:3">
      <c r="A149" s="119">
        <v>149</v>
      </c>
      <c r="B149" s="119">
        <v>0.84362139917695456</v>
      </c>
      <c r="C149">
        <v>63</v>
      </c>
    </row>
    <row r="150" spans="1:3">
      <c r="A150" s="119">
        <v>150</v>
      </c>
      <c r="B150" s="119">
        <v>0.28806584362139914</v>
      </c>
      <c r="C150">
        <v>27</v>
      </c>
    </row>
    <row r="151" spans="1:3">
      <c r="A151" s="119">
        <v>151</v>
      </c>
      <c r="B151" s="119">
        <v>0.62139917695473246</v>
      </c>
      <c r="C151">
        <v>45</v>
      </c>
    </row>
    <row r="152" spans="1:3">
      <c r="A152" s="119">
        <v>152</v>
      </c>
      <c r="B152" s="119">
        <v>0.95473251028806572</v>
      </c>
      <c r="C152">
        <v>82</v>
      </c>
    </row>
    <row r="153" spans="1:3">
      <c r="A153" s="119">
        <v>153</v>
      </c>
      <c r="B153" s="119">
        <v>0.10288065843621398</v>
      </c>
      <c r="C153">
        <v>15</v>
      </c>
    </row>
    <row r="154" spans="1:3">
      <c r="A154" s="119">
        <v>154</v>
      </c>
      <c r="B154" s="119">
        <v>0.43621399176954728</v>
      </c>
      <c r="C154">
        <v>35</v>
      </c>
    </row>
    <row r="155" spans="1:3">
      <c r="A155" s="119">
        <v>155</v>
      </c>
      <c r="B155" s="119">
        <v>0.7695473251028806</v>
      </c>
      <c r="C155">
        <v>56</v>
      </c>
    </row>
    <row r="156" spans="1:3">
      <c r="A156" s="119">
        <v>156</v>
      </c>
      <c r="B156" s="119">
        <v>0.2139917695473251</v>
      </c>
      <c r="C156">
        <v>22</v>
      </c>
    </row>
    <row r="157" spans="1:3">
      <c r="A157" s="119">
        <v>157</v>
      </c>
      <c r="B157" s="119">
        <v>0.54732510288065839</v>
      </c>
      <c r="C157">
        <v>41</v>
      </c>
    </row>
    <row r="158" spans="1:3">
      <c r="A158" s="119">
        <v>158</v>
      </c>
      <c r="B158" s="119">
        <v>0.88065843621399165</v>
      </c>
      <c r="C158">
        <v>67</v>
      </c>
    </row>
    <row r="159" spans="1:3">
      <c r="A159" s="119">
        <v>159</v>
      </c>
      <c r="B159" s="119">
        <v>0.32510288065843618</v>
      </c>
      <c r="C159">
        <v>29</v>
      </c>
    </row>
    <row r="160" spans="1:3">
      <c r="A160" s="119">
        <v>160</v>
      </c>
      <c r="B160" s="119">
        <v>0.65843621399176955</v>
      </c>
      <c r="C160">
        <v>48</v>
      </c>
    </row>
    <row r="161" spans="1:3">
      <c r="A161" s="119">
        <v>161</v>
      </c>
      <c r="B161" s="119">
        <v>0.99176954732510281</v>
      </c>
      <c r="C161">
        <v>102</v>
      </c>
    </row>
    <row r="162" spans="1:3">
      <c r="A162" s="119">
        <v>162</v>
      </c>
      <c r="B162" s="119">
        <v>8.23045267489712E-3</v>
      </c>
      <c r="C162">
        <v>4</v>
      </c>
    </row>
    <row r="163" spans="1:3">
      <c r="A163" s="119">
        <v>163</v>
      </c>
      <c r="B163" s="119">
        <v>0.34156378600823045</v>
      </c>
      <c r="C163">
        <v>30</v>
      </c>
    </row>
    <row r="164" spans="1:3">
      <c r="A164" s="119">
        <v>164</v>
      </c>
      <c r="B164" s="119">
        <v>0.67489711934156371</v>
      </c>
      <c r="C164">
        <v>49</v>
      </c>
    </row>
    <row r="165" spans="1:3">
      <c r="A165" s="119">
        <v>165</v>
      </c>
      <c r="B165" s="119">
        <v>0.11934156378600823</v>
      </c>
      <c r="C165">
        <v>16</v>
      </c>
    </row>
    <row r="166" spans="1:3">
      <c r="A166" s="119">
        <v>166</v>
      </c>
      <c r="B166" s="119">
        <v>0.45267489711934156</v>
      </c>
      <c r="C166">
        <v>36</v>
      </c>
    </row>
    <row r="167" spans="1:3">
      <c r="A167" s="119">
        <v>167</v>
      </c>
      <c r="B167" s="119">
        <v>0.78600823045267476</v>
      </c>
      <c r="C167">
        <v>57</v>
      </c>
    </row>
    <row r="168" spans="1:3">
      <c r="A168" s="119">
        <v>168</v>
      </c>
      <c r="B168" s="119">
        <v>0.23045267489711932</v>
      </c>
      <c r="C168">
        <v>23</v>
      </c>
    </row>
    <row r="169" spans="1:3">
      <c r="A169" s="119">
        <v>169</v>
      </c>
      <c r="B169" s="119">
        <v>0.56378600823045266</v>
      </c>
      <c r="C169">
        <v>42</v>
      </c>
    </row>
    <row r="170" spans="1:3">
      <c r="A170" s="119">
        <v>170</v>
      </c>
      <c r="B170" s="119">
        <v>0.89711934156378592</v>
      </c>
      <c r="C170">
        <v>70</v>
      </c>
    </row>
    <row r="171" spans="1:3">
      <c r="A171" s="119">
        <v>171</v>
      </c>
      <c r="B171" s="119">
        <v>4.5267489711934158E-2</v>
      </c>
      <c r="C171">
        <v>10</v>
      </c>
    </row>
    <row r="172" spans="1:3">
      <c r="A172" s="119">
        <v>172</v>
      </c>
      <c r="B172" s="119">
        <v>0.37860082304526749</v>
      </c>
      <c r="C172">
        <v>32</v>
      </c>
    </row>
    <row r="173" spans="1:3">
      <c r="A173" s="119">
        <v>173</v>
      </c>
      <c r="B173" s="119">
        <v>0.7119341563786008</v>
      </c>
      <c r="C173">
        <v>52</v>
      </c>
    </row>
    <row r="174" spans="1:3">
      <c r="A174" s="119">
        <v>174</v>
      </c>
      <c r="B174" s="119">
        <v>0.15637860082304525</v>
      </c>
      <c r="C174">
        <v>19</v>
      </c>
    </row>
    <row r="175" spans="1:3">
      <c r="A175" s="119">
        <v>175</v>
      </c>
      <c r="B175" s="119">
        <v>0.48971193415637859</v>
      </c>
      <c r="C175">
        <v>38</v>
      </c>
    </row>
    <row r="176" spans="1:3">
      <c r="A176" s="119">
        <v>176</v>
      </c>
      <c r="B176" s="119">
        <v>0.82304526748971174</v>
      </c>
      <c r="C176">
        <v>61</v>
      </c>
    </row>
    <row r="177" spans="1:3">
      <c r="A177" s="119">
        <v>177</v>
      </c>
      <c r="B177" s="119">
        <v>0.26748971193415638</v>
      </c>
      <c r="C177">
        <v>26</v>
      </c>
    </row>
    <row r="178" spans="1:3">
      <c r="A178" s="119">
        <v>178</v>
      </c>
      <c r="B178" s="119">
        <v>0.60082304526748964</v>
      </c>
      <c r="C178">
        <v>44</v>
      </c>
    </row>
    <row r="179" spans="1:3">
      <c r="A179" s="119">
        <v>179</v>
      </c>
      <c r="B179" s="119">
        <v>0.9341563786008229</v>
      </c>
      <c r="C179">
        <v>76</v>
      </c>
    </row>
    <row r="180" spans="1:3">
      <c r="A180" s="119">
        <v>180</v>
      </c>
      <c r="B180" s="119">
        <v>8.2304526748971193E-2</v>
      </c>
      <c r="C180">
        <v>13</v>
      </c>
    </row>
    <row r="181" spans="1:3">
      <c r="A181" s="119">
        <v>181</v>
      </c>
      <c r="B181" s="119">
        <v>0.41563786008230452</v>
      </c>
      <c r="C181">
        <v>34</v>
      </c>
    </row>
    <row r="182" spans="1:3">
      <c r="A182" s="119">
        <v>182</v>
      </c>
      <c r="B182" s="119">
        <v>0.74897119341563778</v>
      </c>
      <c r="C182">
        <v>54</v>
      </c>
    </row>
    <row r="183" spans="1:3">
      <c r="A183" s="119">
        <v>183</v>
      </c>
      <c r="B183" s="119">
        <v>0.19341563786008228</v>
      </c>
      <c r="C183">
        <v>21</v>
      </c>
    </row>
    <row r="184" spans="1:3">
      <c r="A184" s="119">
        <v>184</v>
      </c>
      <c r="B184" s="119">
        <v>0.52674897119341557</v>
      </c>
      <c r="C184">
        <v>40</v>
      </c>
    </row>
    <row r="185" spans="1:3">
      <c r="A185" s="119">
        <v>185</v>
      </c>
      <c r="B185" s="119">
        <v>0.86008230452674883</v>
      </c>
      <c r="C185">
        <v>65</v>
      </c>
    </row>
    <row r="186" spans="1:3">
      <c r="A186" s="119">
        <v>186</v>
      </c>
      <c r="B186" s="119">
        <v>0.30452674897119342</v>
      </c>
      <c r="C186">
        <v>28</v>
      </c>
    </row>
    <row r="187" spans="1:3">
      <c r="A187" s="119">
        <v>187</v>
      </c>
      <c r="B187" s="119">
        <v>0.63786008230452673</v>
      </c>
      <c r="C187">
        <v>46</v>
      </c>
    </row>
    <row r="188" spans="1:3">
      <c r="A188" s="119">
        <v>188</v>
      </c>
      <c r="B188" s="119">
        <v>0.97119341563785999</v>
      </c>
      <c r="C188">
        <v>87</v>
      </c>
    </row>
    <row r="189" spans="1:3">
      <c r="A189" s="119">
        <v>189</v>
      </c>
      <c r="B189" s="119">
        <v>2.0576131687242798E-2</v>
      </c>
      <c r="C189">
        <v>6</v>
      </c>
    </row>
    <row r="190" spans="1:3">
      <c r="A190" s="119">
        <v>190</v>
      </c>
      <c r="B190" s="119">
        <v>0.35390946502057613</v>
      </c>
      <c r="C190">
        <v>30</v>
      </c>
    </row>
    <row r="191" spans="1:3">
      <c r="A191" s="119">
        <v>191</v>
      </c>
      <c r="B191" s="119">
        <v>0.68724279835390933</v>
      </c>
      <c r="C191">
        <v>50</v>
      </c>
    </row>
    <row r="192" spans="1:3">
      <c r="A192" s="119">
        <v>192</v>
      </c>
      <c r="B192" s="119">
        <v>0.13168724279835389</v>
      </c>
      <c r="C192">
        <v>17</v>
      </c>
    </row>
    <row r="193" spans="1:3">
      <c r="A193" s="119">
        <v>193</v>
      </c>
      <c r="B193" s="119">
        <v>0.46502057613168724</v>
      </c>
      <c r="C193">
        <v>36</v>
      </c>
    </row>
    <row r="194" spans="1:3">
      <c r="A194" s="119">
        <v>194</v>
      </c>
      <c r="B194" s="119">
        <v>0.79835390946502049</v>
      </c>
      <c r="C194">
        <v>58</v>
      </c>
    </row>
    <row r="195" spans="1:3">
      <c r="A195" s="119">
        <v>195</v>
      </c>
      <c r="B195" s="119">
        <v>0.242798353909465</v>
      </c>
      <c r="C195">
        <v>24</v>
      </c>
    </row>
    <row r="196" spans="1:3">
      <c r="A196" s="119">
        <v>196</v>
      </c>
      <c r="B196" s="119">
        <v>0.5761316872427984</v>
      </c>
      <c r="C196">
        <v>43</v>
      </c>
    </row>
    <row r="197" spans="1:3">
      <c r="A197" s="119">
        <v>197</v>
      </c>
      <c r="B197" s="119">
        <v>0.90946502057613166</v>
      </c>
      <c r="C197">
        <v>72</v>
      </c>
    </row>
    <row r="198" spans="1:3">
      <c r="A198" s="119">
        <v>198</v>
      </c>
      <c r="B198" s="119">
        <v>5.7613168724279837E-2</v>
      </c>
      <c r="C198">
        <v>11</v>
      </c>
    </row>
    <row r="199" spans="1:3">
      <c r="A199" s="119">
        <v>199</v>
      </c>
      <c r="B199" s="119">
        <v>0.39094650205761317</v>
      </c>
      <c r="C199">
        <v>32</v>
      </c>
    </row>
    <row r="200" spans="1:3">
      <c r="A200" s="119">
        <v>200</v>
      </c>
      <c r="B200" s="119">
        <v>0.72427983539094654</v>
      </c>
      <c r="C200">
        <v>52</v>
      </c>
    </row>
    <row r="201" spans="1:3">
      <c r="A201" s="119">
        <v>201</v>
      </c>
      <c r="B201" s="119">
        <v>0.16872427983539093</v>
      </c>
      <c r="C201">
        <v>20</v>
      </c>
    </row>
    <row r="202" spans="1:3">
      <c r="A202" s="119">
        <v>202</v>
      </c>
      <c r="B202" s="119">
        <v>0.50205761316872421</v>
      </c>
      <c r="C202">
        <v>38</v>
      </c>
    </row>
    <row r="203" spans="1:3">
      <c r="A203" s="119">
        <v>203</v>
      </c>
      <c r="B203" s="119">
        <v>0.83539094650205747</v>
      </c>
      <c r="C203">
        <v>62</v>
      </c>
    </row>
    <row r="204" spans="1:3">
      <c r="A204" s="119">
        <v>204</v>
      </c>
      <c r="B204" s="119">
        <v>0.27983539094650206</v>
      </c>
      <c r="C204">
        <v>26</v>
      </c>
    </row>
    <row r="205" spans="1:3">
      <c r="A205" s="119">
        <v>205</v>
      </c>
      <c r="B205" s="119">
        <v>0.61316872427983538</v>
      </c>
      <c r="C205">
        <v>45</v>
      </c>
    </row>
    <row r="206" spans="1:3">
      <c r="A206" s="119">
        <v>206</v>
      </c>
      <c r="B206" s="119">
        <v>0.94650205761316863</v>
      </c>
      <c r="C206">
        <v>79</v>
      </c>
    </row>
    <row r="207" spans="1:3">
      <c r="A207" s="119">
        <v>207</v>
      </c>
      <c r="B207" s="119">
        <v>9.4650205761316872E-2</v>
      </c>
      <c r="C207">
        <v>14</v>
      </c>
    </row>
    <row r="208" spans="1:3">
      <c r="A208" s="119">
        <v>208</v>
      </c>
      <c r="B208" s="119">
        <v>0.4279835390946502</v>
      </c>
      <c r="C208">
        <v>34</v>
      </c>
    </row>
    <row r="209" spans="1:3">
      <c r="A209" s="119">
        <v>209</v>
      </c>
      <c r="B209" s="119">
        <v>0.76131687242798352</v>
      </c>
      <c r="C209">
        <v>55</v>
      </c>
    </row>
    <row r="210" spans="1:3">
      <c r="A210" s="119">
        <v>210</v>
      </c>
      <c r="B210" s="119">
        <v>0.20576131687242796</v>
      </c>
      <c r="C210">
        <v>22</v>
      </c>
    </row>
    <row r="211" spans="1:3">
      <c r="A211" s="119">
        <v>211</v>
      </c>
      <c r="B211" s="119">
        <v>0.53909465020576119</v>
      </c>
      <c r="C211">
        <v>41</v>
      </c>
    </row>
    <row r="212" spans="1:3">
      <c r="A212" s="119">
        <v>212</v>
      </c>
      <c r="B212" s="119">
        <v>0.87242798353909445</v>
      </c>
      <c r="C212">
        <v>66</v>
      </c>
    </row>
    <row r="213" spans="1:3">
      <c r="A213" s="119">
        <v>213</v>
      </c>
      <c r="B213" s="119">
        <v>0.3168724279835391</v>
      </c>
      <c r="C213">
        <v>28</v>
      </c>
    </row>
    <row r="214" spans="1:3">
      <c r="A214" s="119">
        <v>214</v>
      </c>
      <c r="B214" s="119">
        <v>0.65020576131687235</v>
      </c>
      <c r="C214">
        <v>47</v>
      </c>
    </row>
    <row r="215" spans="1:3">
      <c r="A215" s="119">
        <v>215</v>
      </c>
      <c r="B215" s="119">
        <v>0.98353909465020561</v>
      </c>
      <c r="C215">
        <v>94</v>
      </c>
    </row>
    <row r="216" spans="1:3">
      <c r="A216" s="119">
        <v>216</v>
      </c>
      <c r="B216" s="119">
        <v>3.292181069958848E-2</v>
      </c>
      <c r="C216">
        <v>8</v>
      </c>
    </row>
    <row r="217" spans="1:3">
      <c r="A217" s="119">
        <v>217</v>
      </c>
      <c r="B217" s="119">
        <v>0.36625514403292181</v>
      </c>
      <c r="C217">
        <v>31</v>
      </c>
    </row>
    <row r="218" spans="1:3">
      <c r="A218" s="119">
        <v>218</v>
      </c>
      <c r="B218" s="119">
        <v>0.69958847736625507</v>
      </c>
      <c r="C218">
        <v>51</v>
      </c>
    </row>
    <row r="219" spans="1:3">
      <c r="A219" s="119">
        <v>219</v>
      </c>
      <c r="B219" s="119">
        <v>0.14403292181069957</v>
      </c>
      <c r="C219">
        <v>18</v>
      </c>
    </row>
    <row r="220" spans="1:3">
      <c r="A220" s="119">
        <v>220</v>
      </c>
      <c r="B220" s="119">
        <v>0.47736625514403291</v>
      </c>
      <c r="C220">
        <v>37</v>
      </c>
    </row>
    <row r="221" spans="1:3">
      <c r="A221" s="119">
        <v>221</v>
      </c>
      <c r="B221" s="119">
        <v>0.81069958847736612</v>
      </c>
      <c r="C221">
        <v>60</v>
      </c>
    </row>
    <row r="222" spans="1:3">
      <c r="A222" s="119">
        <v>222</v>
      </c>
      <c r="B222" s="119">
        <v>0.2551440329218107</v>
      </c>
      <c r="C222">
        <v>25</v>
      </c>
    </row>
    <row r="223" spans="1:3">
      <c r="A223" s="119">
        <v>223</v>
      </c>
      <c r="B223" s="119">
        <v>0.58847736625514402</v>
      </c>
      <c r="C223">
        <v>43</v>
      </c>
    </row>
    <row r="224" spans="1:3">
      <c r="A224" s="119">
        <v>224</v>
      </c>
      <c r="B224" s="119">
        <v>0.92181069958847728</v>
      </c>
      <c r="C224">
        <v>74</v>
      </c>
    </row>
    <row r="225" spans="1:3">
      <c r="A225" s="119">
        <v>225</v>
      </c>
      <c r="B225" s="119">
        <v>6.9958847736625515E-2</v>
      </c>
      <c r="C225">
        <v>12</v>
      </c>
    </row>
    <row r="226" spans="1:3">
      <c r="A226" s="119">
        <v>226</v>
      </c>
      <c r="B226" s="119">
        <v>0.40329218106995884</v>
      </c>
      <c r="C226">
        <v>33</v>
      </c>
    </row>
    <row r="227" spans="1:3">
      <c r="A227" s="119">
        <v>227</v>
      </c>
      <c r="B227" s="119">
        <v>0.73662551440329216</v>
      </c>
      <c r="C227">
        <v>53</v>
      </c>
    </row>
    <row r="228" spans="1:3">
      <c r="A228" s="119">
        <v>228</v>
      </c>
      <c r="B228" s="119">
        <v>0.18106995884773661</v>
      </c>
      <c r="C228">
        <v>20</v>
      </c>
    </row>
    <row r="229" spans="1:3">
      <c r="A229" s="119">
        <v>229</v>
      </c>
      <c r="B229" s="119">
        <v>0.51440329218106995</v>
      </c>
      <c r="C229">
        <v>39</v>
      </c>
    </row>
    <row r="230" spans="1:3">
      <c r="A230" s="119">
        <v>230</v>
      </c>
      <c r="B230" s="119">
        <v>0.8477366255144031</v>
      </c>
      <c r="C230">
        <v>63</v>
      </c>
    </row>
    <row r="231" spans="1:3">
      <c r="A231" s="119">
        <v>231</v>
      </c>
      <c r="B231" s="119">
        <v>0.29218106995884774</v>
      </c>
      <c r="C231">
        <v>27</v>
      </c>
    </row>
    <row r="232" spans="1:3">
      <c r="A232" s="119">
        <v>232</v>
      </c>
      <c r="B232" s="119">
        <v>0.625514403292181</v>
      </c>
      <c r="C232">
        <v>46</v>
      </c>
    </row>
    <row r="233" spans="1:3">
      <c r="A233" s="119">
        <v>233</v>
      </c>
      <c r="B233" s="119">
        <v>0.95884773662551426</v>
      </c>
      <c r="C233">
        <v>83</v>
      </c>
    </row>
    <row r="234" spans="1:3">
      <c r="A234" s="119">
        <v>234</v>
      </c>
      <c r="B234" s="119">
        <v>0.10699588477366255</v>
      </c>
      <c r="C234">
        <v>15</v>
      </c>
    </row>
    <row r="235" spans="1:3">
      <c r="A235" s="119">
        <v>235</v>
      </c>
      <c r="B235" s="119">
        <v>0.44032921810699588</v>
      </c>
      <c r="C235">
        <v>35</v>
      </c>
    </row>
    <row r="236" spans="1:3">
      <c r="A236" s="119">
        <v>236</v>
      </c>
      <c r="B236" s="119">
        <v>0.77366255144032914</v>
      </c>
      <c r="C236">
        <v>56</v>
      </c>
    </row>
    <row r="237" spans="1:3">
      <c r="A237" s="119">
        <v>237</v>
      </c>
      <c r="B237" s="119">
        <v>0.21810699588477364</v>
      </c>
      <c r="C237">
        <v>23</v>
      </c>
    </row>
    <row r="238" spans="1:3">
      <c r="A238" s="119">
        <v>238</v>
      </c>
      <c r="B238" s="119">
        <v>0.55144032921810693</v>
      </c>
      <c r="C238">
        <v>41</v>
      </c>
    </row>
    <row r="239" spans="1:3">
      <c r="A239" s="119">
        <v>239</v>
      </c>
      <c r="B239" s="119">
        <v>0.88477366255144019</v>
      </c>
      <c r="C239">
        <v>68</v>
      </c>
    </row>
    <row r="240" spans="1:3">
      <c r="A240" s="119">
        <v>240</v>
      </c>
      <c r="B240" s="119">
        <v>0.32921810699588477</v>
      </c>
      <c r="C240">
        <v>29</v>
      </c>
    </row>
    <row r="241" spans="1:3">
      <c r="A241" s="119">
        <v>241</v>
      </c>
      <c r="B241" s="119">
        <v>0.66255144032921809</v>
      </c>
      <c r="C241">
        <v>48</v>
      </c>
    </row>
    <row r="242" spans="1:3">
      <c r="A242" s="119">
        <v>242</v>
      </c>
      <c r="B242" s="119">
        <v>0.99588477366255135</v>
      </c>
      <c r="C242">
        <v>105</v>
      </c>
    </row>
    <row r="243" spans="1:3">
      <c r="A243" s="119">
        <v>243</v>
      </c>
      <c r="B243" s="119">
        <v>1.3717421124828531E-3</v>
      </c>
      <c r="C243">
        <v>1</v>
      </c>
    </row>
    <row r="244" spans="1:3">
      <c r="A244" s="119">
        <v>244</v>
      </c>
      <c r="B244" s="119">
        <v>0.33470507544581618</v>
      </c>
      <c r="C244">
        <v>29</v>
      </c>
    </row>
    <row r="245" spans="1:3">
      <c r="A245" s="119">
        <v>245</v>
      </c>
      <c r="B245" s="119">
        <v>0.66803840877914944</v>
      </c>
      <c r="C245">
        <v>48</v>
      </c>
    </row>
    <row r="246" spans="1:3">
      <c r="A246" s="119">
        <v>246</v>
      </c>
      <c r="B246" s="119">
        <v>0.11248285322359396</v>
      </c>
      <c r="C246">
        <v>16</v>
      </c>
    </row>
    <row r="247" spans="1:3">
      <c r="A247" s="119">
        <v>247</v>
      </c>
      <c r="B247" s="119">
        <v>0.44581618655692729</v>
      </c>
      <c r="C247">
        <v>35</v>
      </c>
    </row>
    <row r="248" spans="1:3">
      <c r="A248" s="119">
        <v>248</v>
      </c>
      <c r="B248" s="119">
        <v>0.77914951989026049</v>
      </c>
      <c r="C248">
        <v>57</v>
      </c>
    </row>
    <row r="249" spans="1:3">
      <c r="A249" s="119">
        <v>249</v>
      </c>
      <c r="B249" s="119">
        <v>0.22359396433470508</v>
      </c>
      <c r="C249">
        <v>23</v>
      </c>
    </row>
    <row r="250" spans="1:3">
      <c r="A250" s="119">
        <v>250</v>
      </c>
      <c r="B250" s="119">
        <v>0.55692729766803839</v>
      </c>
      <c r="C250">
        <v>42</v>
      </c>
    </row>
    <row r="251" spans="1:3">
      <c r="A251" s="119">
        <v>251</v>
      </c>
      <c r="B251" s="119">
        <v>0.89026063100137165</v>
      </c>
      <c r="C251">
        <v>69</v>
      </c>
    </row>
    <row r="252" spans="1:3">
      <c r="A252" s="119">
        <v>252</v>
      </c>
      <c r="B252" s="119">
        <v>3.8408779149519887E-2</v>
      </c>
      <c r="C252">
        <v>9</v>
      </c>
    </row>
    <row r="253" spans="1:3">
      <c r="A253" s="119">
        <v>253</v>
      </c>
      <c r="B253" s="119">
        <v>0.37174211248285322</v>
      </c>
      <c r="C253">
        <v>31</v>
      </c>
    </row>
    <row r="254" spans="1:3">
      <c r="A254" s="119">
        <v>254</v>
      </c>
      <c r="B254" s="119">
        <v>0.70507544581618653</v>
      </c>
      <c r="C254">
        <v>51</v>
      </c>
    </row>
    <row r="255" spans="1:3">
      <c r="A255" s="119">
        <v>255</v>
      </c>
      <c r="B255" s="119">
        <v>0.14951989026063101</v>
      </c>
      <c r="C255">
        <v>18</v>
      </c>
    </row>
    <row r="256" spans="1:3">
      <c r="A256" s="119">
        <v>256</v>
      </c>
      <c r="B256" s="119">
        <v>0.48285322359396432</v>
      </c>
      <c r="C256">
        <v>37</v>
      </c>
    </row>
    <row r="257" spans="1:3">
      <c r="A257" s="119">
        <v>257</v>
      </c>
      <c r="B257" s="119">
        <v>0.81618655692729747</v>
      </c>
      <c r="C257">
        <v>60</v>
      </c>
    </row>
    <row r="258" spans="1:3">
      <c r="A258" s="119">
        <v>258</v>
      </c>
      <c r="B258" s="119">
        <v>0.26063100137174211</v>
      </c>
      <c r="C258">
        <v>25</v>
      </c>
    </row>
    <row r="259" spans="1:3">
      <c r="A259" s="119">
        <v>259</v>
      </c>
      <c r="B259" s="119">
        <v>0.59396433470507537</v>
      </c>
      <c r="C259">
        <v>44</v>
      </c>
    </row>
    <row r="260" spans="1:3">
      <c r="A260" s="119">
        <v>260</v>
      </c>
      <c r="B260" s="119">
        <v>0.92729766803840863</v>
      </c>
      <c r="C260">
        <v>75</v>
      </c>
    </row>
    <row r="261" spans="1:3">
      <c r="A261" s="119">
        <v>261</v>
      </c>
      <c r="B261" s="119">
        <v>7.5445816186556922E-2</v>
      </c>
      <c r="C261">
        <v>13</v>
      </c>
    </row>
    <row r="262" spans="1:3">
      <c r="A262" s="119">
        <v>262</v>
      </c>
      <c r="B262" s="119">
        <v>0.40877914951989025</v>
      </c>
      <c r="C262">
        <v>33</v>
      </c>
    </row>
    <row r="263" spans="1:3">
      <c r="A263" s="119">
        <v>263</v>
      </c>
      <c r="B263" s="119">
        <v>0.74211248285322351</v>
      </c>
      <c r="C263">
        <v>54</v>
      </c>
    </row>
    <row r="264" spans="1:3">
      <c r="A264" s="119">
        <v>264</v>
      </c>
      <c r="B264" s="119">
        <v>0.18655692729766804</v>
      </c>
      <c r="C264">
        <v>21</v>
      </c>
    </row>
    <row r="265" spans="1:3">
      <c r="A265" s="119">
        <v>265</v>
      </c>
      <c r="B265" s="119">
        <v>0.5198902606310013</v>
      </c>
      <c r="C265">
        <v>39</v>
      </c>
    </row>
    <row r="266" spans="1:3">
      <c r="A266" s="119">
        <v>266</v>
      </c>
      <c r="B266" s="119">
        <v>0.85322359396433456</v>
      </c>
      <c r="C266">
        <v>64</v>
      </c>
    </row>
    <row r="267" spans="1:3">
      <c r="A267" s="119">
        <v>267</v>
      </c>
      <c r="B267" s="119">
        <v>0.29766803840877915</v>
      </c>
      <c r="C267">
        <v>27</v>
      </c>
    </row>
    <row r="268" spans="1:3">
      <c r="A268" s="119">
        <v>268</v>
      </c>
      <c r="B268" s="119">
        <v>0.63100137174211246</v>
      </c>
      <c r="C268">
        <v>46</v>
      </c>
    </row>
    <row r="269" spans="1:3">
      <c r="A269" s="119">
        <v>269</v>
      </c>
      <c r="B269" s="119">
        <v>0.96433470507544572</v>
      </c>
      <c r="C269">
        <v>85</v>
      </c>
    </row>
    <row r="270" spans="1:3">
      <c r="A270" s="119">
        <v>270</v>
      </c>
      <c r="B270" s="119">
        <v>1.3717421124828532E-2</v>
      </c>
      <c r="C270">
        <v>5</v>
      </c>
    </row>
    <row r="271" spans="1:3">
      <c r="A271" s="119">
        <v>271</v>
      </c>
      <c r="B271" s="119">
        <v>0.34705075445816186</v>
      </c>
      <c r="C271">
        <v>30</v>
      </c>
    </row>
    <row r="272" spans="1:3">
      <c r="A272" s="119">
        <v>272</v>
      </c>
      <c r="B272" s="119">
        <v>0.68038408779149506</v>
      </c>
      <c r="C272">
        <v>49</v>
      </c>
    </row>
    <row r="273" spans="1:3">
      <c r="A273" s="119">
        <v>273</v>
      </c>
      <c r="B273" s="119">
        <v>0.12482853223593963</v>
      </c>
      <c r="C273">
        <v>17</v>
      </c>
    </row>
    <row r="274" spans="1:3">
      <c r="A274" s="119">
        <v>274</v>
      </c>
      <c r="B274" s="119">
        <v>0.45816186556927296</v>
      </c>
      <c r="C274">
        <v>36</v>
      </c>
    </row>
    <row r="275" spans="1:3">
      <c r="A275" s="119">
        <v>275</v>
      </c>
      <c r="B275" s="119">
        <v>0.79149519890260622</v>
      </c>
      <c r="C275">
        <v>58</v>
      </c>
    </row>
    <row r="276" spans="1:3">
      <c r="A276" s="119">
        <v>276</v>
      </c>
      <c r="B276" s="119">
        <v>0.23593964334705075</v>
      </c>
      <c r="C276">
        <v>24</v>
      </c>
    </row>
    <row r="277" spans="1:3">
      <c r="A277" s="119">
        <v>277</v>
      </c>
      <c r="B277" s="119">
        <v>0.56927297668038412</v>
      </c>
      <c r="C277">
        <v>42</v>
      </c>
    </row>
    <row r="278" spans="1:3">
      <c r="A278" s="119">
        <v>278</v>
      </c>
      <c r="B278" s="119">
        <v>0.90260631001371738</v>
      </c>
      <c r="C278">
        <v>71</v>
      </c>
    </row>
    <row r="279" spans="1:3">
      <c r="A279" s="119">
        <v>279</v>
      </c>
      <c r="B279" s="119">
        <v>5.0754458161865565E-2</v>
      </c>
      <c r="C279">
        <v>10</v>
      </c>
    </row>
    <row r="280" spans="1:3">
      <c r="A280" s="119">
        <v>280</v>
      </c>
      <c r="B280" s="119">
        <v>0.38408779149519889</v>
      </c>
      <c r="C280">
        <v>32</v>
      </c>
    </row>
    <row r="281" spans="1:3">
      <c r="A281" s="119">
        <v>281</v>
      </c>
      <c r="B281" s="119">
        <v>0.71742112482853226</v>
      </c>
      <c r="C281">
        <v>52</v>
      </c>
    </row>
    <row r="282" spans="1:3">
      <c r="A282" s="119">
        <v>282</v>
      </c>
      <c r="B282" s="119">
        <v>0.16186556927297668</v>
      </c>
      <c r="C282">
        <v>19</v>
      </c>
    </row>
    <row r="283" spans="1:3">
      <c r="A283" s="119">
        <v>283</v>
      </c>
      <c r="B283" s="119">
        <v>0.49519890260631</v>
      </c>
      <c r="C283">
        <v>38</v>
      </c>
    </row>
    <row r="284" spans="1:3">
      <c r="A284" s="119">
        <v>284</v>
      </c>
      <c r="B284" s="119">
        <v>0.8285322359396432</v>
      </c>
      <c r="C284">
        <v>61</v>
      </c>
    </row>
    <row r="285" spans="1:3">
      <c r="A285" s="119">
        <v>285</v>
      </c>
      <c r="B285" s="119">
        <v>0.27297668038408779</v>
      </c>
      <c r="C285">
        <v>26</v>
      </c>
    </row>
    <row r="286" spans="1:3">
      <c r="A286" s="119">
        <v>286</v>
      </c>
      <c r="B286" s="119">
        <v>0.6063100137174211</v>
      </c>
      <c r="C286">
        <v>45</v>
      </c>
    </row>
    <row r="287" spans="1:3">
      <c r="A287" s="119">
        <v>287</v>
      </c>
      <c r="B287" s="119">
        <v>0.93964334705075436</v>
      </c>
      <c r="C287">
        <v>78</v>
      </c>
    </row>
    <row r="288" spans="1:3">
      <c r="A288" s="119">
        <v>288</v>
      </c>
      <c r="B288" s="119">
        <v>8.77914951989026E-2</v>
      </c>
      <c r="C288">
        <v>14</v>
      </c>
    </row>
    <row r="289" spans="1:3">
      <c r="A289" s="119">
        <v>289</v>
      </c>
      <c r="B289" s="119">
        <v>0.42112482853223593</v>
      </c>
      <c r="C289">
        <v>34</v>
      </c>
    </row>
    <row r="290" spans="1:3">
      <c r="A290" s="119">
        <v>290</v>
      </c>
      <c r="B290" s="119">
        <v>0.75445816186556924</v>
      </c>
      <c r="C290">
        <v>55</v>
      </c>
    </row>
    <row r="291" spans="1:3">
      <c r="A291" s="119">
        <v>291</v>
      </c>
      <c r="B291" s="119">
        <v>0.19890260631001372</v>
      </c>
      <c r="C291">
        <v>21</v>
      </c>
    </row>
    <row r="292" spans="1:3">
      <c r="A292" s="119">
        <v>292</v>
      </c>
      <c r="B292" s="119">
        <v>0.53223593964334692</v>
      </c>
      <c r="C292">
        <v>40</v>
      </c>
    </row>
    <row r="293" spans="1:3">
      <c r="A293" s="119">
        <v>293</v>
      </c>
      <c r="B293" s="119">
        <v>0.86556927297668018</v>
      </c>
      <c r="C293">
        <v>66</v>
      </c>
    </row>
    <row r="294" spans="1:3">
      <c r="A294" s="119">
        <v>294</v>
      </c>
      <c r="B294" s="119">
        <v>0.31001371742112482</v>
      </c>
      <c r="C294">
        <v>28</v>
      </c>
    </row>
    <row r="295" spans="1:3">
      <c r="A295" s="119">
        <v>295</v>
      </c>
      <c r="B295" s="119">
        <v>0.64334705075445808</v>
      </c>
      <c r="C295">
        <v>47</v>
      </c>
    </row>
    <row r="296" spans="1:3">
      <c r="A296" s="119">
        <v>296</v>
      </c>
      <c r="B296" s="119">
        <v>0.97668038408779134</v>
      </c>
      <c r="C296">
        <v>90</v>
      </c>
    </row>
    <row r="297" spans="1:3">
      <c r="A297" s="119">
        <v>297</v>
      </c>
      <c r="B297" s="119">
        <v>2.6063100137174208E-2</v>
      </c>
      <c r="C297">
        <v>7</v>
      </c>
    </row>
    <row r="298" spans="1:3">
      <c r="A298" s="119">
        <v>298</v>
      </c>
      <c r="B298" s="119">
        <v>0.35939643347050754</v>
      </c>
      <c r="C298">
        <v>31</v>
      </c>
    </row>
    <row r="299" spans="1:3">
      <c r="A299" s="119">
        <v>299</v>
      </c>
      <c r="B299" s="119">
        <v>0.6927297668038408</v>
      </c>
      <c r="C299">
        <v>50</v>
      </c>
    </row>
    <row r="300" spans="1:3">
      <c r="A300" s="119">
        <v>300</v>
      </c>
      <c r="B300" s="119">
        <v>0.13717421124828533</v>
      </c>
      <c r="C300">
        <v>17</v>
      </c>
    </row>
    <row r="301" spans="1:3">
      <c r="A301" s="119">
        <v>301</v>
      </c>
      <c r="B301" s="119">
        <v>0.47050754458161864</v>
      </c>
      <c r="C301">
        <v>37</v>
      </c>
    </row>
    <row r="302" spans="1:3">
      <c r="A302" s="119">
        <v>302</v>
      </c>
      <c r="B302" s="119">
        <v>0.80384087791495185</v>
      </c>
      <c r="C302">
        <v>59</v>
      </c>
    </row>
    <row r="303" spans="1:3">
      <c r="A303" s="119">
        <v>303</v>
      </c>
      <c r="B303" s="119">
        <v>0.24828532235939643</v>
      </c>
      <c r="C303">
        <v>24</v>
      </c>
    </row>
    <row r="304" spans="1:3">
      <c r="A304" s="119">
        <v>304</v>
      </c>
      <c r="B304" s="119">
        <v>0.58161865569272975</v>
      </c>
      <c r="C304">
        <v>43</v>
      </c>
    </row>
    <row r="305" spans="1:3">
      <c r="A305" s="119">
        <v>305</v>
      </c>
      <c r="B305" s="119">
        <v>0.91495198902606301</v>
      </c>
      <c r="C305">
        <v>73</v>
      </c>
    </row>
    <row r="306" spans="1:3">
      <c r="A306" s="119">
        <v>306</v>
      </c>
      <c r="B306" s="119">
        <v>6.3100137174211243E-2</v>
      </c>
      <c r="C306">
        <v>11</v>
      </c>
    </row>
    <row r="307" spans="1:3">
      <c r="A307" s="119">
        <v>307</v>
      </c>
      <c r="B307" s="119">
        <v>0.39643347050754457</v>
      </c>
      <c r="C307">
        <v>33</v>
      </c>
    </row>
    <row r="308" spans="1:3">
      <c r="A308" s="119">
        <v>308</v>
      </c>
      <c r="B308" s="119">
        <v>0.72976680384087789</v>
      </c>
      <c r="C308">
        <v>53</v>
      </c>
    </row>
    <row r="309" spans="1:3">
      <c r="A309" s="119">
        <v>309</v>
      </c>
      <c r="B309" s="119">
        <v>0.17421124828532236</v>
      </c>
      <c r="C309">
        <v>20</v>
      </c>
    </row>
    <row r="310" spans="1:3">
      <c r="A310" s="119">
        <v>310</v>
      </c>
      <c r="B310" s="119">
        <v>0.50754458161865568</v>
      </c>
      <c r="C310">
        <v>39</v>
      </c>
    </row>
    <row r="311" spans="1:3">
      <c r="A311" s="119">
        <v>311</v>
      </c>
      <c r="B311" s="119">
        <v>0.84087791495198883</v>
      </c>
      <c r="C311">
        <v>63</v>
      </c>
    </row>
    <row r="312" spans="1:3">
      <c r="A312" s="119">
        <v>312</v>
      </c>
      <c r="B312" s="119">
        <v>0.28532235939643347</v>
      </c>
      <c r="C312">
        <v>27</v>
      </c>
    </row>
    <row r="313" spans="1:3">
      <c r="A313" s="119">
        <v>313</v>
      </c>
      <c r="B313" s="119">
        <v>0.61865569272976673</v>
      </c>
      <c r="C313">
        <v>45</v>
      </c>
    </row>
    <row r="314" spans="1:3">
      <c r="A314" s="119">
        <v>314</v>
      </c>
      <c r="B314" s="119">
        <v>0.95198902606309999</v>
      </c>
      <c r="C314">
        <v>81</v>
      </c>
    </row>
    <row r="315" spans="1:3">
      <c r="A315" s="119">
        <v>315</v>
      </c>
      <c r="B315" s="119">
        <v>0.10013717421124828</v>
      </c>
      <c r="C315">
        <v>15</v>
      </c>
    </row>
    <row r="316" spans="1:3">
      <c r="A316" s="119">
        <v>316</v>
      </c>
      <c r="B316" s="119">
        <v>0.43347050754458161</v>
      </c>
      <c r="C316">
        <v>35</v>
      </c>
    </row>
    <row r="317" spans="1:3">
      <c r="A317" s="119">
        <v>317</v>
      </c>
      <c r="B317" s="119">
        <v>0.76680384087791487</v>
      </c>
      <c r="C317">
        <v>56</v>
      </c>
    </row>
    <row r="318" spans="1:3">
      <c r="A318" s="119">
        <v>318</v>
      </c>
      <c r="B318" s="119">
        <v>0.2112482853223594</v>
      </c>
      <c r="C318">
        <v>22</v>
      </c>
    </row>
    <row r="319" spans="1:3">
      <c r="A319" s="119">
        <v>319</v>
      </c>
      <c r="B319" s="119">
        <v>0.54458161865569266</v>
      </c>
      <c r="C319">
        <v>41</v>
      </c>
    </row>
    <row r="320" spans="1:3">
      <c r="A320" s="119">
        <v>320</v>
      </c>
      <c r="B320" s="119">
        <v>0.87791495198902592</v>
      </c>
      <c r="C320">
        <v>67</v>
      </c>
    </row>
    <row r="321" spans="1:3">
      <c r="A321" s="119">
        <v>321</v>
      </c>
      <c r="B321" s="119">
        <v>0.3223593964334705</v>
      </c>
      <c r="C321">
        <v>29</v>
      </c>
    </row>
    <row r="322" spans="1:3">
      <c r="A322" s="119">
        <v>322</v>
      </c>
      <c r="B322" s="119">
        <v>0.65569272976680382</v>
      </c>
      <c r="C322">
        <v>48</v>
      </c>
    </row>
    <row r="323" spans="1:3">
      <c r="A323" s="119">
        <v>323</v>
      </c>
      <c r="B323" s="119">
        <v>0.98902606310013708</v>
      </c>
      <c r="C323">
        <v>99</v>
      </c>
    </row>
    <row r="324" spans="1:3">
      <c r="A324" s="119">
        <v>324</v>
      </c>
      <c r="B324" s="119">
        <v>5.4869684499314134E-3</v>
      </c>
      <c r="C324">
        <v>3</v>
      </c>
    </row>
    <row r="325" spans="1:3">
      <c r="A325" s="119">
        <v>325</v>
      </c>
      <c r="B325" s="119">
        <v>0.33882030178326472</v>
      </c>
      <c r="C325">
        <v>29</v>
      </c>
    </row>
    <row r="326" spans="1:3">
      <c r="A326" s="119">
        <v>326</v>
      </c>
      <c r="B326" s="119">
        <v>0.67215363511659798</v>
      </c>
      <c r="C326">
        <v>49</v>
      </c>
    </row>
    <row r="327" spans="1:3">
      <c r="A327" s="119">
        <v>327</v>
      </c>
      <c r="B327" s="119">
        <v>0.11659807956104251</v>
      </c>
      <c r="C327">
        <v>16</v>
      </c>
    </row>
    <row r="328" spans="1:3">
      <c r="A328" s="119">
        <v>328</v>
      </c>
      <c r="B328" s="119">
        <v>0.44993141289437583</v>
      </c>
      <c r="C328">
        <v>36</v>
      </c>
    </row>
    <row r="329" spans="1:3">
      <c r="A329" s="119">
        <v>329</v>
      </c>
      <c r="B329" s="119">
        <v>0.78326474622770903</v>
      </c>
      <c r="C329">
        <v>57</v>
      </c>
    </row>
    <row r="330" spans="1:3">
      <c r="A330" s="119">
        <v>330</v>
      </c>
      <c r="B330" s="119">
        <v>0.22770919067215364</v>
      </c>
      <c r="C330">
        <v>23</v>
      </c>
    </row>
    <row r="331" spans="1:3">
      <c r="A331" s="119">
        <v>331</v>
      </c>
      <c r="B331" s="119">
        <v>0.56104252400548693</v>
      </c>
      <c r="C331">
        <v>42</v>
      </c>
    </row>
    <row r="332" spans="1:3">
      <c r="A332" s="119">
        <v>332</v>
      </c>
      <c r="B332" s="119">
        <v>0.89437585733882019</v>
      </c>
      <c r="C332">
        <v>69</v>
      </c>
    </row>
    <row r="333" spans="1:3">
      <c r="A333" s="119">
        <v>333</v>
      </c>
      <c r="B333" s="119">
        <v>4.2524005486968448E-2</v>
      </c>
      <c r="C333">
        <v>9</v>
      </c>
    </row>
    <row r="334" spans="1:3">
      <c r="A334" s="119">
        <v>334</v>
      </c>
      <c r="B334" s="119">
        <v>0.37585733882030176</v>
      </c>
      <c r="C334">
        <v>32</v>
      </c>
    </row>
    <row r="335" spans="1:3">
      <c r="A335" s="119">
        <v>335</v>
      </c>
      <c r="B335" s="119">
        <v>0.70919067215363507</v>
      </c>
      <c r="C335">
        <v>51</v>
      </c>
    </row>
    <row r="336" spans="1:3">
      <c r="A336" s="119">
        <v>336</v>
      </c>
      <c r="B336" s="119">
        <v>0.15363511659807957</v>
      </c>
      <c r="C336">
        <v>19</v>
      </c>
    </row>
    <row r="337" spans="1:3">
      <c r="A337" s="119">
        <v>337</v>
      </c>
      <c r="B337" s="119">
        <v>0.48696844993141286</v>
      </c>
      <c r="C337">
        <v>38</v>
      </c>
    </row>
    <row r="338" spans="1:3">
      <c r="A338" s="119">
        <v>338</v>
      </c>
      <c r="B338" s="119">
        <v>0.82030178326474601</v>
      </c>
      <c r="C338">
        <v>61</v>
      </c>
    </row>
    <row r="339" spans="1:3">
      <c r="A339" s="119">
        <v>339</v>
      </c>
      <c r="B339" s="119">
        <v>0.26474622770919065</v>
      </c>
      <c r="C339">
        <v>25</v>
      </c>
    </row>
    <row r="340" spans="1:3">
      <c r="A340" s="119">
        <v>340</v>
      </c>
      <c r="B340" s="119">
        <v>0.59807956104252391</v>
      </c>
      <c r="C340">
        <v>44</v>
      </c>
    </row>
    <row r="341" spans="1:3">
      <c r="A341" s="119">
        <v>341</v>
      </c>
      <c r="B341" s="119">
        <v>0.93141289437585717</v>
      </c>
      <c r="C341">
        <v>76</v>
      </c>
    </row>
    <row r="342" spans="1:3">
      <c r="A342" s="119">
        <v>342</v>
      </c>
      <c r="B342" s="119">
        <v>7.9561042524005476E-2</v>
      </c>
      <c r="C342">
        <v>13</v>
      </c>
    </row>
    <row r="343" spans="1:3">
      <c r="A343" s="119">
        <v>343</v>
      </c>
      <c r="B343" s="119">
        <v>0.41289437585733879</v>
      </c>
      <c r="C343">
        <v>34</v>
      </c>
    </row>
    <row r="344" spans="1:3">
      <c r="A344" s="119">
        <v>344</v>
      </c>
      <c r="B344" s="119">
        <v>0.74622770919067205</v>
      </c>
      <c r="C344">
        <v>54</v>
      </c>
    </row>
    <row r="345" spans="1:3">
      <c r="A345" s="119">
        <v>345</v>
      </c>
      <c r="B345" s="119">
        <v>0.19067215363511661</v>
      </c>
      <c r="C345">
        <v>21</v>
      </c>
    </row>
    <row r="346" spans="1:3">
      <c r="A346" s="119">
        <v>346</v>
      </c>
      <c r="B346" s="119">
        <v>0.52400548696844984</v>
      </c>
      <c r="C346">
        <v>40</v>
      </c>
    </row>
    <row r="347" spans="1:3">
      <c r="A347" s="119">
        <v>347</v>
      </c>
      <c r="B347" s="119">
        <v>0.8573388203017831</v>
      </c>
      <c r="C347">
        <v>65</v>
      </c>
    </row>
    <row r="348" spans="1:3">
      <c r="A348" s="119">
        <v>348</v>
      </c>
      <c r="B348" s="119">
        <v>0.30178326474622769</v>
      </c>
      <c r="C348">
        <v>27</v>
      </c>
    </row>
    <row r="349" spans="1:3">
      <c r="A349" s="119">
        <v>349</v>
      </c>
      <c r="B349" s="119">
        <v>0.635116598079561</v>
      </c>
      <c r="C349">
        <v>46</v>
      </c>
    </row>
    <row r="350" spans="1:3">
      <c r="A350" s="119">
        <v>350</v>
      </c>
      <c r="B350" s="119">
        <v>0.96844993141289426</v>
      </c>
      <c r="C350">
        <v>86</v>
      </c>
    </row>
    <row r="351" spans="1:3">
      <c r="A351" s="119">
        <v>351</v>
      </c>
      <c r="B351" s="119">
        <v>1.7832647462277092E-2</v>
      </c>
      <c r="C351">
        <v>6</v>
      </c>
    </row>
    <row r="352" spans="1:3">
      <c r="A352" s="119">
        <v>352</v>
      </c>
      <c r="B352" s="119">
        <v>0.3511659807956104</v>
      </c>
      <c r="C352">
        <v>30</v>
      </c>
    </row>
    <row r="353" spans="1:3">
      <c r="A353" s="119">
        <v>353</v>
      </c>
      <c r="B353" s="119">
        <v>0.6844993141289436</v>
      </c>
      <c r="C353">
        <v>50</v>
      </c>
    </row>
    <row r="354" spans="1:3">
      <c r="A354" s="119">
        <v>354</v>
      </c>
      <c r="B354" s="119">
        <v>0.12894375857338822</v>
      </c>
      <c r="C354">
        <v>17</v>
      </c>
    </row>
    <row r="355" spans="1:3">
      <c r="A355" s="119">
        <v>355</v>
      </c>
      <c r="B355" s="119">
        <v>0.4622770919067215</v>
      </c>
      <c r="C355">
        <v>36</v>
      </c>
    </row>
    <row r="356" spans="1:3">
      <c r="A356" s="119">
        <v>356</v>
      </c>
      <c r="B356" s="119">
        <v>0.79561042524005476</v>
      </c>
      <c r="C356">
        <v>58</v>
      </c>
    </row>
    <row r="357" spans="1:3">
      <c r="A357" s="119">
        <v>357</v>
      </c>
      <c r="B357" s="119">
        <v>0.24005486968449932</v>
      </c>
      <c r="C357">
        <v>24</v>
      </c>
    </row>
    <row r="358" spans="1:3">
      <c r="A358" s="119">
        <v>358</v>
      </c>
      <c r="B358" s="119">
        <v>0.57338820301783266</v>
      </c>
      <c r="C358">
        <v>43</v>
      </c>
    </row>
    <row r="359" spans="1:3">
      <c r="A359" s="119">
        <v>359</v>
      </c>
      <c r="B359" s="119">
        <v>0.90672153635116592</v>
      </c>
      <c r="C359">
        <v>71</v>
      </c>
    </row>
    <row r="360" spans="1:3">
      <c r="A360" s="119">
        <v>360</v>
      </c>
      <c r="B360" s="119">
        <v>5.4869684499314127E-2</v>
      </c>
      <c r="C360">
        <v>11</v>
      </c>
    </row>
    <row r="361" spans="1:3">
      <c r="A361" s="119">
        <v>361</v>
      </c>
      <c r="B361" s="119">
        <v>0.38820301783264743</v>
      </c>
      <c r="C361">
        <v>32</v>
      </c>
    </row>
    <row r="362" spans="1:3">
      <c r="A362" s="119">
        <v>362</v>
      </c>
      <c r="B362" s="119">
        <v>0.7215363511659808</v>
      </c>
      <c r="C362">
        <v>52</v>
      </c>
    </row>
    <row r="363" spans="1:3">
      <c r="A363" s="119">
        <v>363</v>
      </c>
      <c r="B363" s="119">
        <v>0.16598079561042525</v>
      </c>
      <c r="C363">
        <v>19</v>
      </c>
    </row>
    <row r="364" spans="1:3">
      <c r="A364" s="119">
        <v>364</v>
      </c>
      <c r="B364" s="119">
        <v>0.49931412894375854</v>
      </c>
      <c r="C364">
        <v>38</v>
      </c>
    </row>
    <row r="365" spans="1:3">
      <c r="A365" s="119">
        <v>365</v>
      </c>
      <c r="B365" s="119">
        <v>0.83264746227709174</v>
      </c>
      <c r="C365">
        <v>62</v>
      </c>
    </row>
    <row r="366" spans="1:3">
      <c r="A366" s="119">
        <v>366</v>
      </c>
      <c r="B366" s="119">
        <v>0.27709190672153633</v>
      </c>
      <c r="C366">
        <v>26</v>
      </c>
    </row>
    <row r="367" spans="1:3">
      <c r="A367" s="119">
        <v>367</v>
      </c>
      <c r="B367" s="119">
        <v>0.61042524005486964</v>
      </c>
      <c r="C367">
        <v>45</v>
      </c>
    </row>
    <row r="368" spans="1:3">
      <c r="A368" s="119">
        <v>368</v>
      </c>
      <c r="B368" s="119">
        <v>0.9437585733882029</v>
      </c>
      <c r="C368">
        <v>79</v>
      </c>
    </row>
    <row r="369" spans="1:3">
      <c r="A369" s="119">
        <v>369</v>
      </c>
      <c r="B369" s="119">
        <v>9.1906721536351155E-2</v>
      </c>
      <c r="C369">
        <v>14</v>
      </c>
    </row>
    <row r="370" spans="1:3">
      <c r="A370" s="119">
        <v>370</v>
      </c>
      <c r="B370" s="119">
        <v>0.42524005486968447</v>
      </c>
      <c r="C370">
        <v>34</v>
      </c>
    </row>
    <row r="371" spans="1:3">
      <c r="A371" s="119">
        <v>371</v>
      </c>
      <c r="B371" s="119">
        <v>0.75857338820301778</v>
      </c>
      <c r="C371">
        <v>55</v>
      </c>
    </row>
    <row r="372" spans="1:3">
      <c r="A372" s="119">
        <v>372</v>
      </c>
      <c r="B372" s="119">
        <v>0.20301783264746229</v>
      </c>
      <c r="C372">
        <v>22</v>
      </c>
    </row>
    <row r="373" spans="1:3">
      <c r="A373" s="119">
        <v>373</v>
      </c>
      <c r="B373" s="119">
        <v>0.53635116598079546</v>
      </c>
      <c r="C373">
        <v>40</v>
      </c>
    </row>
    <row r="374" spans="1:3">
      <c r="A374" s="119">
        <v>374</v>
      </c>
      <c r="B374" s="119">
        <v>0.86968449931412872</v>
      </c>
      <c r="C374">
        <v>66</v>
      </c>
    </row>
    <row r="375" spans="1:3">
      <c r="A375" s="119">
        <v>375</v>
      </c>
      <c r="B375" s="119">
        <v>0.31412894375857336</v>
      </c>
      <c r="C375">
        <v>28</v>
      </c>
    </row>
    <row r="376" spans="1:3">
      <c r="A376" s="119">
        <v>376</v>
      </c>
      <c r="B376" s="119">
        <v>0.64746227709190662</v>
      </c>
      <c r="C376">
        <v>47</v>
      </c>
    </row>
    <row r="377" spans="1:3">
      <c r="A377" s="119">
        <v>377</v>
      </c>
      <c r="B377" s="119">
        <v>0.98079561042523988</v>
      </c>
      <c r="C377">
        <v>92</v>
      </c>
    </row>
    <row r="378" spans="1:3">
      <c r="A378" s="119">
        <v>378</v>
      </c>
      <c r="B378" s="119">
        <v>3.017832647462277E-2</v>
      </c>
      <c r="C378">
        <v>8</v>
      </c>
    </row>
    <row r="379" spans="1:3">
      <c r="A379" s="119">
        <v>379</v>
      </c>
      <c r="B379" s="119">
        <v>0.36351165980795608</v>
      </c>
      <c r="C379">
        <v>31</v>
      </c>
    </row>
    <row r="380" spans="1:3">
      <c r="A380" s="119">
        <v>380</v>
      </c>
      <c r="B380" s="119">
        <v>0.69684499314128934</v>
      </c>
      <c r="C380">
        <v>50</v>
      </c>
    </row>
    <row r="381" spans="1:3">
      <c r="A381" s="119">
        <v>381</v>
      </c>
      <c r="B381" s="119">
        <v>0.1412894375857339</v>
      </c>
      <c r="C381">
        <v>18</v>
      </c>
    </row>
    <row r="382" spans="1:3">
      <c r="A382" s="119">
        <v>382</v>
      </c>
      <c r="B382" s="119">
        <v>0.47462277091906718</v>
      </c>
      <c r="C382">
        <v>37</v>
      </c>
    </row>
    <row r="383" spans="1:3">
      <c r="A383" s="119">
        <v>383</v>
      </c>
      <c r="B383" s="119">
        <v>0.80795610425240039</v>
      </c>
      <c r="C383">
        <v>59</v>
      </c>
    </row>
    <row r="384" spans="1:3">
      <c r="A384" s="119">
        <v>384</v>
      </c>
      <c r="B384" s="119">
        <v>0.25240054869684497</v>
      </c>
      <c r="C384">
        <v>25</v>
      </c>
    </row>
    <row r="385" spans="1:3">
      <c r="A385" s="119">
        <v>385</v>
      </c>
      <c r="B385" s="119">
        <v>0.58573388203017829</v>
      </c>
      <c r="C385">
        <v>43</v>
      </c>
    </row>
    <row r="386" spans="1:3">
      <c r="A386" s="119">
        <v>386</v>
      </c>
      <c r="B386" s="119">
        <v>0.91906721536351155</v>
      </c>
      <c r="C386">
        <v>73</v>
      </c>
    </row>
    <row r="387" spans="1:3">
      <c r="A387" s="119">
        <v>387</v>
      </c>
      <c r="B387" s="119">
        <v>6.7215363511659798E-2</v>
      </c>
      <c r="C387">
        <v>12</v>
      </c>
    </row>
    <row r="388" spans="1:3">
      <c r="A388" s="119">
        <v>388</v>
      </c>
      <c r="B388" s="119">
        <v>0.40054869684499311</v>
      </c>
      <c r="C388">
        <v>33</v>
      </c>
    </row>
    <row r="389" spans="1:3">
      <c r="A389" s="119">
        <v>389</v>
      </c>
      <c r="B389" s="119">
        <v>0.73388203017832643</v>
      </c>
      <c r="C389">
        <v>53</v>
      </c>
    </row>
    <row r="390" spans="1:3">
      <c r="A390" s="119">
        <v>390</v>
      </c>
      <c r="B390" s="119">
        <v>0.17832647462277093</v>
      </c>
      <c r="C390">
        <v>20</v>
      </c>
    </row>
    <row r="391" spans="1:3">
      <c r="A391" s="119">
        <v>391</v>
      </c>
      <c r="B391" s="119">
        <v>0.51165980795610422</v>
      </c>
      <c r="C391">
        <v>39</v>
      </c>
    </row>
    <row r="392" spans="1:3">
      <c r="A392" s="119">
        <v>392</v>
      </c>
      <c r="B392" s="119">
        <v>0.84499314128943737</v>
      </c>
      <c r="C392">
        <v>63</v>
      </c>
    </row>
    <row r="393" spans="1:3">
      <c r="A393" s="119">
        <v>393</v>
      </c>
      <c r="B393" s="119">
        <v>0.28943758573388201</v>
      </c>
      <c r="C393">
        <v>27</v>
      </c>
    </row>
    <row r="394" spans="1:3">
      <c r="A394" s="119">
        <v>394</v>
      </c>
      <c r="B394" s="119">
        <v>0.62277091906721527</v>
      </c>
      <c r="C394">
        <v>46</v>
      </c>
    </row>
    <row r="395" spans="1:3">
      <c r="A395" s="119">
        <v>395</v>
      </c>
      <c r="B395" s="119">
        <v>0.95610425240054853</v>
      </c>
      <c r="C395">
        <v>82</v>
      </c>
    </row>
    <row r="396" spans="1:3">
      <c r="A396" s="119">
        <v>396</v>
      </c>
      <c r="B396" s="119">
        <v>0.10425240054869683</v>
      </c>
      <c r="C396">
        <v>15</v>
      </c>
    </row>
    <row r="397" spans="1:3">
      <c r="A397" s="119">
        <v>397</v>
      </c>
      <c r="B397" s="119">
        <v>0.43758573388203015</v>
      </c>
      <c r="C397">
        <v>35</v>
      </c>
    </row>
    <row r="398" spans="1:3">
      <c r="A398" s="119">
        <v>398</v>
      </c>
      <c r="B398" s="119">
        <v>0.77091906721536341</v>
      </c>
      <c r="C398">
        <v>56</v>
      </c>
    </row>
    <row r="399" spans="1:3">
      <c r="A399" s="119">
        <v>399</v>
      </c>
      <c r="B399" s="119">
        <v>0.21536351165980797</v>
      </c>
      <c r="C399">
        <v>22</v>
      </c>
    </row>
    <row r="400" spans="1:3">
      <c r="A400" s="119">
        <v>400</v>
      </c>
      <c r="B400" s="119">
        <v>0.5486968449931412</v>
      </c>
      <c r="C400">
        <v>41</v>
      </c>
    </row>
    <row r="401" spans="1:3">
      <c r="A401" s="119">
        <v>401</v>
      </c>
      <c r="B401" s="119">
        <v>0.88203017832647446</v>
      </c>
      <c r="C401">
        <v>68</v>
      </c>
    </row>
    <row r="402" spans="1:3">
      <c r="A402" s="119">
        <v>402</v>
      </c>
      <c r="B402" s="119">
        <v>0.32647462277091904</v>
      </c>
      <c r="C402">
        <v>29</v>
      </c>
    </row>
    <row r="403" spans="1:3">
      <c r="A403" s="119">
        <v>403</v>
      </c>
      <c r="B403" s="119">
        <v>0.65980795610425236</v>
      </c>
      <c r="C403">
        <v>48</v>
      </c>
    </row>
    <row r="404" spans="1:3">
      <c r="A404" s="119">
        <v>404</v>
      </c>
      <c r="B404" s="119">
        <v>0.99314128943758562</v>
      </c>
      <c r="C404">
        <v>104</v>
      </c>
    </row>
    <row r="405" spans="1:3">
      <c r="A405" s="119">
        <v>405</v>
      </c>
      <c r="B405" s="119">
        <v>9.6021947873799734E-3</v>
      </c>
      <c r="C405">
        <v>4</v>
      </c>
    </row>
    <row r="406" spans="1:3">
      <c r="A406" s="119">
        <v>406</v>
      </c>
      <c r="B406" s="119">
        <v>0.34293552812071332</v>
      </c>
      <c r="C406">
        <v>30</v>
      </c>
    </row>
    <row r="407" spans="1:3">
      <c r="A407" s="119">
        <v>407</v>
      </c>
      <c r="B407" s="119">
        <v>0.67626886145404652</v>
      </c>
      <c r="C407">
        <v>49</v>
      </c>
    </row>
    <row r="408" spans="1:3">
      <c r="A408" s="119">
        <v>408</v>
      </c>
      <c r="B408" s="119">
        <v>0.12071330589849108</v>
      </c>
      <c r="C408">
        <v>16</v>
      </c>
    </row>
    <row r="409" spans="1:3">
      <c r="A409" s="119">
        <v>409</v>
      </c>
      <c r="B409" s="119">
        <v>0.45404663923182442</v>
      </c>
      <c r="C409">
        <v>36</v>
      </c>
    </row>
    <row r="410" spans="1:3">
      <c r="A410" s="119">
        <v>410</v>
      </c>
      <c r="B410" s="119">
        <v>0.78737997256515757</v>
      </c>
      <c r="C410">
        <v>58</v>
      </c>
    </row>
    <row r="411" spans="1:3">
      <c r="A411" s="119">
        <v>411</v>
      </c>
      <c r="B411" s="119">
        <v>0.23182441700960219</v>
      </c>
      <c r="C411">
        <v>23</v>
      </c>
    </row>
    <row r="412" spans="1:3">
      <c r="A412" s="119">
        <v>412</v>
      </c>
      <c r="B412" s="119">
        <v>0.56515775034293547</v>
      </c>
      <c r="C412">
        <v>42</v>
      </c>
    </row>
    <row r="413" spans="1:3">
      <c r="A413" s="119">
        <v>413</v>
      </c>
      <c r="B413" s="119">
        <v>0.89849108367626873</v>
      </c>
      <c r="C413">
        <v>70</v>
      </c>
    </row>
    <row r="414" spans="1:3">
      <c r="A414" s="119">
        <v>414</v>
      </c>
      <c r="B414" s="119">
        <v>4.663923182441701E-2</v>
      </c>
      <c r="C414">
        <v>10</v>
      </c>
    </row>
    <row r="415" spans="1:3">
      <c r="A415" s="119">
        <v>415</v>
      </c>
      <c r="B415" s="119">
        <v>0.37997256515775035</v>
      </c>
      <c r="C415">
        <v>32</v>
      </c>
    </row>
    <row r="416" spans="1:3">
      <c r="A416" s="119">
        <v>416</v>
      </c>
      <c r="B416" s="119">
        <v>0.71330589849108361</v>
      </c>
      <c r="C416">
        <v>52</v>
      </c>
    </row>
    <row r="417" spans="1:3">
      <c r="A417" s="119">
        <v>417</v>
      </c>
      <c r="B417" s="119">
        <v>0.15775034293552812</v>
      </c>
      <c r="C417">
        <v>19</v>
      </c>
    </row>
    <row r="418" spans="1:3">
      <c r="A418" s="119">
        <v>418</v>
      </c>
      <c r="B418" s="119">
        <v>0.49108367626886146</v>
      </c>
      <c r="C418">
        <v>38</v>
      </c>
    </row>
    <row r="419" spans="1:3">
      <c r="A419" s="119">
        <v>419</v>
      </c>
      <c r="B419" s="119">
        <v>0.82441700960219455</v>
      </c>
      <c r="C419">
        <v>61</v>
      </c>
    </row>
    <row r="420" spans="1:3">
      <c r="A420" s="119">
        <v>420</v>
      </c>
      <c r="B420" s="119">
        <v>0.26886145404663925</v>
      </c>
      <c r="C420">
        <v>26</v>
      </c>
    </row>
    <row r="421" spans="1:3">
      <c r="A421" s="119">
        <v>421</v>
      </c>
      <c r="B421" s="119">
        <v>0.60219478737997245</v>
      </c>
      <c r="C421">
        <v>44</v>
      </c>
    </row>
    <row r="422" spans="1:3">
      <c r="A422" s="119">
        <v>422</v>
      </c>
      <c r="B422" s="119">
        <v>0.93552812071330571</v>
      </c>
      <c r="C422">
        <v>77</v>
      </c>
    </row>
    <row r="423" spans="1:3">
      <c r="A423" s="119">
        <v>423</v>
      </c>
      <c r="B423" s="119">
        <v>8.3676268861454045E-2</v>
      </c>
      <c r="C423">
        <v>13</v>
      </c>
    </row>
    <row r="424" spans="1:3">
      <c r="A424" s="119">
        <v>424</v>
      </c>
      <c r="B424" s="119">
        <v>0.41700960219478739</v>
      </c>
      <c r="C424">
        <v>34</v>
      </c>
    </row>
    <row r="425" spans="1:3">
      <c r="A425" s="119">
        <v>425</v>
      </c>
      <c r="B425" s="119">
        <v>0.75034293552812059</v>
      </c>
      <c r="C425">
        <v>54</v>
      </c>
    </row>
    <row r="426" spans="1:3">
      <c r="A426" s="119">
        <v>426</v>
      </c>
      <c r="B426" s="119">
        <v>0.19478737997256515</v>
      </c>
      <c r="C426">
        <v>21</v>
      </c>
    </row>
    <row r="427" spans="1:3">
      <c r="A427" s="119">
        <v>427</v>
      </c>
      <c r="B427" s="119">
        <v>0.52812071330589838</v>
      </c>
      <c r="C427">
        <v>40</v>
      </c>
    </row>
    <row r="428" spans="1:3">
      <c r="A428" s="119">
        <v>428</v>
      </c>
      <c r="B428" s="119">
        <v>0.86145404663923164</v>
      </c>
      <c r="C428">
        <v>65</v>
      </c>
    </row>
    <row r="429" spans="1:3">
      <c r="A429" s="119">
        <v>429</v>
      </c>
      <c r="B429" s="119">
        <v>0.30589849108367628</v>
      </c>
      <c r="C429">
        <v>28</v>
      </c>
    </row>
    <row r="430" spans="1:3">
      <c r="A430" s="119">
        <v>430</v>
      </c>
      <c r="B430" s="119">
        <v>0.63923182441700954</v>
      </c>
      <c r="C430">
        <v>47</v>
      </c>
    </row>
    <row r="431" spans="1:3">
      <c r="A431" s="119">
        <v>431</v>
      </c>
      <c r="B431" s="119">
        <v>0.9725651577503428</v>
      </c>
      <c r="C431">
        <v>88</v>
      </c>
    </row>
    <row r="432" spans="1:3">
      <c r="A432" s="119">
        <v>432</v>
      </c>
      <c r="B432" s="119">
        <v>2.194787379972565E-2</v>
      </c>
      <c r="C432">
        <v>6</v>
      </c>
    </row>
    <row r="433" spans="1:3">
      <c r="A433" s="119">
        <v>433</v>
      </c>
      <c r="B433" s="119">
        <v>0.355281207133059</v>
      </c>
      <c r="C433">
        <v>30</v>
      </c>
    </row>
    <row r="434" spans="1:3">
      <c r="A434" s="119">
        <v>434</v>
      </c>
      <c r="B434" s="119">
        <v>0.68861454046639214</v>
      </c>
      <c r="C434">
        <v>50</v>
      </c>
    </row>
    <row r="435" spans="1:3">
      <c r="A435" s="119">
        <v>435</v>
      </c>
      <c r="B435" s="119">
        <v>0.13305898491083676</v>
      </c>
      <c r="C435">
        <v>17</v>
      </c>
    </row>
    <row r="436" spans="1:3">
      <c r="A436" s="119">
        <v>436</v>
      </c>
      <c r="B436" s="119">
        <v>0.4663923182441701</v>
      </c>
      <c r="C436">
        <v>36</v>
      </c>
    </row>
    <row r="437" spans="1:3">
      <c r="A437" s="119">
        <v>437</v>
      </c>
      <c r="B437" s="119">
        <v>0.7997256515775033</v>
      </c>
      <c r="C437">
        <v>59</v>
      </c>
    </row>
    <row r="438" spans="1:3">
      <c r="A438" s="119">
        <v>438</v>
      </c>
      <c r="B438" s="119">
        <v>0.24417009602194786</v>
      </c>
      <c r="C438">
        <v>24</v>
      </c>
    </row>
    <row r="439" spans="1:3">
      <c r="A439" s="119">
        <v>439</v>
      </c>
      <c r="B439" s="119">
        <v>0.57750342935528121</v>
      </c>
      <c r="C439">
        <v>43</v>
      </c>
    </row>
    <row r="440" spans="1:3">
      <c r="A440" s="119">
        <v>440</v>
      </c>
      <c r="B440" s="119">
        <v>0.91083676268861447</v>
      </c>
      <c r="C440">
        <v>72</v>
      </c>
    </row>
    <row r="441" spans="1:3">
      <c r="A441" s="119">
        <v>441</v>
      </c>
      <c r="B441" s="119">
        <v>5.8984910836762688E-2</v>
      </c>
      <c r="C441">
        <v>11</v>
      </c>
    </row>
    <row r="442" spans="1:3">
      <c r="A442" s="119">
        <v>442</v>
      </c>
      <c r="B442" s="119">
        <v>0.39231824417009603</v>
      </c>
      <c r="C442">
        <v>32</v>
      </c>
    </row>
    <row r="443" spans="1:3">
      <c r="A443" s="119">
        <v>443</v>
      </c>
      <c r="B443" s="119">
        <v>0.72565157750342935</v>
      </c>
      <c r="C443">
        <v>53</v>
      </c>
    </row>
    <row r="444" spans="1:3">
      <c r="A444" s="119">
        <v>444</v>
      </c>
      <c r="B444" s="119">
        <v>0.17009602194787379</v>
      </c>
      <c r="C444">
        <v>20</v>
      </c>
    </row>
    <row r="445" spans="1:3">
      <c r="A445" s="119">
        <v>445</v>
      </c>
      <c r="B445" s="119">
        <v>0.50342935528120702</v>
      </c>
      <c r="C445">
        <v>39</v>
      </c>
    </row>
    <row r="446" spans="1:3">
      <c r="A446" s="119">
        <v>446</v>
      </c>
      <c r="B446" s="119">
        <v>0.83676268861454028</v>
      </c>
      <c r="C446">
        <v>62</v>
      </c>
    </row>
    <row r="447" spans="1:3">
      <c r="A447" s="119">
        <v>447</v>
      </c>
      <c r="B447" s="119">
        <v>0.28120713305898493</v>
      </c>
      <c r="C447">
        <v>26</v>
      </c>
    </row>
    <row r="448" spans="1:3">
      <c r="A448" s="119">
        <v>448</v>
      </c>
      <c r="B448" s="119">
        <v>0.61454046639231819</v>
      </c>
      <c r="C448">
        <v>45</v>
      </c>
    </row>
    <row r="449" spans="1:3">
      <c r="A449" s="119">
        <v>449</v>
      </c>
      <c r="B449" s="119">
        <v>0.94787379972565144</v>
      </c>
      <c r="C449">
        <v>80</v>
      </c>
    </row>
    <row r="450" spans="1:3">
      <c r="A450" s="119">
        <v>450</v>
      </c>
      <c r="B450" s="119">
        <v>9.6021947873799723E-2</v>
      </c>
      <c r="C450">
        <v>14</v>
      </c>
    </row>
    <row r="451" spans="1:3">
      <c r="A451" s="119">
        <v>451</v>
      </c>
      <c r="B451" s="119">
        <v>0.42935528120713307</v>
      </c>
      <c r="C451">
        <v>34</v>
      </c>
    </row>
    <row r="452" spans="1:3">
      <c r="A452" s="119">
        <v>452</v>
      </c>
      <c r="B452" s="119">
        <v>0.76268861454046633</v>
      </c>
      <c r="C452">
        <v>55</v>
      </c>
    </row>
    <row r="453" spans="1:3">
      <c r="A453" s="119">
        <v>453</v>
      </c>
      <c r="B453" s="119">
        <v>0.20713305898491083</v>
      </c>
      <c r="C453">
        <v>22</v>
      </c>
    </row>
    <row r="454" spans="1:3">
      <c r="A454" s="119">
        <v>454</v>
      </c>
      <c r="B454" s="119">
        <v>0.540466392318244</v>
      </c>
      <c r="C454">
        <v>41</v>
      </c>
    </row>
    <row r="455" spans="1:3">
      <c r="A455" s="119">
        <v>455</v>
      </c>
      <c r="B455" s="119">
        <v>0.87379972565157726</v>
      </c>
      <c r="C455">
        <v>67</v>
      </c>
    </row>
    <row r="456" spans="1:3">
      <c r="A456" s="119">
        <v>456</v>
      </c>
      <c r="B456" s="119">
        <v>0.31824417009602196</v>
      </c>
      <c r="C456">
        <v>28</v>
      </c>
    </row>
    <row r="457" spans="1:3">
      <c r="A457" s="119">
        <v>457</v>
      </c>
      <c r="B457" s="119">
        <v>0.65157750342935516</v>
      </c>
      <c r="C457">
        <v>47</v>
      </c>
    </row>
    <row r="458" spans="1:3">
      <c r="A458" s="119">
        <v>458</v>
      </c>
      <c r="B458" s="119">
        <v>0.98491083676268842</v>
      </c>
      <c r="C458">
        <v>95</v>
      </c>
    </row>
    <row r="459" spans="1:3">
      <c r="A459" s="119">
        <v>459</v>
      </c>
      <c r="B459" s="119">
        <v>3.4293552812071332E-2</v>
      </c>
      <c r="C459">
        <v>8</v>
      </c>
    </row>
    <row r="460" spans="1:3">
      <c r="A460" s="119">
        <v>460</v>
      </c>
      <c r="B460" s="119">
        <v>0.36762688614540467</v>
      </c>
      <c r="C460">
        <v>31</v>
      </c>
    </row>
    <row r="461" spans="1:3">
      <c r="A461" s="119">
        <v>461</v>
      </c>
      <c r="B461" s="119">
        <v>0.70096021947873788</v>
      </c>
      <c r="C461">
        <v>51</v>
      </c>
    </row>
    <row r="462" spans="1:3">
      <c r="A462" s="119">
        <v>462</v>
      </c>
      <c r="B462" s="119">
        <v>0.14540466392318244</v>
      </c>
      <c r="C462">
        <v>18</v>
      </c>
    </row>
    <row r="463" spans="1:3">
      <c r="A463" s="119">
        <v>463</v>
      </c>
      <c r="B463" s="119">
        <v>0.47873799725651578</v>
      </c>
      <c r="C463">
        <v>37</v>
      </c>
    </row>
    <row r="464" spans="1:3">
      <c r="A464" s="119">
        <v>464</v>
      </c>
      <c r="B464" s="119">
        <v>0.81207133058984893</v>
      </c>
      <c r="C464">
        <v>60</v>
      </c>
    </row>
    <row r="465" spans="1:3">
      <c r="A465" s="119">
        <v>465</v>
      </c>
      <c r="B465" s="119">
        <v>0.25651577503429357</v>
      </c>
      <c r="C465">
        <v>25</v>
      </c>
    </row>
    <row r="466" spans="1:3">
      <c r="A466" s="119">
        <v>466</v>
      </c>
      <c r="B466" s="119">
        <v>0.58984910836762683</v>
      </c>
      <c r="C466">
        <v>44</v>
      </c>
    </row>
    <row r="467" spans="1:3">
      <c r="A467" s="119">
        <v>467</v>
      </c>
      <c r="B467" s="119">
        <v>0.92318244170096009</v>
      </c>
      <c r="C467">
        <v>74</v>
      </c>
    </row>
    <row r="468" spans="1:3">
      <c r="A468" s="119">
        <v>468</v>
      </c>
      <c r="B468" s="119">
        <v>7.1330589849108367E-2</v>
      </c>
      <c r="C468">
        <v>12</v>
      </c>
    </row>
    <row r="469" spans="1:3">
      <c r="A469" s="119">
        <v>469</v>
      </c>
      <c r="B469" s="119">
        <v>0.40466392318244171</v>
      </c>
      <c r="C469">
        <v>33</v>
      </c>
    </row>
    <row r="470" spans="1:3">
      <c r="A470" s="119">
        <v>470</v>
      </c>
      <c r="B470" s="119">
        <v>0.73799725651577497</v>
      </c>
      <c r="C470">
        <v>53</v>
      </c>
    </row>
    <row r="471" spans="1:3">
      <c r="A471" s="119">
        <v>471</v>
      </c>
      <c r="B471" s="119">
        <v>0.18244170096021947</v>
      </c>
      <c r="C471">
        <v>20</v>
      </c>
    </row>
    <row r="472" spans="1:3">
      <c r="A472" s="119">
        <v>472</v>
      </c>
      <c r="B472" s="119">
        <v>0.51577503429355276</v>
      </c>
      <c r="C472">
        <v>39</v>
      </c>
    </row>
    <row r="473" spans="1:3">
      <c r="A473" s="119">
        <v>473</v>
      </c>
      <c r="B473" s="119">
        <v>0.84910836762688591</v>
      </c>
      <c r="C473">
        <v>64</v>
      </c>
    </row>
    <row r="474" spans="1:3">
      <c r="A474" s="119">
        <v>474</v>
      </c>
      <c r="B474" s="119">
        <v>0.2935528120713306</v>
      </c>
      <c r="C474">
        <v>27</v>
      </c>
    </row>
    <row r="475" spans="1:3">
      <c r="A475" s="119">
        <v>475</v>
      </c>
      <c r="B475" s="119">
        <v>0.62688614540466381</v>
      </c>
      <c r="C475">
        <v>46</v>
      </c>
    </row>
    <row r="476" spans="1:3">
      <c r="A476" s="119">
        <v>476</v>
      </c>
      <c r="B476" s="119">
        <v>0.96021947873799707</v>
      </c>
      <c r="C476">
        <v>83</v>
      </c>
    </row>
    <row r="477" spans="1:3">
      <c r="A477" s="119">
        <v>477</v>
      </c>
      <c r="B477" s="119">
        <v>0.1083676268861454</v>
      </c>
      <c r="C477">
        <v>15</v>
      </c>
    </row>
    <row r="478" spans="1:3">
      <c r="A478" s="119">
        <v>478</v>
      </c>
      <c r="B478" s="119">
        <v>0.44170096021947874</v>
      </c>
      <c r="C478">
        <v>35</v>
      </c>
    </row>
    <row r="479" spans="1:3">
      <c r="A479" s="119">
        <v>479</v>
      </c>
      <c r="B479" s="119">
        <v>0.77503429355281195</v>
      </c>
      <c r="C479">
        <v>56</v>
      </c>
    </row>
    <row r="480" spans="1:3">
      <c r="A480" s="119">
        <v>480</v>
      </c>
      <c r="B480" s="119">
        <v>0.21947873799725651</v>
      </c>
      <c r="C480">
        <v>23</v>
      </c>
    </row>
    <row r="481" spans="1:3">
      <c r="A481" s="119">
        <v>481</v>
      </c>
      <c r="B481" s="119">
        <v>0.55281207133058974</v>
      </c>
      <c r="C481">
        <v>41</v>
      </c>
    </row>
    <row r="482" spans="1:3">
      <c r="A482" s="119">
        <v>482</v>
      </c>
      <c r="B482" s="119">
        <v>0.886145404663923</v>
      </c>
      <c r="C482">
        <v>68</v>
      </c>
    </row>
    <row r="483" spans="1:3">
      <c r="A483" s="119">
        <v>483</v>
      </c>
      <c r="B483" s="119">
        <v>0.33058984910836764</v>
      </c>
      <c r="C483">
        <v>29</v>
      </c>
    </row>
    <row r="484" spans="1:3">
      <c r="A484" s="119">
        <v>484</v>
      </c>
      <c r="B484" s="119">
        <v>0.6639231824417009</v>
      </c>
      <c r="C484">
        <v>48</v>
      </c>
    </row>
    <row r="485" spans="1:3">
      <c r="A485" s="119">
        <v>485</v>
      </c>
      <c r="B485" s="119">
        <v>0.99725651577503416</v>
      </c>
      <c r="C485">
        <v>105</v>
      </c>
    </row>
    <row r="486" spans="1:3">
      <c r="A486" s="119">
        <v>486</v>
      </c>
      <c r="B486" s="119">
        <v>2.7434842249657062E-3</v>
      </c>
      <c r="C486">
        <v>2</v>
      </c>
    </row>
    <row r="487" spans="1:3">
      <c r="A487" s="119">
        <v>487</v>
      </c>
      <c r="B487" s="119">
        <v>0.33607681755829905</v>
      </c>
      <c r="C487">
        <v>29</v>
      </c>
    </row>
    <row r="488" spans="1:3">
      <c r="A488" s="119">
        <v>488</v>
      </c>
      <c r="B488" s="119">
        <v>0.66941015089163236</v>
      </c>
      <c r="C488">
        <v>49</v>
      </c>
    </row>
    <row r="489" spans="1:3">
      <c r="A489" s="119">
        <v>489</v>
      </c>
      <c r="B489" s="119">
        <v>0.11385459533607681</v>
      </c>
      <c r="C489">
        <v>16</v>
      </c>
    </row>
    <row r="490" spans="1:3">
      <c r="A490" s="119">
        <v>490</v>
      </c>
      <c r="B490" s="119">
        <v>0.44718792866941015</v>
      </c>
      <c r="C490">
        <v>35</v>
      </c>
    </row>
    <row r="491" spans="1:3">
      <c r="A491" s="119">
        <v>491</v>
      </c>
      <c r="B491" s="119">
        <v>0.78052126200274341</v>
      </c>
      <c r="C491">
        <v>57</v>
      </c>
    </row>
    <row r="492" spans="1:3">
      <c r="A492" s="119">
        <v>492</v>
      </c>
      <c r="B492" s="119">
        <v>0.22496570644718791</v>
      </c>
      <c r="C492">
        <v>23</v>
      </c>
    </row>
    <row r="493" spans="1:3">
      <c r="A493" s="119">
        <v>493</v>
      </c>
      <c r="B493" s="119">
        <v>0.55829903978052131</v>
      </c>
      <c r="C493">
        <v>42</v>
      </c>
    </row>
    <row r="494" spans="1:3">
      <c r="A494" s="119">
        <v>494</v>
      </c>
      <c r="B494" s="119">
        <v>0.89163237311385457</v>
      </c>
      <c r="C494">
        <v>69</v>
      </c>
    </row>
    <row r="495" spans="1:3">
      <c r="A495" s="119">
        <v>495</v>
      </c>
      <c r="B495" s="119">
        <v>3.9780521262002738E-2</v>
      </c>
      <c r="C495">
        <v>9</v>
      </c>
    </row>
    <row r="496" spans="1:3">
      <c r="A496" s="119">
        <v>496</v>
      </c>
      <c r="B496" s="119">
        <v>0.37311385459533608</v>
      </c>
      <c r="C496">
        <v>31</v>
      </c>
    </row>
    <row r="497" spans="1:3">
      <c r="A497" s="119">
        <v>497</v>
      </c>
      <c r="B497" s="119">
        <v>0.70644718792866945</v>
      </c>
      <c r="C497">
        <v>51</v>
      </c>
    </row>
    <row r="498" spans="1:3">
      <c r="A498" s="119">
        <v>498</v>
      </c>
      <c r="B498" s="119">
        <v>0.15089163237311384</v>
      </c>
      <c r="C498">
        <v>18</v>
      </c>
    </row>
    <row r="499" spans="1:3">
      <c r="A499" s="119">
        <v>499</v>
      </c>
      <c r="B499" s="119">
        <v>0.48422496570644719</v>
      </c>
      <c r="C499">
        <v>37</v>
      </c>
    </row>
    <row r="500" spans="1:3">
      <c r="A500" s="119">
        <v>500</v>
      </c>
      <c r="B500" s="119">
        <v>0.81755829903978039</v>
      </c>
      <c r="C500">
        <v>60</v>
      </c>
    </row>
    <row r="501" spans="1:3">
      <c r="A501" s="119">
        <v>501</v>
      </c>
      <c r="B501" s="119">
        <v>0.26200274348422498</v>
      </c>
      <c r="C501">
        <v>25</v>
      </c>
    </row>
    <row r="502" spans="1:3">
      <c r="A502" s="119">
        <v>502</v>
      </c>
      <c r="B502" s="119">
        <v>0.59533607681755829</v>
      </c>
      <c r="C502">
        <v>44</v>
      </c>
    </row>
    <row r="503" spans="1:3">
      <c r="A503" s="119">
        <v>503</v>
      </c>
      <c r="B503" s="119">
        <v>0.92866941015089155</v>
      </c>
      <c r="C503">
        <v>75</v>
      </c>
    </row>
    <row r="504" spans="1:3">
      <c r="A504" s="119">
        <v>504</v>
      </c>
      <c r="B504" s="119">
        <v>7.6817558299039773E-2</v>
      </c>
      <c r="C504">
        <v>13</v>
      </c>
    </row>
    <row r="505" spans="1:3">
      <c r="A505" s="119">
        <v>505</v>
      </c>
      <c r="B505" s="119">
        <v>0.41015089163237312</v>
      </c>
      <c r="C505">
        <v>33</v>
      </c>
    </row>
    <row r="506" spans="1:3">
      <c r="A506" s="119">
        <v>506</v>
      </c>
      <c r="B506" s="119">
        <v>0.74348422496570643</v>
      </c>
      <c r="C506">
        <v>54</v>
      </c>
    </row>
    <row r="507" spans="1:3">
      <c r="A507" s="119">
        <v>507</v>
      </c>
      <c r="B507" s="119">
        <v>0.18792866941015088</v>
      </c>
      <c r="C507">
        <v>21</v>
      </c>
    </row>
    <row r="508" spans="1:3">
      <c r="A508" s="119">
        <v>508</v>
      </c>
      <c r="B508" s="119">
        <v>0.52126200274348422</v>
      </c>
      <c r="C508">
        <v>40</v>
      </c>
    </row>
    <row r="509" spans="1:3">
      <c r="A509" s="119">
        <v>509</v>
      </c>
      <c r="B509" s="119">
        <v>0.85459533607681748</v>
      </c>
      <c r="C509">
        <v>64</v>
      </c>
    </row>
    <row r="510" spans="1:3">
      <c r="A510" s="119">
        <v>510</v>
      </c>
      <c r="B510" s="119">
        <v>0.29903978052126201</v>
      </c>
      <c r="C510">
        <v>27</v>
      </c>
    </row>
    <row r="511" spans="1:3">
      <c r="A511" s="119">
        <v>511</v>
      </c>
      <c r="B511" s="119">
        <v>0.63237311385459538</v>
      </c>
      <c r="C511">
        <v>46</v>
      </c>
    </row>
    <row r="512" spans="1:3">
      <c r="A512" s="119">
        <v>512</v>
      </c>
      <c r="B512" s="119">
        <v>0.96570644718792864</v>
      </c>
      <c r="C512">
        <v>85</v>
      </c>
    </row>
    <row r="513" spans="1:3">
      <c r="A513" s="119">
        <v>513</v>
      </c>
      <c r="B513" s="119">
        <v>1.5089163237311385E-2</v>
      </c>
      <c r="C513">
        <v>5</v>
      </c>
    </row>
    <row r="514" spans="1:3">
      <c r="A514" s="119">
        <v>514</v>
      </c>
      <c r="B514" s="119">
        <v>0.34842249657064472</v>
      </c>
      <c r="C514">
        <v>30</v>
      </c>
    </row>
    <row r="515" spans="1:3">
      <c r="A515" s="119">
        <v>515</v>
      </c>
      <c r="B515" s="119">
        <v>0.68175582990397798</v>
      </c>
      <c r="C515">
        <v>49</v>
      </c>
    </row>
    <row r="516" spans="1:3">
      <c r="A516" s="119">
        <v>516</v>
      </c>
      <c r="B516" s="119">
        <v>0.12620027434842249</v>
      </c>
      <c r="C516">
        <v>17</v>
      </c>
    </row>
    <row r="517" spans="1:3">
      <c r="A517" s="119">
        <v>517</v>
      </c>
      <c r="B517" s="119">
        <v>0.45953360768175583</v>
      </c>
      <c r="C517">
        <v>36</v>
      </c>
    </row>
    <row r="518" spans="1:3">
      <c r="A518" s="119">
        <v>518</v>
      </c>
      <c r="B518" s="119">
        <v>0.79286694101508914</v>
      </c>
      <c r="C518">
        <v>58</v>
      </c>
    </row>
    <row r="519" spans="1:3">
      <c r="A519" s="119">
        <v>519</v>
      </c>
      <c r="B519" s="119">
        <v>0.23731138545953359</v>
      </c>
      <c r="C519">
        <v>24</v>
      </c>
    </row>
    <row r="520" spans="1:3">
      <c r="A520" s="119">
        <v>520</v>
      </c>
      <c r="B520" s="119">
        <v>0.57064471879286705</v>
      </c>
      <c r="C520">
        <v>42</v>
      </c>
    </row>
    <row r="521" spans="1:3">
      <c r="A521" s="119">
        <v>521</v>
      </c>
      <c r="B521" s="119">
        <v>0.9039780521262003</v>
      </c>
      <c r="C521">
        <v>71</v>
      </c>
    </row>
    <row r="522" spans="1:3">
      <c r="A522" s="119">
        <v>522</v>
      </c>
      <c r="B522" s="119">
        <v>5.2126200274348417E-2</v>
      </c>
      <c r="C522">
        <v>10</v>
      </c>
    </row>
    <row r="523" spans="1:3">
      <c r="A523" s="119">
        <v>523</v>
      </c>
      <c r="B523" s="119">
        <v>0.38545953360768176</v>
      </c>
      <c r="C523">
        <v>32</v>
      </c>
    </row>
    <row r="524" spans="1:3">
      <c r="A524" s="119">
        <v>524</v>
      </c>
      <c r="B524" s="119">
        <v>0.71879286694101518</v>
      </c>
      <c r="C524">
        <v>52</v>
      </c>
    </row>
    <row r="525" spans="1:3">
      <c r="A525" s="119">
        <v>525</v>
      </c>
      <c r="B525" s="119">
        <v>0.16323731138545952</v>
      </c>
      <c r="C525">
        <v>19</v>
      </c>
    </row>
    <row r="526" spans="1:3">
      <c r="A526" s="119">
        <v>526</v>
      </c>
      <c r="B526" s="119">
        <v>0.49657064471879286</v>
      </c>
      <c r="C526">
        <v>38</v>
      </c>
    </row>
    <row r="527" spans="1:3">
      <c r="A527" s="119">
        <v>527</v>
      </c>
      <c r="B527" s="119">
        <v>0.82990397805212612</v>
      </c>
      <c r="C527">
        <v>62</v>
      </c>
    </row>
    <row r="528" spans="1:3">
      <c r="A528" s="119">
        <v>528</v>
      </c>
      <c r="B528" s="119">
        <v>0.27434842249657065</v>
      </c>
      <c r="C528">
        <v>26</v>
      </c>
    </row>
    <row r="529" spans="1:3">
      <c r="A529" s="119">
        <v>529</v>
      </c>
      <c r="B529" s="119">
        <v>0.60768175582990402</v>
      </c>
      <c r="C529">
        <v>45</v>
      </c>
    </row>
    <row r="530" spans="1:3">
      <c r="A530" s="119">
        <v>530</v>
      </c>
      <c r="B530" s="119">
        <v>0.94101508916323728</v>
      </c>
      <c r="C530">
        <v>78</v>
      </c>
    </row>
    <row r="531" spans="1:3">
      <c r="A531" s="119">
        <v>531</v>
      </c>
      <c r="B531" s="119">
        <v>8.9163237311385452E-2</v>
      </c>
      <c r="C531">
        <v>14</v>
      </c>
    </row>
    <row r="532" spans="1:3">
      <c r="A532" s="119">
        <v>532</v>
      </c>
      <c r="B532" s="119">
        <v>0.42249657064471879</v>
      </c>
      <c r="C532">
        <v>34</v>
      </c>
    </row>
    <row r="533" spans="1:3">
      <c r="A533" s="119">
        <v>533</v>
      </c>
      <c r="B533" s="119">
        <v>0.75582990397805216</v>
      </c>
      <c r="C533">
        <v>55</v>
      </c>
    </row>
    <row r="534" spans="1:3">
      <c r="A534" s="119">
        <v>534</v>
      </c>
      <c r="B534" s="119">
        <v>0.20027434842249656</v>
      </c>
      <c r="C534">
        <v>22</v>
      </c>
    </row>
    <row r="535" spans="1:3">
      <c r="A535" s="119">
        <v>535</v>
      </c>
      <c r="B535" s="119">
        <v>0.53360768175582984</v>
      </c>
      <c r="C535">
        <v>40</v>
      </c>
    </row>
    <row r="536" spans="1:3">
      <c r="A536" s="119">
        <v>536</v>
      </c>
      <c r="B536" s="119">
        <v>0.8669410150891631</v>
      </c>
      <c r="C536">
        <v>66</v>
      </c>
    </row>
    <row r="537" spans="1:3">
      <c r="A537" s="119">
        <v>537</v>
      </c>
      <c r="B537" s="119">
        <v>0.31138545953360769</v>
      </c>
      <c r="C537">
        <v>28</v>
      </c>
    </row>
    <row r="538" spans="1:3">
      <c r="A538" s="119">
        <v>538</v>
      </c>
      <c r="B538" s="119">
        <v>0.644718792866941</v>
      </c>
      <c r="C538">
        <v>47</v>
      </c>
    </row>
    <row r="539" spans="1:3">
      <c r="A539" s="119">
        <v>539</v>
      </c>
      <c r="B539" s="119">
        <v>0.97805212620027426</v>
      </c>
      <c r="C539">
        <v>91</v>
      </c>
    </row>
    <row r="540" spans="1:3">
      <c r="A540" s="119">
        <v>540</v>
      </c>
      <c r="B540" s="119">
        <v>2.7434842249657063E-2</v>
      </c>
      <c r="C540">
        <v>7</v>
      </c>
    </row>
    <row r="541" spans="1:3">
      <c r="A541" s="119">
        <v>541</v>
      </c>
      <c r="B541" s="119">
        <v>0.3607681755829904</v>
      </c>
      <c r="C541">
        <v>31</v>
      </c>
    </row>
    <row r="542" spans="1:3">
      <c r="A542" s="119">
        <v>542</v>
      </c>
      <c r="B542" s="119">
        <v>0.69410150891632372</v>
      </c>
      <c r="C542">
        <v>50</v>
      </c>
    </row>
    <row r="543" spans="1:3">
      <c r="A543" s="119">
        <v>543</v>
      </c>
      <c r="B543" s="119">
        <v>0.13854595336076816</v>
      </c>
      <c r="C543">
        <v>18</v>
      </c>
    </row>
    <row r="544" spans="1:3">
      <c r="A544" s="119">
        <v>544</v>
      </c>
      <c r="B544" s="119">
        <v>0.47187928669410151</v>
      </c>
      <c r="C544">
        <v>37</v>
      </c>
    </row>
    <row r="545" spans="1:3">
      <c r="A545" s="119">
        <v>545</v>
      </c>
      <c r="B545" s="119">
        <v>0.80521262002743477</v>
      </c>
      <c r="C545">
        <v>59</v>
      </c>
    </row>
    <row r="546" spans="1:3">
      <c r="A546" s="119">
        <v>546</v>
      </c>
      <c r="B546" s="119">
        <v>0.24965706447187927</v>
      </c>
      <c r="C546">
        <v>24</v>
      </c>
    </row>
    <row r="547" spans="1:3">
      <c r="A547" s="119">
        <v>547</v>
      </c>
      <c r="B547" s="119">
        <v>0.58299039780521267</v>
      </c>
      <c r="C547">
        <v>43</v>
      </c>
    </row>
    <row r="548" spans="1:3">
      <c r="A548" s="119">
        <v>548</v>
      </c>
      <c r="B548" s="119">
        <v>0.91632373113854593</v>
      </c>
      <c r="C548">
        <v>73</v>
      </c>
    </row>
    <row r="549" spans="1:3">
      <c r="A549" s="119">
        <v>549</v>
      </c>
      <c r="B549" s="119">
        <v>6.4471879286694095E-2</v>
      </c>
      <c r="C549">
        <v>12</v>
      </c>
    </row>
    <row r="550" spans="1:3">
      <c r="A550" s="119">
        <v>550</v>
      </c>
      <c r="B550" s="119">
        <v>0.39780521262002744</v>
      </c>
      <c r="C550">
        <v>33</v>
      </c>
    </row>
    <row r="551" spans="1:3">
      <c r="A551" s="119">
        <v>551</v>
      </c>
      <c r="B551" s="119">
        <v>0.73113854595336081</v>
      </c>
      <c r="C551">
        <v>53</v>
      </c>
    </row>
    <row r="552" spans="1:3">
      <c r="A552" s="119">
        <v>552</v>
      </c>
      <c r="B552" s="119">
        <v>0.1755829903978052</v>
      </c>
      <c r="C552">
        <v>20</v>
      </c>
    </row>
    <row r="553" spans="1:3">
      <c r="A553" s="119">
        <v>553</v>
      </c>
      <c r="B553" s="119">
        <v>0.5089163237311386</v>
      </c>
      <c r="C553">
        <v>39</v>
      </c>
    </row>
    <row r="554" spans="1:3">
      <c r="A554" s="119">
        <v>554</v>
      </c>
      <c r="B554" s="119">
        <v>0.84224965706447175</v>
      </c>
      <c r="C554">
        <v>63</v>
      </c>
    </row>
    <row r="555" spans="1:3">
      <c r="A555" s="119">
        <v>555</v>
      </c>
      <c r="B555" s="119">
        <v>0.28669410150891633</v>
      </c>
      <c r="C555">
        <v>27</v>
      </c>
    </row>
    <row r="556" spans="1:3">
      <c r="A556" s="119">
        <v>556</v>
      </c>
      <c r="B556" s="119">
        <v>0.62002743484224965</v>
      </c>
      <c r="C556">
        <v>45</v>
      </c>
    </row>
    <row r="557" spans="1:3">
      <c r="A557" s="119">
        <v>557</v>
      </c>
      <c r="B557" s="119">
        <v>0.95336076817558291</v>
      </c>
      <c r="C557">
        <v>81</v>
      </c>
    </row>
    <row r="558" spans="1:3">
      <c r="A558" s="119">
        <v>558</v>
      </c>
      <c r="B558" s="119">
        <v>0.10150891632373113</v>
      </c>
      <c r="C558">
        <v>15</v>
      </c>
    </row>
    <row r="559" spans="1:3">
      <c r="A559" s="119">
        <v>559</v>
      </c>
      <c r="B559" s="119">
        <v>0.43484224965706447</v>
      </c>
      <c r="C559">
        <v>35</v>
      </c>
    </row>
    <row r="560" spans="1:3">
      <c r="A560" s="119">
        <v>560</v>
      </c>
      <c r="B560" s="119">
        <v>0.76817558299039779</v>
      </c>
      <c r="C560">
        <v>56</v>
      </c>
    </row>
    <row r="561" spans="1:3">
      <c r="A561" s="119">
        <v>561</v>
      </c>
      <c r="B561" s="119">
        <v>0.21262002743484223</v>
      </c>
      <c r="C561">
        <v>22</v>
      </c>
    </row>
    <row r="562" spans="1:3">
      <c r="A562" s="119">
        <v>562</v>
      </c>
      <c r="B562" s="119">
        <v>0.54595336076817558</v>
      </c>
      <c r="C562">
        <v>41</v>
      </c>
    </row>
    <row r="563" spans="1:3">
      <c r="A563" s="119">
        <v>563</v>
      </c>
      <c r="B563" s="119">
        <v>0.87928669410150884</v>
      </c>
      <c r="C563">
        <v>67</v>
      </c>
    </row>
    <row r="564" spans="1:3">
      <c r="A564" s="119">
        <v>564</v>
      </c>
      <c r="B564" s="119">
        <v>0.32373113854595337</v>
      </c>
      <c r="C564">
        <v>29</v>
      </c>
    </row>
    <row r="565" spans="1:3">
      <c r="A565" s="119">
        <v>565</v>
      </c>
      <c r="B565" s="119">
        <v>0.65706447187928674</v>
      </c>
      <c r="C565">
        <v>48</v>
      </c>
    </row>
    <row r="566" spans="1:3">
      <c r="A566" s="119">
        <v>566</v>
      </c>
      <c r="B566" s="119">
        <v>0.99039780521262</v>
      </c>
      <c r="C566">
        <v>100</v>
      </c>
    </row>
    <row r="567" spans="1:3">
      <c r="A567" s="119">
        <v>567</v>
      </c>
      <c r="B567" s="119">
        <v>6.8587105624142667E-3</v>
      </c>
      <c r="C567">
        <v>3</v>
      </c>
    </row>
    <row r="568" spans="1:3">
      <c r="A568" s="119">
        <v>568</v>
      </c>
      <c r="B568" s="119">
        <v>0.34019204389574759</v>
      </c>
      <c r="C568">
        <v>30</v>
      </c>
    </row>
    <row r="569" spans="1:3">
      <c r="A569" s="119">
        <v>569</v>
      </c>
      <c r="B569" s="119">
        <v>0.6735253772290809</v>
      </c>
      <c r="C569">
        <v>49</v>
      </c>
    </row>
    <row r="570" spans="1:3">
      <c r="A570" s="119">
        <v>570</v>
      </c>
      <c r="B570" s="119">
        <v>0.11796982167352536</v>
      </c>
      <c r="C570">
        <v>16</v>
      </c>
    </row>
    <row r="571" spans="1:3">
      <c r="A571" s="119">
        <v>571</v>
      </c>
      <c r="B571" s="119">
        <v>0.45130315500685869</v>
      </c>
      <c r="C571">
        <v>36</v>
      </c>
    </row>
    <row r="572" spans="1:3">
      <c r="A572" s="119">
        <v>572</v>
      </c>
      <c r="B572" s="119">
        <v>0.78463648834019195</v>
      </c>
      <c r="C572">
        <v>57</v>
      </c>
    </row>
    <row r="573" spans="1:3">
      <c r="A573" s="119">
        <v>573</v>
      </c>
      <c r="B573" s="119">
        <v>0.22908093278463648</v>
      </c>
      <c r="C573">
        <v>23</v>
      </c>
    </row>
    <row r="574" spans="1:3">
      <c r="A574" s="119">
        <v>574</v>
      </c>
      <c r="B574" s="119">
        <v>0.56241426611796985</v>
      </c>
      <c r="C574">
        <v>42</v>
      </c>
    </row>
    <row r="575" spans="1:3">
      <c r="A575" s="119">
        <v>575</v>
      </c>
      <c r="B575" s="119">
        <v>0.89574759945130311</v>
      </c>
      <c r="C575">
        <v>70</v>
      </c>
    </row>
    <row r="576" spans="1:3">
      <c r="A576" s="119">
        <v>576</v>
      </c>
      <c r="B576" s="119">
        <v>4.38957475994513E-2</v>
      </c>
      <c r="C576">
        <v>9</v>
      </c>
    </row>
    <row r="577" spans="1:3">
      <c r="A577" s="119">
        <v>577</v>
      </c>
      <c r="B577" s="119">
        <v>0.37722908093278462</v>
      </c>
      <c r="C577">
        <v>32</v>
      </c>
    </row>
    <row r="578" spans="1:3">
      <c r="A578" s="119">
        <v>578</v>
      </c>
      <c r="B578" s="119">
        <v>0.71056241426611799</v>
      </c>
      <c r="C578">
        <v>51</v>
      </c>
    </row>
    <row r="579" spans="1:3">
      <c r="A579" s="119">
        <v>579</v>
      </c>
      <c r="B579" s="119">
        <v>0.15500685871056241</v>
      </c>
      <c r="C579">
        <v>19</v>
      </c>
    </row>
    <row r="580" spans="1:3">
      <c r="A580" s="119">
        <v>580</v>
      </c>
      <c r="B580" s="119">
        <v>0.48834019204389573</v>
      </c>
      <c r="C580">
        <v>38</v>
      </c>
    </row>
    <row r="581" spans="1:3">
      <c r="A581" s="119">
        <v>581</v>
      </c>
      <c r="B581" s="119">
        <v>0.82167352537722893</v>
      </c>
      <c r="C581">
        <v>61</v>
      </c>
    </row>
    <row r="582" spans="1:3">
      <c r="A582" s="119">
        <v>582</v>
      </c>
      <c r="B582" s="119">
        <v>0.26611796982167352</v>
      </c>
      <c r="C582">
        <v>25</v>
      </c>
    </row>
    <row r="583" spans="1:3">
      <c r="A583" s="119">
        <v>583</v>
      </c>
      <c r="B583" s="119">
        <v>0.59945130315500683</v>
      </c>
      <c r="C583">
        <v>44</v>
      </c>
    </row>
    <row r="584" spans="1:3">
      <c r="A584" s="119">
        <v>584</v>
      </c>
      <c r="B584" s="119">
        <v>0.93278463648834009</v>
      </c>
      <c r="C584">
        <v>76</v>
      </c>
    </row>
    <row r="585" spans="1:3">
      <c r="A585" s="119">
        <v>585</v>
      </c>
      <c r="B585" s="119">
        <v>8.0932784636488328E-2</v>
      </c>
      <c r="C585">
        <v>13</v>
      </c>
    </row>
    <row r="586" spans="1:3">
      <c r="A586" s="119">
        <v>586</v>
      </c>
      <c r="B586" s="119">
        <v>0.41426611796982166</v>
      </c>
      <c r="C586">
        <v>34</v>
      </c>
    </row>
    <row r="587" spans="1:3">
      <c r="A587" s="119">
        <v>587</v>
      </c>
      <c r="B587" s="119">
        <v>0.74759945130315497</v>
      </c>
      <c r="C587">
        <v>54</v>
      </c>
    </row>
    <row r="588" spans="1:3">
      <c r="A588" s="119">
        <v>588</v>
      </c>
      <c r="B588" s="119">
        <v>0.19204389574759945</v>
      </c>
      <c r="C588">
        <v>21</v>
      </c>
    </row>
    <row r="589" spans="1:3">
      <c r="A589" s="119">
        <v>589</v>
      </c>
      <c r="B589" s="119">
        <v>0.52537722908093276</v>
      </c>
      <c r="C589">
        <v>40</v>
      </c>
    </row>
    <row r="590" spans="1:3">
      <c r="A590" s="119">
        <v>590</v>
      </c>
      <c r="B590" s="119">
        <v>0.85871056241426602</v>
      </c>
      <c r="C590">
        <v>65</v>
      </c>
    </row>
    <row r="591" spans="1:3">
      <c r="A591" s="119">
        <v>591</v>
      </c>
      <c r="B591" s="119">
        <v>0.30315500685871055</v>
      </c>
      <c r="C591">
        <v>28</v>
      </c>
    </row>
    <row r="592" spans="1:3">
      <c r="A592" s="119">
        <v>592</v>
      </c>
      <c r="B592" s="119">
        <v>0.63648834019204392</v>
      </c>
      <c r="C592">
        <v>46</v>
      </c>
    </row>
    <row r="593" spans="1:3">
      <c r="A593" s="119">
        <v>593</v>
      </c>
      <c r="B593" s="119">
        <v>0.96982167352537718</v>
      </c>
      <c r="C593">
        <v>87</v>
      </c>
    </row>
    <row r="594" spans="1:3">
      <c r="A594" s="119">
        <v>594</v>
      </c>
      <c r="B594" s="119">
        <v>1.9204389574759947E-2</v>
      </c>
      <c r="C594">
        <v>6</v>
      </c>
    </row>
    <row r="595" spans="1:3">
      <c r="A595" s="119">
        <v>595</v>
      </c>
      <c r="B595" s="119">
        <v>0.35253772290809327</v>
      </c>
      <c r="C595">
        <v>30</v>
      </c>
    </row>
    <row r="596" spans="1:3">
      <c r="A596" s="119">
        <v>596</v>
      </c>
      <c r="B596" s="119">
        <v>0.68587105624142652</v>
      </c>
      <c r="C596">
        <v>50</v>
      </c>
    </row>
    <row r="597" spans="1:3">
      <c r="A597" s="119">
        <v>597</v>
      </c>
      <c r="B597" s="119">
        <v>0.13031550068587106</v>
      </c>
      <c r="C597">
        <v>17</v>
      </c>
    </row>
    <row r="598" spans="1:3">
      <c r="A598" s="119">
        <v>598</v>
      </c>
      <c r="B598" s="119">
        <v>0.46364883401920437</v>
      </c>
      <c r="C598">
        <v>36</v>
      </c>
    </row>
    <row r="599" spans="1:3">
      <c r="A599" s="119">
        <v>599</v>
      </c>
      <c r="B599" s="119">
        <v>0.79698216735253768</v>
      </c>
      <c r="C599">
        <v>58</v>
      </c>
    </row>
    <row r="600" spans="1:3">
      <c r="A600" s="119">
        <v>600</v>
      </c>
      <c r="B600" s="119">
        <v>0.24142661179698216</v>
      </c>
      <c r="C600">
        <v>24</v>
      </c>
    </row>
    <row r="601" spans="1:3">
      <c r="A601" s="119">
        <v>601</v>
      </c>
      <c r="B601" s="119">
        <v>0.57475994513031559</v>
      </c>
      <c r="C601">
        <v>43</v>
      </c>
    </row>
    <row r="602" spans="1:3">
      <c r="A602" s="119">
        <v>602</v>
      </c>
      <c r="B602" s="119">
        <v>0.90809327846364885</v>
      </c>
      <c r="C602">
        <v>72</v>
      </c>
    </row>
    <row r="603" spans="1:3">
      <c r="A603" s="119">
        <v>603</v>
      </c>
      <c r="B603" s="119">
        <v>5.6241426611796978E-2</v>
      </c>
      <c r="C603">
        <v>11</v>
      </c>
    </row>
    <row r="604" spans="1:3">
      <c r="A604" s="119">
        <v>604</v>
      </c>
      <c r="B604" s="119">
        <v>0.3895747599451303</v>
      </c>
      <c r="C604">
        <v>32</v>
      </c>
    </row>
    <row r="605" spans="1:3">
      <c r="A605" s="119">
        <v>605</v>
      </c>
      <c r="B605" s="119">
        <v>0.72290809327846373</v>
      </c>
      <c r="C605">
        <v>52</v>
      </c>
    </row>
    <row r="606" spans="1:3">
      <c r="A606" s="119">
        <v>606</v>
      </c>
      <c r="B606" s="119">
        <v>0.16735253772290809</v>
      </c>
      <c r="C606">
        <v>19</v>
      </c>
    </row>
    <row r="607" spans="1:3">
      <c r="A607" s="119">
        <v>607</v>
      </c>
      <c r="B607" s="119">
        <v>0.5006858710562414</v>
      </c>
      <c r="C607">
        <v>38</v>
      </c>
    </row>
    <row r="608" spans="1:3">
      <c r="A608" s="119">
        <v>608</v>
      </c>
      <c r="B608" s="119">
        <v>0.83401920438957466</v>
      </c>
      <c r="C608">
        <v>62</v>
      </c>
    </row>
    <row r="609" spans="1:3">
      <c r="A609" s="119">
        <v>609</v>
      </c>
      <c r="B609" s="119">
        <v>0.2784636488340192</v>
      </c>
      <c r="C609">
        <v>26</v>
      </c>
    </row>
    <row r="610" spans="1:3">
      <c r="A610" s="119">
        <v>610</v>
      </c>
      <c r="B610" s="119">
        <v>0.61179698216735257</v>
      </c>
      <c r="C610">
        <v>45</v>
      </c>
    </row>
    <row r="611" spans="1:3">
      <c r="A611" s="119">
        <v>611</v>
      </c>
      <c r="B611" s="119">
        <v>0.94513031550068582</v>
      </c>
      <c r="C611">
        <v>79</v>
      </c>
    </row>
    <row r="612" spans="1:3">
      <c r="A612" s="119">
        <v>612</v>
      </c>
      <c r="B612" s="119">
        <v>9.3278463648834006E-2</v>
      </c>
      <c r="C612">
        <v>14</v>
      </c>
    </row>
    <row r="613" spans="1:3">
      <c r="A613" s="119">
        <v>613</v>
      </c>
      <c r="B613" s="119">
        <v>0.42661179698216734</v>
      </c>
      <c r="C613">
        <v>34</v>
      </c>
    </row>
    <row r="614" spans="1:3">
      <c r="A614" s="119">
        <v>614</v>
      </c>
      <c r="B614" s="119">
        <v>0.75994513031550071</v>
      </c>
      <c r="C614">
        <v>55</v>
      </c>
    </row>
    <row r="615" spans="1:3">
      <c r="A615" s="119">
        <v>615</v>
      </c>
      <c r="B615" s="119">
        <v>0.20438957475994513</v>
      </c>
      <c r="C615">
        <v>22</v>
      </c>
    </row>
    <row r="616" spans="1:3">
      <c r="A616" s="119">
        <v>616</v>
      </c>
      <c r="B616" s="119">
        <v>0.53772290809327838</v>
      </c>
      <c r="C616">
        <v>40</v>
      </c>
    </row>
    <row r="617" spans="1:3">
      <c r="A617" s="119">
        <v>617</v>
      </c>
      <c r="B617" s="119">
        <v>0.87105624142661164</v>
      </c>
      <c r="C617">
        <v>66</v>
      </c>
    </row>
    <row r="618" spans="1:3">
      <c r="A618" s="119">
        <v>618</v>
      </c>
      <c r="B618" s="119">
        <v>0.31550068587105623</v>
      </c>
      <c r="C618">
        <v>28</v>
      </c>
    </row>
    <row r="619" spans="1:3">
      <c r="A619" s="119">
        <v>619</v>
      </c>
      <c r="B619" s="119">
        <v>0.64883401920438954</v>
      </c>
      <c r="C619">
        <v>47</v>
      </c>
    </row>
    <row r="620" spans="1:3">
      <c r="A620" s="119">
        <v>620</v>
      </c>
      <c r="B620" s="119">
        <v>0.9821673525377228</v>
      </c>
      <c r="C620">
        <v>93</v>
      </c>
    </row>
    <row r="621" spans="1:3">
      <c r="A621" s="119">
        <v>621</v>
      </c>
      <c r="B621" s="119">
        <v>3.1550068587105622E-2</v>
      </c>
      <c r="C621">
        <v>8</v>
      </c>
    </row>
    <row r="622" spans="1:3">
      <c r="A622" s="119">
        <v>622</v>
      </c>
      <c r="B622" s="119">
        <v>0.36488340192043894</v>
      </c>
      <c r="C622">
        <v>31</v>
      </c>
    </row>
    <row r="623" spans="1:3">
      <c r="A623" s="119">
        <v>623</v>
      </c>
      <c r="B623" s="119">
        <v>0.69821673525377226</v>
      </c>
      <c r="C623">
        <v>51</v>
      </c>
    </row>
    <row r="624" spans="1:3">
      <c r="A624" s="119">
        <v>624</v>
      </c>
      <c r="B624" s="119">
        <v>0.14266117969821673</v>
      </c>
      <c r="C624">
        <v>18</v>
      </c>
    </row>
    <row r="625" spans="1:3">
      <c r="A625" s="119">
        <v>625</v>
      </c>
      <c r="B625" s="119">
        <v>0.47599451303155005</v>
      </c>
      <c r="C625">
        <v>37</v>
      </c>
    </row>
    <row r="626" spans="1:3">
      <c r="A626" s="119">
        <v>626</v>
      </c>
      <c r="B626" s="119">
        <v>0.80932784636488331</v>
      </c>
      <c r="C626">
        <v>60</v>
      </c>
    </row>
    <row r="627" spans="1:3">
      <c r="A627" s="119">
        <v>627</v>
      </c>
      <c r="B627" s="119">
        <v>0.25377229080932784</v>
      </c>
      <c r="C627">
        <v>25</v>
      </c>
    </row>
    <row r="628" spans="1:3">
      <c r="A628" s="119">
        <v>628</v>
      </c>
      <c r="B628" s="119">
        <v>0.58710562414266121</v>
      </c>
      <c r="C628">
        <v>43</v>
      </c>
    </row>
    <row r="629" spans="1:3">
      <c r="A629" s="119">
        <v>629</v>
      </c>
      <c r="B629" s="119">
        <v>0.92043895747599447</v>
      </c>
      <c r="C629">
        <v>74</v>
      </c>
    </row>
    <row r="630" spans="1:3">
      <c r="A630" s="119">
        <v>630</v>
      </c>
      <c r="B630" s="119">
        <v>6.858710562414265E-2</v>
      </c>
      <c r="C630">
        <v>12</v>
      </c>
    </row>
    <row r="631" spans="1:3">
      <c r="A631" s="119">
        <v>631</v>
      </c>
      <c r="B631" s="119">
        <v>0.40192043895747598</v>
      </c>
      <c r="C631">
        <v>33</v>
      </c>
    </row>
    <row r="632" spans="1:3">
      <c r="A632" s="119">
        <v>632</v>
      </c>
      <c r="B632" s="119">
        <v>0.73525377229080935</v>
      </c>
      <c r="C632">
        <v>53</v>
      </c>
    </row>
    <row r="633" spans="1:3">
      <c r="A633" s="119">
        <v>633</v>
      </c>
      <c r="B633" s="119">
        <v>0.17969821673525377</v>
      </c>
      <c r="C633">
        <v>20</v>
      </c>
    </row>
    <row r="634" spans="1:3">
      <c r="A634" s="119">
        <v>634</v>
      </c>
      <c r="B634" s="119">
        <v>0.51303155006858714</v>
      </c>
      <c r="C634">
        <v>39</v>
      </c>
    </row>
    <row r="635" spans="1:3">
      <c r="A635" s="119">
        <v>635</v>
      </c>
      <c r="B635" s="119">
        <v>0.84636488340192029</v>
      </c>
      <c r="C635">
        <v>63</v>
      </c>
    </row>
    <row r="636" spans="1:3">
      <c r="A636" s="119">
        <v>636</v>
      </c>
      <c r="B636" s="119">
        <v>0.29080932784636487</v>
      </c>
      <c r="C636">
        <v>27</v>
      </c>
    </row>
    <row r="637" spans="1:3">
      <c r="A637" s="119">
        <v>637</v>
      </c>
      <c r="B637" s="119">
        <v>0.62414266117969819</v>
      </c>
      <c r="C637">
        <v>46</v>
      </c>
    </row>
    <row r="638" spans="1:3">
      <c r="A638" s="119">
        <v>638</v>
      </c>
      <c r="B638" s="119">
        <v>0.95747599451303145</v>
      </c>
      <c r="C638">
        <v>82</v>
      </c>
    </row>
    <row r="639" spans="1:3">
      <c r="A639" s="119">
        <v>639</v>
      </c>
      <c r="B639" s="119">
        <v>0.10562414266117968</v>
      </c>
      <c r="C639">
        <v>15</v>
      </c>
    </row>
    <row r="640" spans="1:3">
      <c r="A640" s="119">
        <v>640</v>
      </c>
      <c r="B640" s="119">
        <v>0.43895747599451301</v>
      </c>
      <c r="C640">
        <v>35</v>
      </c>
    </row>
    <row r="641" spans="1:3">
      <c r="A641" s="119">
        <v>641</v>
      </c>
      <c r="B641" s="119">
        <v>0.77229080932784633</v>
      </c>
      <c r="C641">
        <v>56</v>
      </c>
    </row>
    <row r="642" spans="1:3">
      <c r="A642" s="119">
        <v>642</v>
      </c>
      <c r="B642" s="119">
        <v>0.2167352537722908</v>
      </c>
      <c r="C642">
        <v>23</v>
      </c>
    </row>
    <row r="643" spans="1:3">
      <c r="A643" s="119">
        <v>643</v>
      </c>
      <c r="B643" s="119">
        <v>0.55006858710562412</v>
      </c>
      <c r="C643">
        <v>41</v>
      </c>
    </row>
    <row r="644" spans="1:3">
      <c r="A644" s="119">
        <v>644</v>
      </c>
      <c r="B644" s="119">
        <v>0.88340192043895738</v>
      </c>
      <c r="C644">
        <v>68</v>
      </c>
    </row>
    <row r="645" spans="1:3">
      <c r="A645" s="119">
        <v>645</v>
      </c>
      <c r="B645" s="119">
        <v>0.32784636488340191</v>
      </c>
      <c r="C645">
        <v>29</v>
      </c>
    </row>
    <row r="646" spans="1:3">
      <c r="A646" s="119">
        <v>646</v>
      </c>
      <c r="B646" s="119">
        <v>0.66117969821673528</v>
      </c>
      <c r="C646">
        <v>48</v>
      </c>
    </row>
    <row r="647" spans="1:3">
      <c r="A647" s="119">
        <v>647</v>
      </c>
      <c r="B647" s="119">
        <v>0.99451303155006854</v>
      </c>
      <c r="C647">
        <v>105</v>
      </c>
    </row>
    <row r="648" spans="1:3">
      <c r="A648" s="119">
        <v>648</v>
      </c>
      <c r="B648" s="119">
        <v>1.0973936899862827E-2</v>
      </c>
      <c r="C648">
        <v>4</v>
      </c>
    </row>
    <row r="649" spans="1:3">
      <c r="A649" s="119">
        <v>649</v>
      </c>
      <c r="B649" s="119">
        <v>0.34430727023319618</v>
      </c>
      <c r="C649">
        <v>30</v>
      </c>
    </row>
    <row r="650" spans="1:3">
      <c r="A650" s="119">
        <v>650</v>
      </c>
      <c r="B650" s="119">
        <v>0.67764060356652944</v>
      </c>
      <c r="C650">
        <v>49</v>
      </c>
    </row>
    <row r="651" spans="1:3">
      <c r="A651" s="119">
        <v>651</v>
      </c>
      <c r="B651" s="119">
        <v>0.12208504801097393</v>
      </c>
      <c r="C651">
        <v>16</v>
      </c>
    </row>
    <row r="652" spans="1:3">
      <c r="A652" s="119">
        <v>652</v>
      </c>
      <c r="B652" s="119">
        <v>0.45541838134430729</v>
      </c>
      <c r="C652">
        <v>36</v>
      </c>
    </row>
    <row r="653" spans="1:3">
      <c r="A653" s="119">
        <v>653</v>
      </c>
      <c r="B653" s="119">
        <v>0.78875171467764049</v>
      </c>
      <c r="C653">
        <v>58</v>
      </c>
    </row>
    <row r="654" spans="1:3">
      <c r="A654" s="119">
        <v>654</v>
      </c>
      <c r="B654" s="119">
        <v>0.23319615912208502</v>
      </c>
      <c r="C654">
        <v>24</v>
      </c>
    </row>
    <row r="655" spans="1:3">
      <c r="A655" s="119">
        <v>655</v>
      </c>
      <c r="B655" s="119">
        <v>0.56652949245541839</v>
      </c>
      <c r="C655">
        <v>42</v>
      </c>
    </row>
    <row r="656" spans="1:3">
      <c r="A656" s="119">
        <v>656</v>
      </c>
      <c r="B656" s="119">
        <v>0.89986282578875165</v>
      </c>
      <c r="C656">
        <v>70</v>
      </c>
    </row>
    <row r="657" spans="1:3">
      <c r="A657" s="119">
        <v>657</v>
      </c>
      <c r="B657" s="119">
        <v>4.8010973936899862E-2</v>
      </c>
      <c r="C657">
        <v>10</v>
      </c>
    </row>
    <row r="658" spans="1:3">
      <c r="A658" s="119">
        <v>658</v>
      </c>
      <c r="B658" s="119">
        <v>0.38134430727023322</v>
      </c>
      <c r="C658">
        <v>32</v>
      </c>
    </row>
    <row r="659" spans="1:3">
      <c r="A659" s="119">
        <v>659</v>
      </c>
      <c r="B659" s="119">
        <v>0.71467764060356653</v>
      </c>
      <c r="C659">
        <v>52</v>
      </c>
    </row>
    <row r="660" spans="1:3">
      <c r="A660" s="119">
        <v>660</v>
      </c>
      <c r="B660" s="119">
        <v>0.15912208504801095</v>
      </c>
      <c r="C660">
        <v>19</v>
      </c>
    </row>
    <row r="661" spans="1:3">
      <c r="A661" s="119">
        <v>661</v>
      </c>
      <c r="B661" s="119">
        <v>0.49245541838134432</v>
      </c>
      <c r="C661">
        <v>38</v>
      </c>
    </row>
    <row r="662" spans="1:3">
      <c r="A662" s="119">
        <v>662</v>
      </c>
      <c r="B662" s="119">
        <v>0.82578875171467747</v>
      </c>
      <c r="C662">
        <v>61</v>
      </c>
    </row>
    <row r="663" spans="1:3">
      <c r="A663" s="119">
        <v>663</v>
      </c>
      <c r="B663" s="119">
        <v>0.27023319615912211</v>
      </c>
      <c r="C663">
        <v>26</v>
      </c>
    </row>
    <row r="664" spans="1:3">
      <c r="A664" s="119">
        <v>664</v>
      </c>
      <c r="B664" s="119">
        <v>0.60356652949245537</v>
      </c>
      <c r="C664">
        <v>44</v>
      </c>
    </row>
    <row r="665" spans="1:3">
      <c r="A665" s="119">
        <v>665</v>
      </c>
      <c r="B665" s="119">
        <v>0.93689986282578863</v>
      </c>
      <c r="C665">
        <v>77</v>
      </c>
    </row>
    <row r="666" spans="1:3">
      <c r="A666" s="119">
        <v>666</v>
      </c>
      <c r="B666" s="119">
        <v>8.5048010973936897E-2</v>
      </c>
      <c r="C666">
        <v>13</v>
      </c>
    </row>
    <row r="667" spans="1:3">
      <c r="A667" s="119">
        <v>667</v>
      </c>
      <c r="B667" s="119">
        <v>0.41838134430727025</v>
      </c>
      <c r="C667">
        <v>34</v>
      </c>
    </row>
    <row r="668" spans="1:3">
      <c r="A668" s="119">
        <v>668</v>
      </c>
      <c r="B668" s="119">
        <v>0.75171467764060351</v>
      </c>
      <c r="C668">
        <v>55</v>
      </c>
    </row>
    <row r="669" spans="1:3">
      <c r="A669" s="119">
        <v>669</v>
      </c>
      <c r="B669" s="119">
        <v>0.19615912208504799</v>
      </c>
      <c r="C669">
        <v>21</v>
      </c>
    </row>
    <row r="670" spans="1:3">
      <c r="A670" s="119">
        <v>670</v>
      </c>
      <c r="B670" s="119">
        <v>0.5294924554183813</v>
      </c>
      <c r="C670">
        <v>40</v>
      </c>
    </row>
    <row r="671" spans="1:3">
      <c r="A671" s="119">
        <v>671</v>
      </c>
      <c r="B671" s="119">
        <v>0.86282578875171456</v>
      </c>
      <c r="C671">
        <v>65</v>
      </c>
    </row>
    <row r="672" spans="1:3">
      <c r="A672" s="119">
        <v>672</v>
      </c>
      <c r="B672" s="119">
        <v>0.30727023319615915</v>
      </c>
      <c r="C672">
        <v>28</v>
      </c>
    </row>
    <row r="673" spans="1:3">
      <c r="A673" s="119">
        <v>673</v>
      </c>
      <c r="B673" s="119">
        <v>0.64060356652949246</v>
      </c>
      <c r="C673">
        <v>47</v>
      </c>
    </row>
    <row r="674" spans="1:3">
      <c r="A674" s="119">
        <v>674</v>
      </c>
      <c r="B674" s="119">
        <v>0.97393689986282572</v>
      </c>
      <c r="C674">
        <v>89</v>
      </c>
    </row>
    <row r="675" spans="1:3">
      <c r="A675" s="119">
        <v>675</v>
      </c>
      <c r="B675" s="119">
        <v>2.3319615912208505E-2</v>
      </c>
      <c r="C675">
        <v>7</v>
      </c>
    </row>
    <row r="676" spans="1:3">
      <c r="A676" s="119">
        <v>676</v>
      </c>
      <c r="B676" s="119">
        <v>0.35665294924554186</v>
      </c>
      <c r="C676">
        <v>30</v>
      </c>
    </row>
    <row r="677" spans="1:3">
      <c r="A677" s="119">
        <v>677</v>
      </c>
      <c r="B677" s="119">
        <v>0.68998628257887507</v>
      </c>
      <c r="C677">
        <v>50</v>
      </c>
    </row>
    <row r="678" spans="1:3">
      <c r="A678" s="119">
        <v>678</v>
      </c>
      <c r="B678" s="119">
        <v>0.1344307270233196</v>
      </c>
      <c r="C678">
        <v>17</v>
      </c>
    </row>
    <row r="679" spans="1:3">
      <c r="A679" s="119">
        <v>679</v>
      </c>
      <c r="B679" s="119">
        <v>0.46776406035665297</v>
      </c>
      <c r="C679">
        <v>37</v>
      </c>
    </row>
    <row r="680" spans="1:3">
      <c r="A680" s="119">
        <v>680</v>
      </c>
      <c r="B680" s="119">
        <v>0.80109739368998623</v>
      </c>
      <c r="C680">
        <v>59</v>
      </c>
    </row>
    <row r="681" spans="1:3">
      <c r="A681" s="119">
        <v>681</v>
      </c>
      <c r="B681" s="119">
        <v>0.2455418381344307</v>
      </c>
      <c r="C681">
        <v>24</v>
      </c>
    </row>
    <row r="682" spans="1:3">
      <c r="A682" s="119">
        <v>682</v>
      </c>
      <c r="B682" s="119">
        <v>0.57887517146776413</v>
      </c>
      <c r="C682">
        <v>43</v>
      </c>
    </row>
    <row r="683" spans="1:3">
      <c r="A683" s="119">
        <v>683</v>
      </c>
      <c r="B683" s="119">
        <v>0.91220850480109739</v>
      </c>
      <c r="C683">
        <v>72</v>
      </c>
    </row>
    <row r="684" spans="1:3">
      <c r="A684" s="119">
        <v>684</v>
      </c>
      <c r="B684" s="119">
        <v>6.035665294924554E-2</v>
      </c>
      <c r="C684">
        <v>11</v>
      </c>
    </row>
    <row r="685" spans="1:3">
      <c r="A685" s="119">
        <v>685</v>
      </c>
      <c r="B685" s="119">
        <v>0.3936899862825789</v>
      </c>
      <c r="C685">
        <v>32</v>
      </c>
    </row>
    <row r="686" spans="1:3">
      <c r="A686" s="119">
        <v>686</v>
      </c>
      <c r="B686" s="119">
        <v>0.72702331961591227</v>
      </c>
      <c r="C686">
        <v>53</v>
      </c>
    </row>
    <row r="687" spans="1:3">
      <c r="A687" s="119">
        <v>687</v>
      </c>
      <c r="B687" s="119">
        <v>0.17146776406035663</v>
      </c>
      <c r="C687">
        <v>20</v>
      </c>
    </row>
    <row r="688" spans="1:3">
      <c r="A688" s="119">
        <v>688</v>
      </c>
      <c r="B688" s="119">
        <v>0.50480109739368995</v>
      </c>
      <c r="C688">
        <v>39</v>
      </c>
    </row>
    <row r="689" spans="1:3">
      <c r="A689" s="119">
        <v>689</v>
      </c>
      <c r="B689" s="119">
        <v>0.83813443072702321</v>
      </c>
      <c r="C689">
        <v>62</v>
      </c>
    </row>
    <row r="690" spans="1:3">
      <c r="A690" s="119">
        <v>690</v>
      </c>
      <c r="B690" s="119">
        <v>0.28257887517146779</v>
      </c>
      <c r="C690">
        <v>26</v>
      </c>
    </row>
    <row r="691" spans="1:3">
      <c r="A691" s="119">
        <v>691</v>
      </c>
      <c r="B691" s="119">
        <v>0.61591220850480111</v>
      </c>
      <c r="C691">
        <v>45</v>
      </c>
    </row>
    <row r="692" spans="1:3">
      <c r="A692" s="119">
        <v>692</v>
      </c>
      <c r="B692" s="119">
        <v>0.94924554183813437</v>
      </c>
      <c r="C692">
        <v>80</v>
      </c>
    </row>
    <row r="693" spans="1:3">
      <c r="A693" s="119">
        <v>693</v>
      </c>
      <c r="B693" s="119">
        <v>9.7393689986282575E-2</v>
      </c>
      <c r="C693">
        <v>14</v>
      </c>
    </row>
    <row r="694" spans="1:3">
      <c r="A694" s="119">
        <v>694</v>
      </c>
      <c r="B694" s="119">
        <v>0.43072702331961593</v>
      </c>
      <c r="C694">
        <v>34</v>
      </c>
    </row>
    <row r="695" spans="1:3">
      <c r="A695" s="119">
        <v>695</v>
      </c>
      <c r="B695" s="119">
        <v>0.76406035665294925</v>
      </c>
      <c r="C695">
        <v>56</v>
      </c>
    </row>
    <row r="696" spans="1:3">
      <c r="A696" s="119">
        <v>696</v>
      </c>
      <c r="B696" s="119">
        <v>0.20850480109739367</v>
      </c>
      <c r="C696">
        <v>22</v>
      </c>
    </row>
    <row r="697" spans="1:3">
      <c r="A697" s="119">
        <v>697</v>
      </c>
      <c r="B697" s="119">
        <v>0.54183813443072693</v>
      </c>
      <c r="C697">
        <v>41</v>
      </c>
    </row>
    <row r="698" spans="1:3">
      <c r="A698" s="119">
        <v>698</v>
      </c>
      <c r="B698" s="119">
        <v>0.87517146776406018</v>
      </c>
      <c r="C698">
        <v>67</v>
      </c>
    </row>
    <row r="699" spans="1:3">
      <c r="A699" s="119">
        <v>699</v>
      </c>
      <c r="B699" s="119">
        <v>0.31961591220850483</v>
      </c>
      <c r="C699">
        <v>28</v>
      </c>
    </row>
    <row r="700" spans="1:3">
      <c r="A700" s="119">
        <v>700</v>
      </c>
      <c r="B700" s="119">
        <v>0.65294924554183809</v>
      </c>
      <c r="C700">
        <v>47</v>
      </c>
    </row>
    <row r="701" spans="1:3">
      <c r="A701" s="119">
        <v>701</v>
      </c>
      <c r="B701" s="119">
        <v>0.98628257887517135</v>
      </c>
      <c r="C701">
        <v>96</v>
      </c>
    </row>
    <row r="702" spans="1:3">
      <c r="A702" s="119">
        <v>702</v>
      </c>
      <c r="B702" s="119">
        <v>3.5665294924554183E-2</v>
      </c>
      <c r="C702">
        <v>8</v>
      </c>
    </row>
    <row r="703" spans="1:3">
      <c r="A703" s="119">
        <v>703</v>
      </c>
      <c r="B703" s="119">
        <v>0.36899862825788754</v>
      </c>
      <c r="C703">
        <v>31</v>
      </c>
    </row>
    <row r="704" spans="1:3">
      <c r="A704" s="119">
        <v>704</v>
      </c>
      <c r="B704" s="119">
        <v>0.7023319615912208</v>
      </c>
      <c r="C704">
        <v>51</v>
      </c>
    </row>
    <row r="705" spans="1:3">
      <c r="A705" s="119">
        <v>705</v>
      </c>
      <c r="B705" s="119">
        <v>0.14677640603566527</v>
      </c>
      <c r="C705">
        <v>18</v>
      </c>
    </row>
    <row r="706" spans="1:3">
      <c r="A706" s="119">
        <v>706</v>
      </c>
      <c r="B706" s="119">
        <v>0.48010973936899864</v>
      </c>
      <c r="C706">
        <v>37</v>
      </c>
    </row>
    <row r="707" spans="1:3">
      <c r="A707" s="119">
        <v>707</v>
      </c>
      <c r="B707" s="119">
        <v>0.81344307270233185</v>
      </c>
      <c r="C707">
        <v>60</v>
      </c>
    </row>
    <row r="708" spans="1:3">
      <c r="A708" s="119">
        <v>708</v>
      </c>
      <c r="B708" s="119">
        <v>0.25788751714677643</v>
      </c>
      <c r="C708">
        <v>25</v>
      </c>
    </row>
    <row r="709" spans="1:3">
      <c r="A709" s="119">
        <v>709</v>
      </c>
      <c r="B709" s="119">
        <v>0.59122085048010975</v>
      </c>
      <c r="C709">
        <v>44</v>
      </c>
    </row>
    <row r="710" spans="1:3">
      <c r="A710" s="119">
        <v>710</v>
      </c>
      <c r="B710" s="119">
        <v>0.92455418381344301</v>
      </c>
      <c r="C710">
        <v>74</v>
      </c>
    </row>
    <row r="711" spans="1:3">
      <c r="A711" s="119">
        <v>711</v>
      </c>
      <c r="B711" s="119">
        <v>7.2702331961591218E-2</v>
      </c>
      <c r="C711">
        <v>12</v>
      </c>
    </row>
    <row r="712" spans="1:3">
      <c r="A712" s="119">
        <v>712</v>
      </c>
      <c r="B712" s="119">
        <v>0.40603566529492457</v>
      </c>
      <c r="C712">
        <v>33</v>
      </c>
    </row>
    <row r="713" spans="1:3">
      <c r="A713" s="119">
        <v>713</v>
      </c>
      <c r="B713" s="119">
        <v>0.73936899862825789</v>
      </c>
      <c r="C713">
        <v>54</v>
      </c>
    </row>
    <row r="714" spans="1:3">
      <c r="A714" s="119">
        <v>714</v>
      </c>
      <c r="B714" s="119">
        <v>0.18381344307270231</v>
      </c>
      <c r="C714">
        <v>21</v>
      </c>
    </row>
    <row r="715" spans="1:3">
      <c r="A715" s="119">
        <v>715</v>
      </c>
      <c r="B715" s="119">
        <v>0.51714677640603568</v>
      </c>
      <c r="C715">
        <v>39</v>
      </c>
    </row>
    <row r="716" spans="1:3">
      <c r="A716" s="119">
        <v>716</v>
      </c>
      <c r="B716" s="119">
        <v>0.85048010973936883</v>
      </c>
      <c r="C716">
        <v>64</v>
      </c>
    </row>
    <row r="717" spans="1:3">
      <c r="A717" s="119">
        <v>717</v>
      </c>
      <c r="B717" s="119">
        <v>0.29492455418381347</v>
      </c>
      <c r="C717">
        <v>27</v>
      </c>
    </row>
    <row r="718" spans="1:3">
      <c r="A718" s="119">
        <v>718</v>
      </c>
      <c r="B718" s="119">
        <v>0.62825788751714673</v>
      </c>
      <c r="C718">
        <v>46</v>
      </c>
    </row>
    <row r="719" spans="1:3">
      <c r="A719" s="119">
        <v>719</v>
      </c>
      <c r="B719" s="119">
        <v>0.96159122085047999</v>
      </c>
      <c r="C719">
        <v>84</v>
      </c>
    </row>
    <row r="720" spans="1:3">
      <c r="A720" s="119">
        <v>720</v>
      </c>
      <c r="B720" s="119">
        <v>0.10973936899862825</v>
      </c>
      <c r="C720">
        <v>15</v>
      </c>
    </row>
    <row r="721" spans="1:3">
      <c r="A721" s="119">
        <v>721</v>
      </c>
      <c r="B721" s="119">
        <v>0.44307270233196161</v>
      </c>
      <c r="C721">
        <v>35</v>
      </c>
    </row>
    <row r="722" spans="1:3">
      <c r="A722" s="119">
        <v>722</v>
      </c>
      <c r="B722" s="119">
        <v>0.77640603566529487</v>
      </c>
      <c r="C722">
        <v>57</v>
      </c>
    </row>
    <row r="723" spans="1:3">
      <c r="A723" s="119">
        <v>723</v>
      </c>
      <c r="B723" s="119">
        <v>0.22085048010973934</v>
      </c>
      <c r="C723">
        <v>23</v>
      </c>
    </row>
    <row r="724" spans="1:3">
      <c r="A724" s="119">
        <v>724</v>
      </c>
      <c r="B724" s="119">
        <v>0.55418381344307266</v>
      </c>
      <c r="C724">
        <v>41</v>
      </c>
    </row>
    <row r="725" spans="1:3">
      <c r="A725" s="119">
        <v>725</v>
      </c>
      <c r="B725" s="119">
        <v>0.88751714677640592</v>
      </c>
      <c r="C725">
        <v>68</v>
      </c>
    </row>
    <row r="726" spans="1:3">
      <c r="A726" s="119">
        <v>726</v>
      </c>
      <c r="B726" s="119">
        <v>0.3319615912208505</v>
      </c>
      <c r="C726">
        <v>29</v>
      </c>
    </row>
    <row r="727" spans="1:3">
      <c r="A727" s="119">
        <v>727</v>
      </c>
      <c r="B727" s="119">
        <v>0.66529492455418382</v>
      </c>
      <c r="C727">
        <v>48</v>
      </c>
    </row>
    <row r="728" spans="1:3">
      <c r="A728" s="119">
        <v>728</v>
      </c>
      <c r="B728" s="119">
        <v>0.99862825788751708</v>
      </c>
      <c r="C728">
        <v>105</v>
      </c>
    </row>
    <row r="729" spans="1:3">
      <c r="A729" s="119">
        <v>729</v>
      </c>
      <c r="B729" s="119">
        <v>4.5724737082761773E-4</v>
      </c>
      <c r="C729">
        <v>0</v>
      </c>
    </row>
    <row r="730" spans="1:3">
      <c r="A730" s="119">
        <v>730</v>
      </c>
      <c r="B730" s="119">
        <v>0.33379058070416096</v>
      </c>
      <c r="C730">
        <v>29</v>
      </c>
    </row>
    <row r="731" spans="1:3">
      <c r="A731" s="119">
        <v>731</v>
      </c>
      <c r="B731" s="119">
        <v>0.66712391403749427</v>
      </c>
      <c r="C731">
        <v>48</v>
      </c>
    </row>
    <row r="732" spans="1:3">
      <c r="A732" s="119">
        <v>732</v>
      </c>
      <c r="B732" s="119">
        <v>0.11156835848193872</v>
      </c>
      <c r="C732">
        <v>16</v>
      </c>
    </row>
    <row r="733" spans="1:3">
      <c r="A733" s="119">
        <v>733</v>
      </c>
      <c r="B733" s="119">
        <v>0.44490169181527206</v>
      </c>
      <c r="C733">
        <v>35</v>
      </c>
    </row>
    <row r="734" spans="1:3">
      <c r="A734" s="119">
        <v>734</v>
      </c>
      <c r="B734" s="119">
        <v>0.77823502514860532</v>
      </c>
      <c r="C734">
        <v>57</v>
      </c>
    </row>
    <row r="735" spans="1:3">
      <c r="A735" s="119">
        <v>735</v>
      </c>
      <c r="B735" s="119">
        <v>0.22267946959304982</v>
      </c>
      <c r="C735">
        <v>23</v>
      </c>
    </row>
    <row r="736" spans="1:3">
      <c r="A736" s="119">
        <v>736</v>
      </c>
      <c r="B736" s="119">
        <v>0.55601280292638322</v>
      </c>
      <c r="C736">
        <v>42</v>
      </c>
    </row>
    <row r="737" spans="1:3">
      <c r="A737" s="119">
        <v>737</v>
      </c>
      <c r="B737" s="119">
        <v>0.88934613625971648</v>
      </c>
      <c r="C737">
        <v>69</v>
      </c>
    </row>
    <row r="738" spans="1:3">
      <c r="A738" s="119">
        <v>738</v>
      </c>
      <c r="B738" s="119">
        <v>3.7494284407864654E-2</v>
      </c>
      <c r="C738">
        <v>9</v>
      </c>
    </row>
    <row r="739" spans="1:3">
      <c r="A739" s="119">
        <v>739</v>
      </c>
      <c r="B739" s="119">
        <v>0.37082761774119799</v>
      </c>
      <c r="C739">
        <v>31</v>
      </c>
    </row>
    <row r="740" spans="1:3">
      <c r="A740" s="119">
        <v>740</v>
      </c>
      <c r="B740" s="119">
        <v>0.70416095107453136</v>
      </c>
      <c r="C740">
        <v>51</v>
      </c>
    </row>
    <row r="741" spans="1:3">
      <c r="A741" s="119">
        <v>741</v>
      </c>
      <c r="B741" s="119">
        <v>0.14860539551897575</v>
      </c>
      <c r="C741">
        <v>18</v>
      </c>
    </row>
    <row r="742" spans="1:3">
      <c r="A742" s="119">
        <v>742</v>
      </c>
      <c r="B742" s="119">
        <v>0.4819387288523091</v>
      </c>
      <c r="C742">
        <v>37</v>
      </c>
    </row>
    <row r="743" spans="1:3">
      <c r="A743" s="119">
        <v>743</v>
      </c>
      <c r="B743" s="119">
        <v>0.8152720621856423</v>
      </c>
      <c r="C743">
        <v>60</v>
      </c>
    </row>
    <row r="744" spans="1:3">
      <c r="A744" s="119">
        <v>744</v>
      </c>
      <c r="B744" s="119">
        <v>0.25971650663008689</v>
      </c>
      <c r="C744">
        <v>25</v>
      </c>
    </row>
    <row r="745" spans="1:3">
      <c r="A745" s="119">
        <v>745</v>
      </c>
      <c r="B745" s="119">
        <v>0.5930498399634202</v>
      </c>
      <c r="C745">
        <v>44</v>
      </c>
    </row>
    <row r="746" spans="1:3">
      <c r="A746" s="119">
        <v>746</v>
      </c>
      <c r="B746" s="119">
        <v>0.92638317329675346</v>
      </c>
      <c r="C746">
        <v>75</v>
      </c>
    </row>
    <row r="747" spans="1:3">
      <c r="A747" s="119">
        <v>747</v>
      </c>
      <c r="B747" s="119">
        <v>7.4531321444901683E-2</v>
      </c>
      <c r="C747">
        <v>12</v>
      </c>
    </row>
    <row r="748" spans="1:3">
      <c r="A748" s="119">
        <v>748</v>
      </c>
      <c r="B748" s="119">
        <v>0.40786465477823503</v>
      </c>
      <c r="C748">
        <v>33</v>
      </c>
    </row>
    <row r="749" spans="1:3">
      <c r="A749" s="119">
        <v>749</v>
      </c>
      <c r="B749" s="119">
        <v>0.74119798811156834</v>
      </c>
      <c r="C749">
        <v>54</v>
      </c>
    </row>
    <row r="750" spans="1:3">
      <c r="A750" s="119">
        <v>750</v>
      </c>
      <c r="B750" s="119">
        <v>0.18564243255601279</v>
      </c>
      <c r="C750">
        <v>21</v>
      </c>
    </row>
    <row r="751" spans="1:3">
      <c r="A751" s="119">
        <v>751</v>
      </c>
      <c r="B751" s="119">
        <v>0.51897576588934613</v>
      </c>
      <c r="C751">
        <v>39</v>
      </c>
    </row>
    <row r="752" spans="1:3">
      <c r="A752" s="119">
        <v>752</v>
      </c>
      <c r="B752" s="119">
        <v>0.85230909922267939</v>
      </c>
      <c r="C752">
        <v>64</v>
      </c>
    </row>
    <row r="753" spans="1:3">
      <c r="A753" s="119">
        <v>753</v>
      </c>
      <c r="B753" s="119">
        <v>0.29675354366712392</v>
      </c>
      <c r="C753">
        <v>27</v>
      </c>
    </row>
    <row r="754" spans="1:3">
      <c r="A754" s="119">
        <v>754</v>
      </c>
      <c r="B754" s="119">
        <v>0.63008687700045729</v>
      </c>
      <c r="C754">
        <v>46</v>
      </c>
    </row>
    <row r="755" spans="1:3">
      <c r="A755" s="119">
        <v>755</v>
      </c>
      <c r="B755" s="119">
        <v>0.96342021033379055</v>
      </c>
      <c r="C755">
        <v>84</v>
      </c>
    </row>
    <row r="756" spans="1:3">
      <c r="A756" s="119">
        <v>756</v>
      </c>
      <c r="B756" s="119">
        <v>1.2802926383173296E-2</v>
      </c>
      <c r="C756">
        <v>5</v>
      </c>
    </row>
    <row r="757" spans="1:3">
      <c r="A757" s="119">
        <v>757</v>
      </c>
      <c r="B757" s="119">
        <v>0.34613625971650663</v>
      </c>
      <c r="C757">
        <v>30</v>
      </c>
    </row>
    <row r="758" spans="1:3">
      <c r="A758" s="119">
        <v>758</v>
      </c>
      <c r="B758" s="119">
        <v>0.67946959304983989</v>
      </c>
      <c r="C758">
        <v>49</v>
      </c>
    </row>
    <row r="759" spans="1:3">
      <c r="A759" s="119">
        <v>759</v>
      </c>
      <c r="B759" s="119">
        <v>0.1239140374942844</v>
      </c>
      <c r="C759">
        <v>16</v>
      </c>
    </row>
    <row r="760" spans="1:3">
      <c r="A760" s="119">
        <v>760</v>
      </c>
      <c r="B760" s="119">
        <v>0.45724737082761774</v>
      </c>
      <c r="C760">
        <v>36</v>
      </c>
    </row>
    <row r="761" spans="1:3">
      <c r="A761" s="119">
        <v>761</v>
      </c>
      <c r="B761" s="119">
        <v>0.79058070416095105</v>
      </c>
      <c r="C761">
        <v>58</v>
      </c>
    </row>
    <row r="762" spans="1:3">
      <c r="A762" s="119">
        <v>762</v>
      </c>
      <c r="B762" s="119">
        <v>0.2350251486053955</v>
      </c>
      <c r="C762">
        <v>24</v>
      </c>
    </row>
    <row r="763" spans="1:3">
      <c r="A763" s="119">
        <v>763</v>
      </c>
      <c r="B763" s="119">
        <v>0.56835848193872895</v>
      </c>
      <c r="C763">
        <v>42</v>
      </c>
    </row>
    <row r="764" spans="1:3">
      <c r="A764" s="119">
        <v>764</v>
      </c>
      <c r="B764" s="119">
        <v>0.90169181527206221</v>
      </c>
      <c r="C764">
        <v>71</v>
      </c>
    </row>
    <row r="765" spans="1:3">
      <c r="A765" s="119">
        <v>765</v>
      </c>
      <c r="B765" s="119">
        <v>4.9839963420210333E-2</v>
      </c>
      <c r="C765">
        <v>10</v>
      </c>
    </row>
    <row r="766" spans="1:3">
      <c r="A766" s="119">
        <v>766</v>
      </c>
      <c r="B766" s="119">
        <v>0.38317329675354367</v>
      </c>
      <c r="C766">
        <v>32</v>
      </c>
    </row>
    <row r="767" spans="1:3">
      <c r="A767" s="119">
        <v>767</v>
      </c>
      <c r="B767" s="119">
        <v>0.71650663008687709</v>
      </c>
      <c r="C767">
        <v>52</v>
      </c>
    </row>
    <row r="768" spans="1:3">
      <c r="A768" s="119">
        <v>768</v>
      </c>
      <c r="B768" s="119">
        <v>0.16095107453132143</v>
      </c>
      <c r="C768">
        <v>19</v>
      </c>
    </row>
    <row r="769" spans="1:3">
      <c r="A769" s="119">
        <v>769</v>
      </c>
      <c r="B769" s="119">
        <v>0.49428440786465477</v>
      </c>
      <c r="C769">
        <v>38</v>
      </c>
    </row>
    <row r="770" spans="1:3">
      <c r="A770" s="119">
        <v>770</v>
      </c>
      <c r="B770" s="119">
        <v>0.82761774119798803</v>
      </c>
      <c r="C770">
        <v>61</v>
      </c>
    </row>
    <row r="771" spans="1:3">
      <c r="A771" s="119">
        <v>771</v>
      </c>
      <c r="B771" s="119">
        <v>0.27206218564243256</v>
      </c>
      <c r="C771">
        <v>26</v>
      </c>
    </row>
    <row r="772" spans="1:3">
      <c r="A772" s="119">
        <v>772</v>
      </c>
      <c r="B772" s="119">
        <v>0.60539551897576593</v>
      </c>
      <c r="C772">
        <v>44</v>
      </c>
    </row>
    <row r="773" spans="1:3">
      <c r="A773" s="119">
        <v>773</v>
      </c>
      <c r="B773" s="119">
        <v>0.93872885230909919</v>
      </c>
      <c r="C773">
        <v>77</v>
      </c>
    </row>
    <row r="774" spans="1:3">
      <c r="A774" s="119">
        <v>774</v>
      </c>
      <c r="B774" s="119">
        <v>8.6877000457247361E-2</v>
      </c>
      <c r="C774">
        <v>14</v>
      </c>
    </row>
    <row r="775" spans="1:3">
      <c r="A775" s="119">
        <v>775</v>
      </c>
      <c r="B775" s="119">
        <v>0.4202103337905807</v>
      </c>
      <c r="C775">
        <v>34</v>
      </c>
    </row>
    <row r="776" spans="1:3">
      <c r="A776" s="119">
        <v>776</v>
      </c>
      <c r="B776" s="119">
        <v>0.75354366712391407</v>
      </c>
      <c r="C776">
        <v>55</v>
      </c>
    </row>
    <row r="777" spans="1:3">
      <c r="A777" s="119">
        <v>777</v>
      </c>
      <c r="B777" s="119">
        <v>0.19798811156835847</v>
      </c>
      <c r="C777">
        <v>21</v>
      </c>
    </row>
    <row r="778" spans="1:3">
      <c r="A778" s="119">
        <v>778</v>
      </c>
      <c r="B778" s="119">
        <v>0.53132144490169175</v>
      </c>
      <c r="C778">
        <v>40</v>
      </c>
    </row>
    <row r="779" spans="1:3">
      <c r="A779" s="119">
        <v>779</v>
      </c>
      <c r="B779" s="119">
        <v>0.86465477823502501</v>
      </c>
      <c r="C779">
        <v>65</v>
      </c>
    </row>
    <row r="780" spans="1:3">
      <c r="A780" s="119">
        <v>780</v>
      </c>
      <c r="B780" s="119">
        <v>0.3090992226794696</v>
      </c>
      <c r="C780">
        <v>28</v>
      </c>
    </row>
    <row r="781" spans="1:3">
      <c r="A781" s="119">
        <v>781</v>
      </c>
      <c r="B781" s="119">
        <v>0.64243255601280291</v>
      </c>
      <c r="C781">
        <v>47</v>
      </c>
    </row>
    <row r="782" spans="1:3">
      <c r="A782" s="119">
        <v>782</v>
      </c>
      <c r="B782" s="119">
        <v>0.97576588934613617</v>
      </c>
      <c r="C782">
        <v>89</v>
      </c>
    </row>
    <row r="783" spans="1:3">
      <c r="A783" s="119">
        <v>783</v>
      </c>
      <c r="B783" s="119">
        <v>2.5148605395518973E-2</v>
      </c>
      <c r="C783">
        <v>7</v>
      </c>
    </row>
    <row r="784" spans="1:3">
      <c r="A784" s="119">
        <v>784</v>
      </c>
      <c r="B784" s="119">
        <v>0.35848193872885231</v>
      </c>
      <c r="C784">
        <v>31</v>
      </c>
    </row>
    <row r="785" spans="1:3">
      <c r="A785" s="119">
        <v>785</v>
      </c>
      <c r="B785" s="119">
        <v>0.69181527206218563</v>
      </c>
      <c r="C785">
        <v>50</v>
      </c>
    </row>
    <row r="786" spans="1:3">
      <c r="A786" s="119">
        <v>786</v>
      </c>
      <c r="B786" s="119">
        <v>0.13625971650663007</v>
      </c>
      <c r="C786">
        <v>17</v>
      </c>
    </row>
    <row r="787" spans="1:3">
      <c r="A787" s="119">
        <v>787</v>
      </c>
      <c r="B787" s="119">
        <v>0.46959304983996342</v>
      </c>
      <c r="C787">
        <v>37</v>
      </c>
    </row>
    <row r="788" spans="1:3">
      <c r="A788" s="119">
        <v>788</v>
      </c>
      <c r="B788" s="119">
        <v>0.80292638317329668</v>
      </c>
      <c r="C788">
        <v>59</v>
      </c>
    </row>
    <row r="789" spans="1:3">
      <c r="A789" s="119">
        <v>789</v>
      </c>
      <c r="B789" s="119">
        <v>0.24737082761774118</v>
      </c>
      <c r="C789">
        <v>24</v>
      </c>
    </row>
    <row r="790" spans="1:3">
      <c r="A790" s="119">
        <v>790</v>
      </c>
      <c r="B790" s="119">
        <v>0.58070416095107458</v>
      </c>
      <c r="C790">
        <v>43</v>
      </c>
    </row>
    <row r="791" spans="1:3">
      <c r="A791" s="119">
        <v>791</v>
      </c>
      <c r="B791" s="119">
        <v>0.91403749428440784</v>
      </c>
      <c r="C791">
        <v>73</v>
      </c>
    </row>
    <row r="792" spans="1:3">
      <c r="A792" s="119">
        <v>792</v>
      </c>
      <c r="B792" s="119">
        <v>6.2185642432556011E-2</v>
      </c>
      <c r="C792">
        <v>11</v>
      </c>
    </row>
    <row r="793" spans="1:3">
      <c r="A793" s="119">
        <v>793</v>
      </c>
      <c r="B793" s="119">
        <v>0.39551897576588935</v>
      </c>
      <c r="C793">
        <v>33</v>
      </c>
    </row>
    <row r="794" spans="1:3">
      <c r="A794" s="119">
        <v>794</v>
      </c>
      <c r="B794" s="119">
        <v>0.72885230909922272</v>
      </c>
      <c r="C794">
        <v>53</v>
      </c>
    </row>
    <row r="795" spans="1:3">
      <c r="A795" s="119">
        <v>795</v>
      </c>
      <c r="B795" s="119">
        <v>0.17329675354366711</v>
      </c>
      <c r="C795">
        <v>20</v>
      </c>
    </row>
    <row r="796" spans="1:3">
      <c r="A796" s="119">
        <v>796</v>
      </c>
      <c r="B796" s="119">
        <v>0.50663008687700051</v>
      </c>
      <c r="C796">
        <v>39</v>
      </c>
    </row>
    <row r="797" spans="1:3">
      <c r="A797" s="119">
        <v>797</v>
      </c>
      <c r="B797" s="119">
        <v>0.83996342021033366</v>
      </c>
      <c r="C797">
        <v>63</v>
      </c>
    </row>
    <row r="798" spans="1:3">
      <c r="A798" s="119">
        <v>798</v>
      </c>
      <c r="B798" s="119">
        <v>0.28440786465477824</v>
      </c>
      <c r="C798">
        <v>26</v>
      </c>
    </row>
    <row r="799" spans="1:3">
      <c r="A799" s="119">
        <v>799</v>
      </c>
      <c r="B799" s="119">
        <v>0.61774119798811156</v>
      </c>
      <c r="C799">
        <v>45</v>
      </c>
    </row>
    <row r="800" spans="1:3">
      <c r="A800" s="119">
        <v>800</v>
      </c>
      <c r="B800" s="119">
        <v>0.95107453132144482</v>
      </c>
      <c r="C800">
        <v>80</v>
      </c>
    </row>
    <row r="801" spans="1:3">
      <c r="A801" s="119">
        <v>801</v>
      </c>
      <c r="B801" s="119">
        <v>9.9222679469593039E-2</v>
      </c>
      <c r="C801">
        <v>15</v>
      </c>
    </row>
    <row r="802" spans="1:3">
      <c r="A802" s="119">
        <v>802</v>
      </c>
      <c r="B802" s="119">
        <v>0.43255601280292638</v>
      </c>
      <c r="C802">
        <v>35</v>
      </c>
    </row>
    <row r="803" spans="1:3">
      <c r="A803" s="119">
        <v>803</v>
      </c>
      <c r="B803" s="119">
        <v>0.7658893461362597</v>
      </c>
      <c r="C803">
        <v>56</v>
      </c>
    </row>
    <row r="804" spans="1:3">
      <c r="A804" s="119">
        <v>804</v>
      </c>
      <c r="B804" s="119">
        <v>0.21033379058070414</v>
      </c>
      <c r="C804">
        <v>22</v>
      </c>
    </row>
    <row r="805" spans="1:3">
      <c r="A805" s="119">
        <v>805</v>
      </c>
      <c r="B805" s="119">
        <v>0.54366712391403749</v>
      </c>
      <c r="C805">
        <v>41</v>
      </c>
    </row>
    <row r="806" spans="1:3">
      <c r="A806" s="119">
        <v>806</v>
      </c>
      <c r="B806" s="119">
        <v>0.87700045724737075</v>
      </c>
      <c r="C806">
        <v>67</v>
      </c>
    </row>
    <row r="807" spans="1:3">
      <c r="A807" s="119">
        <v>807</v>
      </c>
      <c r="B807" s="119">
        <v>0.32144490169181528</v>
      </c>
      <c r="C807">
        <v>29</v>
      </c>
    </row>
    <row r="808" spans="1:3">
      <c r="A808" s="119">
        <v>808</v>
      </c>
      <c r="B808" s="119">
        <v>0.65477823502514865</v>
      </c>
      <c r="C808">
        <v>48</v>
      </c>
    </row>
    <row r="809" spans="1:3">
      <c r="A809" s="119">
        <v>809</v>
      </c>
      <c r="B809" s="119">
        <v>0.98811156835848191</v>
      </c>
      <c r="C809">
        <v>98</v>
      </c>
    </row>
    <row r="810" spans="1:3">
      <c r="A810" s="119">
        <v>810</v>
      </c>
      <c r="B810" s="119">
        <v>4.5724737082761778E-3</v>
      </c>
      <c r="C810">
        <v>3</v>
      </c>
    </row>
    <row r="811" spans="1:3">
      <c r="A811" s="119">
        <v>811</v>
      </c>
      <c r="B811" s="119">
        <v>0.3379058070416095</v>
      </c>
      <c r="C811">
        <v>29</v>
      </c>
    </row>
    <row r="812" spans="1:3">
      <c r="A812" s="119">
        <v>812</v>
      </c>
      <c r="B812" s="119">
        <v>0.67123914037494281</v>
      </c>
      <c r="C812">
        <v>49</v>
      </c>
    </row>
    <row r="813" spans="1:3">
      <c r="A813" s="119">
        <v>813</v>
      </c>
      <c r="B813" s="119">
        <v>0.11568358481938727</v>
      </c>
      <c r="C813">
        <v>16</v>
      </c>
    </row>
    <row r="814" spans="1:3">
      <c r="A814" s="119">
        <v>814</v>
      </c>
      <c r="B814" s="119">
        <v>0.4490169181527206</v>
      </c>
      <c r="C814">
        <v>35</v>
      </c>
    </row>
    <row r="815" spans="1:3">
      <c r="A815" s="119">
        <v>815</v>
      </c>
      <c r="B815" s="119">
        <v>0.78235025148605386</v>
      </c>
      <c r="C815">
        <v>57</v>
      </c>
    </row>
    <row r="816" spans="1:3">
      <c r="A816" s="119">
        <v>816</v>
      </c>
      <c r="B816" s="119">
        <v>0.22679469593049839</v>
      </c>
      <c r="C816">
        <v>23</v>
      </c>
    </row>
    <row r="817" spans="1:3">
      <c r="A817" s="119">
        <v>817</v>
      </c>
      <c r="B817" s="119">
        <v>0.56012802926383176</v>
      </c>
      <c r="C817">
        <v>42</v>
      </c>
    </row>
    <row r="818" spans="1:3">
      <c r="A818" s="119">
        <v>818</v>
      </c>
      <c r="B818" s="119">
        <v>0.89346136259716502</v>
      </c>
      <c r="C818">
        <v>69</v>
      </c>
    </row>
    <row r="819" spans="1:3">
      <c r="A819" s="119">
        <v>819</v>
      </c>
      <c r="B819" s="119">
        <v>4.1609510745313216E-2</v>
      </c>
      <c r="C819">
        <v>9</v>
      </c>
    </row>
    <row r="820" spans="1:3">
      <c r="A820" s="119">
        <v>820</v>
      </c>
      <c r="B820" s="119">
        <v>0.37494284407864653</v>
      </c>
      <c r="C820">
        <v>31</v>
      </c>
    </row>
    <row r="821" spans="1:3">
      <c r="A821" s="119">
        <v>821</v>
      </c>
      <c r="B821" s="119">
        <v>0.7082761774119799</v>
      </c>
      <c r="C821">
        <v>51</v>
      </c>
    </row>
    <row r="822" spans="1:3">
      <c r="A822" s="119">
        <v>822</v>
      </c>
      <c r="B822" s="119">
        <v>0.15272062185642432</v>
      </c>
      <c r="C822">
        <v>18</v>
      </c>
    </row>
    <row r="823" spans="1:3">
      <c r="A823" s="119">
        <v>823</v>
      </c>
      <c r="B823" s="119">
        <v>0.48605395518975764</v>
      </c>
      <c r="C823">
        <v>38</v>
      </c>
    </row>
    <row r="824" spans="1:3">
      <c r="A824" s="119">
        <v>824</v>
      </c>
      <c r="B824" s="119">
        <v>0.81938728852309084</v>
      </c>
      <c r="C824">
        <v>60</v>
      </c>
    </row>
    <row r="825" spans="1:3">
      <c r="A825" s="119">
        <v>825</v>
      </c>
      <c r="B825" s="119">
        <v>0.26383173296753543</v>
      </c>
      <c r="C825">
        <v>25</v>
      </c>
    </row>
    <row r="826" spans="1:3">
      <c r="A826" s="119">
        <v>826</v>
      </c>
      <c r="B826" s="119">
        <v>0.59716506630086874</v>
      </c>
      <c r="C826">
        <v>44</v>
      </c>
    </row>
    <row r="827" spans="1:3">
      <c r="A827" s="119">
        <v>827</v>
      </c>
      <c r="B827" s="119">
        <v>0.930498399634202</v>
      </c>
      <c r="C827">
        <v>76</v>
      </c>
    </row>
    <row r="828" spans="1:3">
      <c r="A828" s="119">
        <v>828</v>
      </c>
      <c r="B828" s="119">
        <v>7.8646547782350237E-2</v>
      </c>
      <c r="C828">
        <v>13</v>
      </c>
    </row>
    <row r="829" spans="1:3">
      <c r="A829" s="119">
        <v>829</v>
      </c>
      <c r="B829" s="119">
        <v>0.41197988111568357</v>
      </c>
      <c r="C829">
        <v>33</v>
      </c>
    </row>
    <row r="830" spans="1:3">
      <c r="A830" s="119">
        <v>830</v>
      </c>
      <c r="B830" s="119">
        <v>0.74531321444901688</v>
      </c>
      <c r="C830">
        <v>54</v>
      </c>
    </row>
    <row r="831" spans="1:3">
      <c r="A831" s="119">
        <v>831</v>
      </c>
      <c r="B831" s="119">
        <v>0.18975765889346136</v>
      </c>
      <c r="C831">
        <v>21</v>
      </c>
    </row>
    <row r="832" spans="1:3">
      <c r="A832" s="119">
        <v>832</v>
      </c>
      <c r="B832" s="119">
        <v>0.52309099222679467</v>
      </c>
      <c r="C832">
        <v>40</v>
      </c>
    </row>
    <row r="833" spans="1:3">
      <c r="A833" s="119">
        <v>833</v>
      </c>
      <c r="B833" s="119">
        <v>0.85642432556012793</v>
      </c>
      <c r="C833">
        <v>64</v>
      </c>
    </row>
    <row r="834" spans="1:3">
      <c r="A834" s="119">
        <v>834</v>
      </c>
      <c r="B834" s="119">
        <v>0.30086877000457246</v>
      </c>
      <c r="C834">
        <v>27</v>
      </c>
    </row>
    <row r="835" spans="1:3">
      <c r="A835" s="119">
        <v>835</v>
      </c>
      <c r="B835" s="119">
        <v>0.63420210333790583</v>
      </c>
      <c r="C835">
        <v>46</v>
      </c>
    </row>
    <row r="836" spans="1:3">
      <c r="A836" s="119">
        <v>836</v>
      </c>
      <c r="B836" s="119">
        <v>0.96753543667123909</v>
      </c>
      <c r="C836">
        <v>86</v>
      </c>
    </row>
    <row r="837" spans="1:3">
      <c r="A837" s="119">
        <v>837</v>
      </c>
      <c r="B837" s="119">
        <v>1.6918152720621856E-2</v>
      </c>
      <c r="C837">
        <v>6</v>
      </c>
    </row>
    <row r="838" spans="1:3">
      <c r="A838" s="119">
        <v>838</v>
      </c>
      <c r="B838" s="119">
        <v>0.35025148605395517</v>
      </c>
      <c r="C838">
        <v>30</v>
      </c>
    </row>
    <row r="839" spans="1:3">
      <c r="A839" s="119">
        <v>839</v>
      </c>
      <c r="B839" s="119">
        <v>0.68358481938728843</v>
      </c>
      <c r="C839">
        <v>50</v>
      </c>
    </row>
    <row r="840" spans="1:3">
      <c r="A840" s="119">
        <v>840</v>
      </c>
      <c r="B840" s="119">
        <v>0.12802926383173296</v>
      </c>
      <c r="C840">
        <v>17</v>
      </c>
    </row>
    <row r="841" spans="1:3">
      <c r="A841" s="119">
        <v>841</v>
      </c>
      <c r="B841" s="119">
        <v>0.46136259716506628</v>
      </c>
      <c r="C841">
        <v>36</v>
      </c>
    </row>
    <row r="842" spans="1:3">
      <c r="A842" s="119">
        <v>842</v>
      </c>
      <c r="B842" s="119">
        <v>0.79469593049839959</v>
      </c>
      <c r="C842">
        <v>58</v>
      </c>
    </row>
    <row r="843" spans="1:3">
      <c r="A843" s="119">
        <v>843</v>
      </c>
      <c r="B843" s="119">
        <v>0.23914037494284407</v>
      </c>
      <c r="C843">
        <v>24</v>
      </c>
    </row>
    <row r="844" spans="1:3">
      <c r="A844" s="119">
        <v>844</v>
      </c>
      <c r="B844" s="119">
        <v>0.5724737082761775</v>
      </c>
      <c r="C844">
        <v>42</v>
      </c>
    </row>
    <row r="845" spans="1:3">
      <c r="A845" s="119">
        <v>845</v>
      </c>
      <c r="B845" s="119">
        <v>0.90580704160951075</v>
      </c>
      <c r="C845">
        <v>71</v>
      </c>
    </row>
    <row r="846" spans="1:3">
      <c r="A846" s="119">
        <v>846</v>
      </c>
      <c r="B846" s="119">
        <v>5.3955189757658895E-2</v>
      </c>
      <c r="C846">
        <v>10</v>
      </c>
    </row>
    <row r="847" spans="1:3">
      <c r="A847" s="119">
        <v>847</v>
      </c>
      <c r="B847" s="119">
        <v>0.38728852309099221</v>
      </c>
      <c r="C847">
        <v>32</v>
      </c>
    </row>
    <row r="848" spans="1:3">
      <c r="A848" s="119">
        <v>848</v>
      </c>
      <c r="B848" s="119">
        <v>0.72062185642432564</v>
      </c>
      <c r="C848">
        <v>52</v>
      </c>
    </row>
    <row r="849" spans="1:3">
      <c r="A849" s="119">
        <v>849</v>
      </c>
      <c r="B849" s="119">
        <v>0.16506630086877</v>
      </c>
      <c r="C849">
        <v>19</v>
      </c>
    </row>
    <row r="850" spans="1:3">
      <c r="A850" s="119">
        <v>850</v>
      </c>
      <c r="B850" s="119">
        <v>0.49839963420210331</v>
      </c>
      <c r="C850">
        <v>38</v>
      </c>
    </row>
    <row r="851" spans="1:3">
      <c r="A851" s="119">
        <v>851</v>
      </c>
      <c r="B851" s="119">
        <v>0.83173296753543657</v>
      </c>
      <c r="C851">
        <v>62</v>
      </c>
    </row>
    <row r="852" spans="1:3">
      <c r="A852" s="119">
        <v>852</v>
      </c>
      <c r="B852" s="119">
        <v>0.2761774119798811</v>
      </c>
      <c r="C852">
        <v>26</v>
      </c>
    </row>
    <row r="853" spans="1:3">
      <c r="A853" s="119">
        <v>853</v>
      </c>
      <c r="B853" s="119">
        <v>0.60951074531321447</v>
      </c>
      <c r="C853">
        <v>45</v>
      </c>
    </row>
    <row r="854" spans="1:3">
      <c r="A854" s="119">
        <v>854</v>
      </c>
      <c r="B854" s="119">
        <v>0.94284407864654773</v>
      </c>
      <c r="C854">
        <v>78</v>
      </c>
    </row>
    <row r="855" spans="1:3">
      <c r="A855" s="119">
        <v>855</v>
      </c>
      <c r="B855" s="119">
        <v>9.0992226794695916E-2</v>
      </c>
      <c r="C855">
        <v>14</v>
      </c>
    </row>
    <row r="856" spans="1:3">
      <c r="A856" s="119">
        <v>856</v>
      </c>
      <c r="B856" s="119">
        <v>0.42432556012802924</v>
      </c>
      <c r="C856">
        <v>34</v>
      </c>
    </row>
    <row r="857" spans="1:3">
      <c r="A857" s="119">
        <v>857</v>
      </c>
      <c r="B857" s="119">
        <v>0.75765889346136261</v>
      </c>
      <c r="C857">
        <v>55</v>
      </c>
    </row>
    <row r="858" spans="1:3">
      <c r="A858" s="119">
        <v>858</v>
      </c>
      <c r="B858" s="119">
        <v>0.20210333790580703</v>
      </c>
      <c r="C858">
        <v>22</v>
      </c>
    </row>
    <row r="859" spans="1:3">
      <c r="A859" s="119">
        <v>859</v>
      </c>
      <c r="B859" s="119">
        <v>0.53543667123914029</v>
      </c>
      <c r="C859">
        <v>40</v>
      </c>
    </row>
    <row r="860" spans="1:3">
      <c r="A860" s="119">
        <v>860</v>
      </c>
      <c r="B860" s="119">
        <v>0.86877000457247355</v>
      </c>
      <c r="C860">
        <v>66</v>
      </c>
    </row>
    <row r="861" spans="1:3">
      <c r="A861" s="119">
        <v>861</v>
      </c>
      <c r="B861" s="119">
        <v>0.31321444901691814</v>
      </c>
      <c r="C861">
        <v>28</v>
      </c>
    </row>
    <row r="862" spans="1:3">
      <c r="A862" s="119">
        <v>862</v>
      </c>
      <c r="B862" s="119">
        <v>0.64654778235025145</v>
      </c>
      <c r="C862">
        <v>47</v>
      </c>
    </row>
    <row r="863" spans="1:3">
      <c r="A863" s="119">
        <v>863</v>
      </c>
      <c r="B863" s="119">
        <v>0.97988111568358471</v>
      </c>
      <c r="C863">
        <v>92</v>
      </c>
    </row>
    <row r="864" spans="1:3">
      <c r="A864" s="119">
        <v>864</v>
      </c>
      <c r="B864" s="119">
        <v>2.9263831732967534E-2</v>
      </c>
      <c r="C864">
        <v>8</v>
      </c>
    </row>
    <row r="865" spans="1:3">
      <c r="A865" s="119">
        <v>865</v>
      </c>
      <c r="B865" s="119">
        <v>0.36259716506630085</v>
      </c>
      <c r="C865">
        <v>31</v>
      </c>
    </row>
    <row r="866" spans="1:3">
      <c r="A866" s="119">
        <v>866</v>
      </c>
      <c r="B866" s="119">
        <v>0.69593049839963417</v>
      </c>
      <c r="C866">
        <v>50</v>
      </c>
    </row>
    <row r="867" spans="1:3">
      <c r="A867" s="119">
        <v>867</v>
      </c>
      <c r="B867" s="119">
        <v>0.14037494284407864</v>
      </c>
      <c r="C867">
        <v>18</v>
      </c>
    </row>
    <row r="868" spans="1:3">
      <c r="A868" s="119">
        <v>868</v>
      </c>
      <c r="B868" s="119">
        <v>0.47370827617741196</v>
      </c>
      <c r="C868">
        <v>37</v>
      </c>
    </row>
    <row r="869" spans="1:3">
      <c r="A869" s="119">
        <v>869</v>
      </c>
      <c r="B869" s="119">
        <v>0.80704160951074522</v>
      </c>
      <c r="C869">
        <v>59</v>
      </c>
    </row>
    <row r="870" spans="1:3">
      <c r="A870" s="119">
        <v>870</v>
      </c>
      <c r="B870" s="119">
        <v>0.25148605395518975</v>
      </c>
      <c r="C870">
        <v>25</v>
      </c>
    </row>
    <row r="871" spans="1:3">
      <c r="A871" s="119">
        <v>871</v>
      </c>
      <c r="B871" s="119">
        <v>0.58481938728852312</v>
      </c>
      <c r="C871">
        <v>43</v>
      </c>
    </row>
    <row r="872" spans="1:3">
      <c r="A872" s="119">
        <v>872</v>
      </c>
      <c r="B872" s="119">
        <v>0.91815272062185638</v>
      </c>
      <c r="C872">
        <v>73</v>
      </c>
    </row>
    <row r="873" spans="1:3">
      <c r="A873" s="119">
        <v>873</v>
      </c>
      <c r="B873" s="119">
        <v>6.6300868770004559E-2</v>
      </c>
      <c r="C873">
        <v>12</v>
      </c>
    </row>
    <row r="874" spans="1:3">
      <c r="A874" s="119">
        <v>874</v>
      </c>
      <c r="B874" s="119">
        <v>0.39963420210333789</v>
      </c>
      <c r="C874">
        <v>33</v>
      </c>
    </row>
    <row r="875" spans="1:3">
      <c r="A875" s="119">
        <v>875</v>
      </c>
      <c r="B875" s="119">
        <v>0.73296753543667126</v>
      </c>
      <c r="C875">
        <v>53</v>
      </c>
    </row>
    <row r="876" spans="1:3">
      <c r="A876" s="119">
        <v>876</v>
      </c>
      <c r="B876" s="119">
        <v>0.17741197988111568</v>
      </c>
      <c r="C876">
        <v>20</v>
      </c>
    </row>
    <row r="877" spans="1:3">
      <c r="A877" s="119">
        <v>877</v>
      </c>
      <c r="B877" s="119">
        <v>0.51074531321444905</v>
      </c>
      <c r="C877">
        <v>39</v>
      </c>
    </row>
    <row r="878" spans="1:3">
      <c r="A878" s="119">
        <v>878</v>
      </c>
      <c r="B878" s="119">
        <v>0.8440786465477822</v>
      </c>
      <c r="C878">
        <v>63</v>
      </c>
    </row>
    <row r="879" spans="1:3">
      <c r="A879" s="119">
        <v>879</v>
      </c>
      <c r="B879" s="119">
        <v>0.28852309099222678</v>
      </c>
      <c r="C879">
        <v>27</v>
      </c>
    </row>
    <row r="880" spans="1:3">
      <c r="A880" s="119">
        <v>880</v>
      </c>
      <c r="B880" s="119">
        <v>0.6218564243255601</v>
      </c>
      <c r="C880">
        <v>45</v>
      </c>
    </row>
    <row r="881" spans="1:3">
      <c r="A881" s="119">
        <v>881</v>
      </c>
      <c r="B881" s="119">
        <v>0.95518975765889336</v>
      </c>
      <c r="C881">
        <v>82</v>
      </c>
    </row>
    <row r="882" spans="1:3">
      <c r="A882" s="119">
        <v>882</v>
      </c>
      <c r="B882" s="119">
        <v>0.10333790580704159</v>
      </c>
      <c r="C882">
        <v>15</v>
      </c>
    </row>
    <row r="883" spans="1:3">
      <c r="A883" s="119">
        <v>883</v>
      </c>
      <c r="B883" s="119">
        <v>0.43667123914037492</v>
      </c>
      <c r="C883">
        <v>35</v>
      </c>
    </row>
    <row r="884" spans="1:3">
      <c r="A884" s="119">
        <v>884</v>
      </c>
      <c r="B884" s="119">
        <v>0.77000457247370824</v>
      </c>
      <c r="C884">
        <v>56</v>
      </c>
    </row>
    <row r="885" spans="1:3">
      <c r="A885" s="119">
        <v>885</v>
      </c>
      <c r="B885" s="119">
        <v>0.21444901691815271</v>
      </c>
      <c r="C885">
        <v>22</v>
      </c>
    </row>
    <row r="886" spans="1:3">
      <c r="A886" s="119">
        <v>886</v>
      </c>
      <c r="B886" s="119">
        <v>0.54778235025148603</v>
      </c>
      <c r="C886">
        <v>41</v>
      </c>
    </row>
    <row r="887" spans="1:3">
      <c r="A887" s="119">
        <v>887</v>
      </c>
      <c r="B887" s="119">
        <v>0.88111568358481929</v>
      </c>
      <c r="C887">
        <v>68</v>
      </c>
    </row>
    <row r="888" spans="1:3">
      <c r="A888" s="119">
        <v>888</v>
      </c>
      <c r="B888" s="119">
        <v>0.32556012802926382</v>
      </c>
      <c r="C888">
        <v>29</v>
      </c>
    </row>
    <row r="889" spans="1:3">
      <c r="A889" s="119">
        <v>889</v>
      </c>
      <c r="B889" s="119">
        <v>0.65889346136259719</v>
      </c>
      <c r="C889">
        <v>48</v>
      </c>
    </row>
    <row r="890" spans="1:3">
      <c r="A890" s="119">
        <v>890</v>
      </c>
      <c r="B890" s="119">
        <v>0.99222679469593045</v>
      </c>
      <c r="C890">
        <v>102</v>
      </c>
    </row>
    <row r="891" spans="1:3">
      <c r="A891" s="119">
        <v>891</v>
      </c>
      <c r="B891" s="119">
        <v>8.6877000457247378E-3</v>
      </c>
      <c r="C891">
        <v>4</v>
      </c>
    </row>
    <row r="892" spans="1:3">
      <c r="A892" s="119">
        <v>892</v>
      </c>
      <c r="B892" s="119">
        <v>0.34202103337905809</v>
      </c>
      <c r="C892">
        <v>30</v>
      </c>
    </row>
    <row r="893" spans="1:3">
      <c r="A893" s="119">
        <v>893</v>
      </c>
      <c r="B893" s="119">
        <v>0.67535436671239135</v>
      </c>
      <c r="C893">
        <v>49</v>
      </c>
    </row>
    <row r="894" spans="1:3">
      <c r="A894" s="119">
        <v>894</v>
      </c>
      <c r="B894" s="119">
        <v>0.11979881115683584</v>
      </c>
      <c r="C894">
        <v>16</v>
      </c>
    </row>
    <row r="895" spans="1:3">
      <c r="A895" s="119">
        <v>895</v>
      </c>
      <c r="B895" s="119">
        <v>0.4531321444901692</v>
      </c>
      <c r="C895">
        <v>36</v>
      </c>
    </row>
    <row r="896" spans="1:3">
      <c r="A896" s="119">
        <v>896</v>
      </c>
      <c r="B896" s="119">
        <v>0.7864654778235024</v>
      </c>
      <c r="C896">
        <v>57</v>
      </c>
    </row>
    <row r="897" spans="1:3">
      <c r="A897" s="119">
        <v>897</v>
      </c>
      <c r="B897" s="119">
        <v>0.23090992226794693</v>
      </c>
      <c r="C897">
        <v>23</v>
      </c>
    </row>
    <row r="898" spans="1:3">
      <c r="A898" s="119">
        <v>898</v>
      </c>
      <c r="B898" s="119">
        <v>0.5642432556012803</v>
      </c>
      <c r="C898">
        <v>42</v>
      </c>
    </row>
    <row r="899" spans="1:3">
      <c r="A899" s="119">
        <v>899</v>
      </c>
      <c r="B899" s="119">
        <v>0.89757658893461356</v>
      </c>
      <c r="C899">
        <v>70</v>
      </c>
    </row>
    <row r="900" spans="1:3">
      <c r="A900" s="119">
        <v>900</v>
      </c>
      <c r="B900" s="119">
        <v>4.5724737082761778E-2</v>
      </c>
      <c r="C900">
        <v>10</v>
      </c>
    </row>
    <row r="901" spans="1:3">
      <c r="A901" s="119">
        <v>901</v>
      </c>
      <c r="B901" s="119">
        <v>0.37905807041609513</v>
      </c>
      <c r="C901">
        <v>32</v>
      </c>
    </row>
    <row r="902" spans="1:3">
      <c r="A902" s="119">
        <v>902</v>
      </c>
      <c r="B902" s="119">
        <v>0.71239140374942844</v>
      </c>
      <c r="C902">
        <v>52</v>
      </c>
    </row>
    <row r="903" spans="1:3">
      <c r="A903" s="119">
        <v>903</v>
      </c>
      <c r="B903" s="119">
        <v>0.15683584819387286</v>
      </c>
      <c r="C903">
        <v>19</v>
      </c>
    </row>
    <row r="904" spans="1:3">
      <c r="A904" s="119">
        <v>904</v>
      </c>
      <c r="B904" s="119">
        <v>0.49016918152720623</v>
      </c>
      <c r="C904">
        <v>38</v>
      </c>
    </row>
    <row r="905" spans="1:3">
      <c r="A905" s="119">
        <v>905</v>
      </c>
      <c r="B905" s="119">
        <v>0.82350251486053938</v>
      </c>
      <c r="C905">
        <v>61</v>
      </c>
    </row>
    <row r="906" spans="1:3">
      <c r="A906" s="119">
        <v>906</v>
      </c>
      <c r="B906" s="119">
        <v>0.26794695930498402</v>
      </c>
      <c r="C906">
        <v>26</v>
      </c>
    </row>
    <row r="907" spans="1:3">
      <c r="A907" s="119">
        <v>907</v>
      </c>
      <c r="B907" s="119">
        <v>0.60128029263831728</v>
      </c>
      <c r="C907">
        <v>44</v>
      </c>
    </row>
    <row r="908" spans="1:3">
      <c r="A908" s="119">
        <v>908</v>
      </c>
      <c r="B908" s="119">
        <v>0.93461362597165054</v>
      </c>
      <c r="C908">
        <v>77</v>
      </c>
    </row>
    <row r="909" spans="1:3">
      <c r="A909" s="119">
        <v>909</v>
      </c>
      <c r="B909" s="119">
        <v>8.2761774119798806E-2</v>
      </c>
      <c r="C909">
        <v>13</v>
      </c>
    </row>
    <row r="910" spans="1:3">
      <c r="A910" s="119">
        <v>910</v>
      </c>
      <c r="B910" s="119">
        <v>0.41609510745313216</v>
      </c>
      <c r="C910">
        <v>34</v>
      </c>
    </row>
    <row r="911" spans="1:3">
      <c r="A911" s="119">
        <v>911</v>
      </c>
      <c r="B911" s="119">
        <v>0.74942844078646542</v>
      </c>
      <c r="C911">
        <v>54</v>
      </c>
    </row>
    <row r="912" spans="1:3">
      <c r="A912" s="119">
        <v>912</v>
      </c>
      <c r="B912" s="119">
        <v>0.1938728852309099</v>
      </c>
      <c r="C912">
        <v>21</v>
      </c>
    </row>
    <row r="913" spans="1:3">
      <c r="A913" s="119">
        <v>913</v>
      </c>
      <c r="B913" s="119">
        <v>0.52720621856424321</v>
      </c>
      <c r="C913">
        <v>40</v>
      </c>
    </row>
    <row r="914" spans="1:3">
      <c r="A914" s="119">
        <v>914</v>
      </c>
      <c r="B914" s="119">
        <v>0.86053955189757647</v>
      </c>
      <c r="C914">
        <v>65</v>
      </c>
    </row>
    <row r="915" spans="1:3">
      <c r="A915" s="119">
        <v>915</v>
      </c>
      <c r="B915" s="119">
        <v>0.30498399634202106</v>
      </c>
      <c r="C915">
        <v>28</v>
      </c>
    </row>
    <row r="916" spans="1:3">
      <c r="A916" s="119">
        <v>916</v>
      </c>
      <c r="B916" s="119">
        <v>0.63831732967535437</v>
      </c>
      <c r="C916">
        <v>47</v>
      </c>
    </row>
    <row r="917" spans="1:3">
      <c r="A917" s="119">
        <v>917</v>
      </c>
      <c r="B917" s="119">
        <v>0.97165066300868763</v>
      </c>
      <c r="C917">
        <v>88</v>
      </c>
    </row>
    <row r="918" spans="1:3">
      <c r="A918" s="119">
        <v>918</v>
      </c>
      <c r="B918" s="119">
        <v>2.1033379058070414E-2</v>
      </c>
      <c r="C918">
        <v>6</v>
      </c>
    </row>
    <row r="919" spans="1:3">
      <c r="A919" s="119">
        <v>919</v>
      </c>
      <c r="B919" s="119">
        <v>0.35436671239140377</v>
      </c>
      <c r="C919">
        <v>30</v>
      </c>
    </row>
    <row r="920" spans="1:3">
      <c r="A920" s="119">
        <v>920</v>
      </c>
      <c r="B920" s="119">
        <v>0.68770004572473697</v>
      </c>
      <c r="C920">
        <v>50</v>
      </c>
    </row>
    <row r="921" spans="1:3">
      <c r="A921" s="119">
        <v>921</v>
      </c>
      <c r="B921" s="119">
        <v>0.13214449016918151</v>
      </c>
      <c r="C921">
        <v>17</v>
      </c>
    </row>
    <row r="922" spans="1:3">
      <c r="A922" s="119">
        <v>922</v>
      </c>
      <c r="B922" s="119">
        <v>0.46547782350251488</v>
      </c>
      <c r="C922">
        <v>36</v>
      </c>
    </row>
    <row r="923" spans="1:3">
      <c r="A923" s="119">
        <v>923</v>
      </c>
      <c r="B923" s="119">
        <v>0.79881115683584814</v>
      </c>
      <c r="C923">
        <v>59</v>
      </c>
    </row>
    <row r="924" spans="1:3">
      <c r="A924" s="119">
        <v>924</v>
      </c>
      <c r="B924" s="119">
        <v>0.24325560128029261</v>
      </c>
      <c r="C924">
        <v>24</v>
      </c>
    </row>
    <row r="925" spans="1:3">
      <c r="A925" s="119">
        <v>925</v>
      </c>
      <c r="B925" s="119">
        <v>0.57658893461362604</v>
      </c>
      <c r="C925">
        <v>43</v>
      </c>
    </row>
    <row r="926" spans="1:3">
      <c r="A926" s="119">
        <v>926</v>
      </c>
      <c r="B926" s="119">
        <v>0.9099222679469593</v>
      </c>
      <c r="C926">
        <v>72</v>
      </c>
    </row>
    <row r="927" spans="1:3">
      <c r="A927" s="119">
        <v>927</v>
      </c>
      <c r="B927" s="119">
        <v>5.8070416095107456E-2</v>
      </c>
      <c r="C927">
        <v>11</v>
      </c>
    </row>
    <row r="928" spans="1:3">
      <c r="A928" s="119">
        <v>928</v>
      </c>
      <c r="B928" s="119">
        <v>0.39140374942844081</v>
      </c>
      <c r="C928">
        <v>32</v>
      </c>
    </row>
    <row r="929" spans="1:3">
      <c r="A929" s="119">
        <v>929</v>
      </c>
      <c r="B929" s="119">
        <v>0.72473708276177418</v>
      </c>
      <c r="C929">
        <v>52</v>
      </c>
    </row>
    <row r="930" spans="1:3">
      <c r="A930" s="119">
        <v>930</v>
      </c>
      <c r="B930" s="119">
        <v>0.16918152720621854</v>
      </c>
      <c r="C930">
        <v>20</v>
      </c>
    </row>
    <row r="931" spans="1:3">
      <c r="A931" s="119">
        <v>931</v>
      </c>
      <c r="B931" s="119">
        <v>0.50251486053955186</v>
      </c>
      <c r="C931">
        <v>38</v>
      </c>
    </row>
    <row r="932" spans="1:3">
      <c r="A932" s="119">
        <v>932</v>
      </c>
      <c r="B932" s="119">
        <v>0.83584819387288511</v>
      </c>
      <c r="C932">
        <v>62</v>
      </c>
    </row>
    <row r="933" spans="1:3">
      <c r="A933" s="119">
        <v>933</v>
      </c>
      <c r="B933" s="119">
        <v>0.2802926383173297</v>
      </c>
      <c r="C933">
        <v>26</v>
      </c>
    </row>
    <row r="934" spans="1:3">
      <c r="A934" s="119">
        <v>934</v>
      </c>
      <c r="B934" s="119">
        <v>0.61362597165066302</v>
      </c>
      <c r="C934">
        <v>45</v>
      </c>
    </row>
    <row r="935" spans="1:3">
      <c r="A935" s="119">
        <v>935</v>
      </c>
      <c r="B935" s="119">
        <v>0.94695930498399628</v>
      </c>
      <c r="C935">
        <v>79</v>
      </c>
    </row>
    <row r="936" spans="1:3">
      <c r="A936" s="119">
        <v>936</v>
      </c>
      <c r="B936" s="119">
        <v>9.5107453132144484E-2</v>
      </c>
      <c r="C936">
        <v>14</v>
      </c>
    </row>
    <row r="937" spans="1:3">
      <c r="A937" s="119">
        <v>937</v>
      </c>
      <c r="B937" s="119">
        <v>0.42844078646547784</v>
      </c>
      <c r="C937">
        <v>34</v>
      </c>
    </row>
    <row r="938" spans="1:3">
      <c r="A938" s="119">
        <v>938</v>
      </c>
      <c r="B938" s="119">
        <v>0.76177411979881116</v>
      </c>
      <c r="C938">
        <v>55</v>
      </c>
    </row>
    <row r="939" spans="1:3">
      <c r="A939" s="119">
        <v>939</v>
      </c>
      <c r="B939" s="119">
        <v>0.20621856424325558</v>
      </c>
      <c r="C939">
        <v>22</v>
      </c>
    </row>
    <row r="940" spans="1:3">
      <c r="A940" s="119">
        <v>940</v>
      </c>
      <c r="B940" s="119">
        <v>0.53955189757658883</v>
      </c>
      <c r="C940">
        <v>41</v>
      </c>
    </row>
    <row r="941" spans="1:3">
      <c r="A941" s="119">
        <v>941</v>
      </c>
      <c r="B941" s="119">
        <v>0.87288523090992209</v>
      </c>
      <c r="C941">
        <v>66</v>
      </c>
    </row>
    <row r="942" spans="1:3">
      <c r="A942" s="119">
        <v>942</v>
      </c>
      <c r="B942" s="119">
        <v>0.31732967535436674</v>
      </c>
      <c r="C942">
        <v>28</v>
      </c>
    </row>
    <row r="943" spans="1:3">
      <c r="A943" s="119">
        <v>943</v>
      </c>
      <c r="B943" s="119">
        <v>0.6506630086877</v>
      </c>
      <c r="C943">
        <v>47</v>
      </c>
    </row>
    <row r="944" spans="1:3">
      <c r="A944" s="119">
        <v>944</v>
      </c>
      <c r="B944" s="119">
        <v>0.98399634202103325</v>
      </c>
      <c r="C944">
        <v>94</v>
      </c>
    </row>
    <row r="945" spans="1:3">
      <c r="A945" s="119">
        <v>945</v>
      </c>
      <c r="B945" s="119">
        <v>3.33790580704161E-2</v>
      </c>
      <c r="C945">
        <v>8</v>
      </c>
    </row>
    <row r="946" spans="1:3">
      <c r="A946" s="119">
        <v>946</v>
      </c>
      <c r="B946" s="119">
        <v>0.36671239140374945</v>
      </c>
      <c r="C946">
        <v>31</v>
      </c>
    </row>
    <row r="947" spans="1:3">
      <c r="A947" s="119">
        <v>947</v>
      </c>
      <c r="B947" s="119">
        <v>0.70004572473708271</v>
      </c>
      <c r="C947">
        <v>51</v>
      </c>
    </row>
    <row r="948" spans="1:3">
      <c r="A948" s="119">
        <v>948</v>
      </c>
      <c r="B948" s="119">
        <v>0.14449016918152718</v>
      </c>
      <c r="C948">
        <v>18</v>
      </c>
    </row>
    <row r="949" spans="1:3">
      <c r="A949" s="119">
        <v>949</v>
      </c>
      <c r="B949" s="119">
        <v>0.47782350251486055</v>
      </c>
      <c r="C949">
        <v>37</v>
      </c>
    </row>
    <row r="950" spans="1:3">
      <c r="A950" s="119">
        <v>950</v>
      </c>
      <c r="B950" s="119">
        <v>0.81115683584819376</v>
      </c>
      <c r="C950">
        <v>60</v>
      </c>
    </row>
    <row r="951" spans="1:3">
      <c r="A951" s="119">
        <v>951</v>
      </c>
      <c r="B951" s="119">
        <v>0.25560128029263834</v>
      </c>
      <c r="C951">
        <v>25</v>
      </c>
    </row>
    <row r="952" spans="1:3">
      <c r="A952" s="119">
        <v>952</v>
      </c>
      <c r="B952" s="119">
        <v>0.58893461362597166</v>
      </c>
      <c r="C952">
        <v>43</v>
      </c>
    </row>
    <row r="953" spans="1:3">
      <c r="A953" s="119">
        <v>953</v>
      </c>
      <c r="B953" s="119">
        <v>0.92226794695930492</v>
      </c>
      <c r="C953">
        <v>74</v>
      </c>
    </row>
    <row r="954" spans="1:3">
      <c r="A954" s="119">
        <v>954</v>
      </c>
      <c r="B954" s="119">
        <v>7.0416095107453128E-2</v>
      </c>
      <c r="C954">
        <v>12</v>
      </c>
    </row>
    <row r="955" spans="1:3">
      <c r="A955" s="119">
        <v>955</v>
      </c>
      <c r="B955" s="119">
        <v>0.40374942844078648</v>
      </c>
      <c r="C955">
        <v>33</v>
      </c>
    </row>
    <row r="956" spans="1:3">
      <c r="A956" s="119">
        <v>956</v>
      </c>
      <c r="B956" s="119">
        <v>0.7370827617741198</v>
      </c>
      <c r="C956">
        <v>53</v>
      </c>
    </row>
    <row r="957" spans="1:3">
      <c r="A957" s="119">
        <v>957</v>
      </c>
      <c r="B957" s="119">
        <v>0.18152720621856422</v>
      </c>
      <c r="C957">
        <v>20</v>
      </c>
    </row>
    <row r="958" spans="1:3">
      <c r="A958" s="119">
        <v>958</v>
      </c>
      <c r="B958" s="119">
        <v>0.51486053955189759</v>
      </c>
      <c r="C958">
        <v>39</v>
      </c>
    </row>
    <row r="959" spans="1:3">
      <c r="A959" s="119">
        <v>959</v>
      </c>
      <c r="B959" s="119">
        <v>0.84819387288523074</v>
      </c>
      <c r="C959">
        <v>64</v>
      </c>
    </row>
    <row r="960" spans="1:3">
      <c r="A960" s="119">
        <v>960</v>
      </c>
      <c r="B960" s="119">
        <v>0.29263831732967538</v>
      </c>
      <c r="C960">
        <v>27</v>
      </c>
    </row>
    <row r="961" spans="1:3">
      <c r="A961" s="119">
        <v>961</v>
      </c>
      <c r="B961" s="119">
        <v>0.62597165066300864</v>
      </c>
      <c r="C961">
        <v>46</v>
      </c>
    </row>
    <row r="962" spans="1:3">
      <c r="A962" s="119">
        <v>962</v>
      </c>
      <c r="B962" s="119">
        <v>0.9593049839963419</v>
      </c>
      <c r="C962">
        <v>83</v>
      </c>
    </row>
    <row r="963" spans="1:3">
      <c r="A963" s="119">
        <v>963</v>
      </c>
      <c r="B963" s="119">
        <v>0.10745313214449016</v>
      </c>
      <c r="C963">
        <v>15</v>
      </c>
    </row>
    <row r="964" spans="1:3">
      <c r="A964" s="119">
        <v>964</v>
      </c>
      <c r="B964" s="119">
        <v>0.44078646547782352</v>
      </c>
      <c r="C964">
        <v>35</v>
      </c>
    </row>
    <row r="965" spans="1:3">
      <c r="A965" s="119">
        <v>965</v>
      </c>
      <c r="B965" s="119">
        <v>0.77411979881115678</v>
      </c>
      <c r="C965">
        <v>56</v>
      </c>
    </row>
    <row r="966" spans="1:3">
      <c r="A966" s="119">
        <v>966</v>
      </c>
      <c r="B966" s="119">
        <v>0.21856424325560125</v>
      </c>
      <c r="C966">
        <v>23</v>
      </c>
    </row>
    <row r="967" spans="1:3">
      <c r="A967" s="119">
        <v>967</v>
      </c>
      <c r="B967" s="119">
        <v>0.55189757658893457</v>
      </c>
      <c r="C967">
        <v>41</v>
      </c>
    </row>
    <row r="968" spans="1:3">
      <c r="A968" s="119">
        <v>968</v>
      </c>
      <c r="B968" s="119">
        <v>0.88523090992226783</v>
      </c>
      <c r="C968">
        <v>68</v>
      </c>
    </row>
    <row r="969" spans="1:3">
      <c r="A969" s="119">
        <v>969</v>
      </c>
      <c r="B969" s="119">
        <v>0.32967535436671241</v>
      </c>
      <c r="C969">
        <v>29</v>
      </c>
    </row>
    <row r="970" spans="1:3">
      <c r="A970" s="119">
        <v>970</v>
      </c>
      <c r="B970" s="119">
        <v>0.66300868770004573</v>
      </c>
      <c r="C970">
        <v>48</v>
      </c>
    </row>
    <row r="971" spans="1:3">
      <c r="A971" s="119">
        <v>971</v>
      </c>
      <c r="B971" s="119">
        <v>0.99634202103337899</v>
      </c>
      <c r="C971">
        <v>105</v>
      </c>
    </row>
    <row r="972" spans="1:3">
      <c r="A972" s="119">
        <v>972</v>
      </c>
      <c r="B972" s="119">
        <v>1.8289894833104709E-3</v>
      </c>
      <c r="C972">
        <v>1</v>
      </c>
    </row>
    <row r="973" spans="1:3">
      <c r="A973" s="119">
        <v>973</v>
      </c>
      <c r="B973" s="119">
        <v>0.33516232281664382</v>
      </c>
      <c r="C973">
        <v>29</v>
      </c>
    </row>
    <row r="974" spans="1:3">
      <c r="A974" s="119">
        <v>974</v>
      </c>
      <c r="B974" s="119">
        <v>0.66849565614997708</v>
      </c>
      <c r="C974">
        <v>48</v>
      </c>
    </row>
    <row r="975" spans="1:3">
      <c r="A975" s="119">
        <v>975</v>
      </c>
      <c r="B975" s="119">
        <v>0.11294010059442157</v>
      </c>
      <c r="C975">
        <v>16</v>
      </c>
    </row>
    <row r="976" spans="1:3">
      <c r="A976" s="119">
        <v>976</v>
      </c>
      <c r="B976" s="119">
        <v>0.44627343392775493</v>
      </c>
      <c r="C976">
        <v>35</v>
      </c>
    </row>
    <row r="977" spans="1:3">
      <c r="A977" s="119">
        <v>977</v>
      </c>
      <c r="B977" s="119">
        <v>0.77960676726108813</v>
      </c>
      <c r="C977">
        <v>57</v>
      </c>
    </row>
    <row r="978" spans="1:3">
      <c r="A978" s="119">
        <v>978</v>
      </c>
      <c r="B978" s="119">
        <v>0.22405121170553269</v>
      </c>
      <c r="C978">
        <v>23</v>
      </c>
    </row>
    <row r="979" spans="1:3">
      <c r="A979" s="119">
        <v>979</v>
      </c>
      <c r="B979" s="119">
        <v>0.55738454503886603</v>
      </c>
      <c r="C979">
        <v>42</v>
      </c>
    </row>
    <row r="980" spans="1:3">
      <c r="A980" s="119">
        <v>980</v>
      </c>
      <c r="B980" s="119">
        <v>0.89071787837219929</v>
      </c>
      <c r="C980">
        <v>69</v>
      </c>
    </row>
    <row r="981" spans="1:3">
      <c r="A981" s="119">
        <v>981</v>
      </c>
      <c r="B981" s="119">
        <v>3.8866026520347506E-2</v>
      </c>
      <c r="C981">
        <v>9</v>
      </c>
    </row>
    <row r="982" spans="1:3">
      <c r="A982" s="119">
        <v>982</v>
      </c>
      <c r="B982" s="119">
        <v>0.37219935985368086</v>
      </c>
      <c r="C982">
        <v>31</v>
      </c>
    </row>
    <row r="983" spans="1:3">
      <c r="A983" s="119">
        <v>983</v>
      </c>
      <c r="B983" s="119">
        <v>0.70553269318701417</v>
      </c>
      <c r="C983">
        <v>51</v>
      </c>
    </row>
    <row r="984" spans="1:3">
      <c r="A984" s="119">
        <v>984</v>
      </c>
      <c r="B984" s="119">
        <v>0.14997713763145862</v>
      </c>
      <c r="C984">
        <v>18</v>
      </c>
    </row>
    <row r="985" spans="1:3">
      <c r="A985" s="119">
        <v>985</v>
      </c>
      <c r="B985" s="119">
        <v>0.48331047096479196</v>
      </c>
      <c r="C985">
        <v>37</v>
      </c>
    </row>
    <row r="986" spans="1:3">
      <c r="A986" s="119">
        <v>986</v>
      </c>
      <c r="B986" s="119">
        <v>0.81664380429812511</v>
      </c>
      <c r="C986">
        <v>60</v>
      </c>
    </row>
    <row r="987" spans="1:3">
      <c r="A987" s="119">
        <v>987</v>
      </c>
      <c r="B987" s="119">
        <v>0.26108824874256975</v>
      </c>
      <c r="C987">
        <v>25</v>
      </c>
    </row>
    <row r="988" spans="1:3">
      <c r="A988" s="119">
        <v>988</v>
      </c>
      <c r="B988" s="119">
        <v>0.59442158207590301</v>
      </c>
      <c r="C988">
        <v>44</v>
      </c>
    </row>
    <row r="989" spans="1:3">
      <c r="A989" s="119">
        <v>989</v>
      </c>
      <c r="B989" s="119">
        <v>0.92775491540923627</v>
      </c>
      <c r="C989">
        <v>75</v>
      </c>
    </row>
    <row r="990" spans="1:3">
      <c r="A990" s="119">
        <v>990</v>
      </c>
      <c r="B990" s="119">
        <v>7.5903063557384534E-2</v>
      </c>
      <c r="C990">
        <v>13</v>
      </c>
    </row>
    <row r="991" spans="1:3">
      <c r="A991" s="119">
        <v>991</v>
      </c>
      <c r="B991" s="119">
        <v>0.40923639689071789</v>
      </c>
      <c r="C991">
        <v>33</v>
      </c>
    </row>
    <row r="992" spans="1:3">
      <c r="A992" s="119">
        <v>992</v>
      </c>
      <c r="B992" s="119">
        <v>0.74256973022405115</v>
      </c>
      <c r="C992">
        <v>54</v>
      </c>
    </row>
    <row r="993" spans="1:3">
      <c r="A993" s="119">
        <v>993</v>
      </c>
      <c r="B993" s="119">
        <v>0.18701417466849565</v>
      </c>
      <c r="C993">
        <v>21</v>
      </c>
    </row>
    <row r="994" spans="1:3">
      <c r="A994" s="119">
        <v>994</v>
      </c>
      <c r="B994" s="119">
        <v>0.52034750800182894</v>
      </c>
      <c r="C994">
        <v>39</v>
      </c>
    </row>
    <row r="995" spans="1:3">
      <c r="A995" s="119">
        <v>995</v>
      </c>
      <c r="B995" s="119">
        <v>0.8536808413351622</v>
      </c>
      <c r="C995">
        <v>64</v>
      </c>
    </row>
    <row r="996" spans="1:3">
      <c r="A996" s="119">
        <v>996</v>
      </c>
      <c r="B996" s="119">
        <v>0.29812528577960679</v>
      </c>
      <c r="C996">
        <v>27</v>
      </c>
    </row>
    <row r="997" spans="1:3">
      <c r="A997" s="119">
        <v>997</v>
      </c>
      <c r="B997" s="119">
        <v>0.6314586191129401</v>
      </c>
      <c r="C997">
        <v>46</v>
      </c>
    </row>
    <row r="998" spans="1:3">
      <c r="A998" s="119">
        <v>998</v>
      </c>
      <c r="B998" s="119">
        <v>0.96479195244627336</v>
      </c>
      <c r="C998">
        <v>85</v>
      </c>
    </row>
    <row r="999" spans="1:3">
      <c r="A999" s="119">
        <v>999</v>
      </c>
      <c r="B999" s="119">
        <v>1.4174668495656149E-2</v>
      </c>
      <c r="C999">
        <v>5</v>
      </c>
    </row>
    <row r="1000" spans="1:3">
      <c r="A1000" s="119">
        <v>1000</v>
      </c>
      <c r="B1000" s="119">
        <v>0.3475080018289895</v>
      </c>
      <c r="C1000">
        <v>30</v>
      </c>
    </row>
    <row r="1001" spans="1:3">
      <c r="A1001" s="119">
        <v>1001</v>
      </c>
      <c r="B1001" s="119">
        <v>0.6808413351623227</v>
      </c>
      <c r="C1001">
        <v>49</v>
      </c>
    </row>
    <row r="1002" spans="1:3">
      <c r="A1002" s="119">
        <v>1002</v>
      </c>
      <c r="B1002" s="119">
        <v>0.12528577960676726</v>
      </c>
      <c r="C1002">
        <v>17</v>
      </c>
    </row>
    <row r="1003" spans="1:3">
      <c r="A1003" s="119">
        <v>1003</v>
      </c>
      <c r="B1003" s="119">
        <v>0.4586191129401006</v>
      </c>
      <c r="C1003">
        <v>36</v>
      </c>
    </row>
    <row r="1004" spans="1:3">
      <c r="A1004" s="119">
        <v>1004</v>
      </c>
      <c r="B1004" s="119">
        <v>0.79195244627343386</v>
      </c>
      <c r="C1004">
        <v>58</v>
      </c>
    </row>
    <row r="1005" spans="1:3">
      <c r="A1005" s="119">
        <v>1005</v>
      </c>
      <c r="B1005" s="119">
        <v>0.23639689071787837</v>
      </c>
      <c r="C1005">
        <v>24</v>
      </c>
    </row>
    <row r="1006" spans="1:3">
      <c r="A1006" s="119">
        <v>1006</v>
      </c>
      <c r="B1006" s="119">
        <v>0.56973022405121176</v>
      </c>
      <c r="C1006">
        <v>42</v>
      </c>
    </row>
    <row r="1007" spans="1:3">
      <c r="A1007" s="119">
        <v>1007</v>
      </c>
      <c r="B1007" s="119">
        <v>0.90306355738454502</v>
      </c>
      <c r="C1007">
        <v>71</v>
      </c>
    </row>
    <row r="1008" spans="1:3">
      <c r="A1008" s="119">
        <v>1008</v>
      </c>
      <c r="B1008" s="119">
        <v>5.1211705532693184E-2</v>
      </c>
      <c r="C1008">
        <v>10</v>
      </c>
    </row>
    <row r="1009" spans="1:3">
      <c r="A1009" s="119">
        <v>1009</v>
      </c>
      <c r="B1009" s="119">
        <v>0.38454503886602653</v>
      </c>
      <c r="C1009">
        <v>32</v>
      </c>
    </row>
    <row r="1010" spans="1:3">
      <c r="A1010" s="119">
        <v>1010</v>
      </c>
      <c r="B1010" s="119">
        <v>0.7178783721993599</v>
      </c>
      <c r="C1010">
        <v>52</v>
      </c>
    </row>
    <row r="1011" spans="1:3">
      <c r="A1011" s="119">
        <v>1011</v>
      </c>
      <c r="B1011" s="119">
        <v>0.1623228166438043</v>
      </c>
      <c r="C1011">
        <v>19</v>
      </c>
    </row>
    <row r="1012" spans="1:3">
      <c r="A1012" s="119">
        <v>1012</v>
      </c>
      <c r="B1012" s="119">
        <v>0.49565614997713764</v>
      </c>
      <c r="C1012">
        <v>38</v>
      </c>
    </row>
    <row r="1013" spans="1:3">
      <c r="A1013" s="119">
        <v>1013</v>
      </c>
      <c r="B1013" s="119">
        <v>0.82898948331047084</v>
      </c>
      <c r="C1013">
        <v>61</v>
      </c>
    </row>
    <row r="1014" spans="1:3">
      <c r="A1014" s="119">
        <v>1014</v>
      </c>
      <c r="B1014" s="119">
        <v>0.27343392775491543</v>
      </c>
      <c r="C1014">
        <v>26</v>
      </c>
    </row>
    <row r="1015" spans="1:3">
      <c r="A1015" s="119">
        <v>1015</v>
      </c>
      <c r="B1015" s="119">
        <v>0.60676726108824874</v>
      </c>
      <c r="C1015">
        <v>45</v>
      </c>
    </row>
    <row r="1016" spans="1:3">
      <c r="A1016" s="119">
        <v>1016</v>
      </c>
      <c r="B1016" s="119">
        <v>0.940100594421582</v>
      </c>
      <c r="C1016">
        <v>78</v>
      </c>
    </row>
    <row r="1017" spans="1:3">
      <c r="A1017" s="119">
        <v>1017</v>
      </c>
      <c r="B1017" s="119">
        <v>8.8248742569730212E-2</v>
      </c>
      <c r="C1017">
        <v>14</v>
      </c>
    </row>
    <row r="1018" spans="1:3">
      <c r="A1018" s="119">
        <v>1018</v>
      </c>
      <c r="B1018" s="119">
        <v>0.42158207590306357</v>
      </c>
      <c r="C1018">
        <v>34</v>
      </c>
    </row>
    <row r="1019" spans="1:3">
      <c r="A1019" s="119">
        <v>1019</v>
      </c>
      <c r="B1019" s="119">
        <v>0.75491540923639688</v>
      </c>
      <c r="C1019">
        <v>55</v>
      </c>
    </row>
    <row r="1020" spans="1:3">
      <c r="A1020" s="119">
        <v>1020</v>
      </c>
      <c r="B1020" s="119">
        <v>0.19935985368084133</v>
      </c>
      <c r="C1020">
        <v>21</v>
      </c>
    </row>
    <row r="1021" spans="1:3">
      <c r="A1021" s="119">
        <v>1021</v>
      </c>
      <c r="B1021" s="119">
        <v>0.53269318701417456</v>
      </c>
      <c r="C1021">
        <v>40</v>
      </c>
    </row>
    <row r="1022" spans="1:3">
      <c r="A1022" s="119">
        <v>1022</v>
      </c>
      <c r="B1022" s="119">
        <v>0.86602652034750782</v>
      </c>
      <c r="C1022">
        <v>66</v>
      </c>
    </row>
    <row r="1023" spans="1:3">
      <c r="A1023" s="119">
        <v>1023</v>
      </c>
      <c r="B1023" s="119">
        <v>0.31047096479195246</v>
      </c>
      <c r="C1023">
        <v>28</v>
      </c>
    </row>
    <row r="1024" spans="1:3">
      <c r="A1024" s="119">
        <v>1024</v>
      </c>
      <c r="B1024" s="119">
        <v>0.64380429812528572</v>
      </c>
      <c r="C1024">
        <v>47</v>
      </c>
    </row>
    <row r="1025" spans="1:3">
      <c r="A1025" s="119">
        <v>1025</v>
      </c>
      <c r="B1025" s="119">
        <v>0.97713763145861898</v>
      </c>
      <c r="C1025">
        <v>90</v>
      </c>
    </row>
    <row r="1026" spans="1:3">
      <c r="A1026" s="119">
        <v>1026</v>
      </c>
      <c r="B1026" s="119">
        <v>2.6520347508001824E-2</v>
      </c>
      <c r="C1026">
        <v>7</v>
      </c>
    </row>
    <row r="1027" spans="1:3">
      <c r="A1027" s="119">
        <v>1027</v>
      </c>
      <c r="B1027" s="119">
        <v>0.35985368084133518</v>
      </c>
      <c r="C1027">
        <v>31</v>
      </c>
    </row>
    <row r="1028" spans="1:3">
      <c r="A1028" s="119">
        <v>1028</v>
      </c>
      <c r="B1028" s="119">
        <v>0.69318701417466844</v>
      </c>
      <c r="C1028">
        <v>50</v>
      </c>
    </row>
    <row r="1029" spans="1:3">
      <c r="A1029" s="119">
        <v>1029</v>
      </c>
      <c r="B1029" s="119">
        <v>0.13763145861911294</v>
      </c>
      <c r="C1029">
        <v>17</v>
      </c>
    </row>
    <row r="1030" spans="1:3">
      <c r="A1030" s="119">
        <v>1030</v>
      </c>
      <c r="B1030" s="119">
        <v>0.47096479195244628</v>
      </c>
      <c r="C1030">
        <v>37</v>
      </c>
    </row>
    <row r="1031" spans="1:3">
      <c r="A1031" s="119">
        <v>1031</v>
      </c>
      <c r="B1031" s="119">
        <v>0.80429812528577949</v>
      </c>
      <c r="C1031">
        <v>59</v>
      </c>
    </row>
    <row r="1032" spans="1:3">
      <c r="A1032" s="119">
        <v>1032</v>
      </c>
      <c r="B1032" s="119">
        <v>0.24874256973022404</v>
      </c>
      <c r="C1032">
        <v>24</v>
      </c>
    </row>
    <row r="1033" spans="1:3">
      <c r="A1033" s="119">
        <v>1033</v>
      </c>
      <c r="B1033" s="119">
        <v>0.58207590306355739</v>
      </c>
      <c r="C1033">
        <v>43</v>
      </c>
    </row>
    <row r="1034" spans="1:3">
      <c r="A1034" s="119">
        <v>1034</v>
      </c>
      <c r="B1034" s="119">
        <v>0.91540923639689065</v>
      </c>
      <c r="C1034">
        <v>73</v>
      </c>
    </row>
    <row r="1035" spans="1:3">
      <c r="A1035" s="119">
        <v>1035</v>
      </c>
      <c r="B1035" s="119">
        <v>6.3557384545038856E-2</v>
      </c>
      <c r="C1035">
        <v>11</v>
      </c>
    </row>
    <row r="1036" spans="1:3">
      <c r="A1036" s="119">
        <v>1036</v>
      </c>
      <c r="B1036" s="119">
        <v>0.39689071787837221</v>
      </c>
      <c r="C1036">
        <v>33</v>
      </c>
    </row>
    <row r="1037" spans="1:3">
      <c r="A1037" s="119">
        <v>1037</v>
      </c>
      <c r="B1037" s="119">
        <v>0.73022405121170553</v>
      </c>
      <c r="C1037">
        <v>53</v>
      </c>
    </row>
    <row r="1038" spans="1:3">
      <c r="A1038" s="119">
        <v>1038</v>
      </c>
      <c r="B1038" s="119">
        <v>0.17466849565614997</v>
      </c>
      <c r="C1038">
        <v>20</v>
      </c>
    </row>
    <row r="1039" spans="1:3">
      <c r="A1039" s="119">
        <v>1039</v>
      </c>
      <c r="B1039" s="119">
        <v>0.50800182898948332</v>
      </c>
      <c r="C1039">
        <v>39</v>
      </c>
    </row>
    <row r="1040" spans="1:3">
      <c r="A1040" s="119">
        <v>1040</v>
      </c>
      <c r="B1040" s="119">
        <v>0.84133516232281647</v>
      </c>
      <c r="C1040">
        <v>63</v>
      </c>
    </row>
    <row r="1041" spans="1:3">
      <c r="A1041" s="119">
        <v>1041</v>
      </c>
      <c r="B1041" s="119">
        <v>0.28577960676726111</v>
      </c>
      <c r="C1041">
        <v>27</v>
      </c>
    </row>
    <row r="1042" spans="1:3">
      <c r="A1042" s="119">
        <v>1042</v>
      </c>
      <c r="B1042" s="119">
        <v>0.61911294010059437</v>
      </c>
      <c r="C1042">
        <v>45</v>
      </c>
    </row>
    <row r="1043" spans="1:3">
      <c r="A1043" s="119">
        <v>1043</v>
      </c>
      <c r="B1043" s="119">
        <v>0.95244627343392763</v>
      </c>
      <c r="C1043">
        <v>81</v>
      </c>
    </row>
    <row r="1044" spans="1:3">
      <c r="A1044" s="119">
        <v>1044</v>
      </c>
      <c r="B1044" s="119">
        <v>0.10059442158207589</v>
      </c>
      <c r="C1044">
        <v>15</v>
      </c>
    </row>
    <row r="1045" spans="1:3">
      <c r="A1045" s="119">
        <v>1045</v>
      </c>
      <c r="B1045" s="119">
        <v>0.43392775491540925</v>
      </c>
      <c r="C1045">
        <v>35</v>
      </c>
    </row>
    <row r="1046" spans="1:3">
      <c r="A1046" s="119">
        <v>1046</v>
      </c>
      <c r="B1046" s="119">
        <v>0.76726108824874251</v>
      </c>
      <c r="C1046">
        <v>56</v>
      </c>
    </row>
    <row r="1047" spans="1:3">
      <c r="A1047" s="119">
        <v>1047</v>
      </c>
      <c r="B1047" s="119">
        <v>0.21170553269318701</v>
      </c>
      <c r="C1047">
        <v>22</v>
      </c>
    </row>
    <row r="1048" spans="1:3">
      <c r="A1048" s="119">
        <v>1048</v>
      </c>
      <c r="B1048" s="119">
        <v>0.5450388660265203</v>
      </c>
      <c r="C1048">
        <v>41</v>
      </c>
    </row>
    <row r="1049" spans="1:3">
      <c r="A1049" s="119">
        <v>1049</v>
      </c>
      <c r="B1049" s="119">
        <v>0.87837219935985356</v>
      </c>
      <c r="C1049">
        <v>67</v>
      </c>
    </row>
    <row r="1050" spans="1:3">
      <c r="A1050" s="119">
        <v>1050</v>
      </c>
      <c r="B1050" s="119">
        <v>0.32281664380429814</v>
      </c>
      <c r="C1050">
        <v>29</v>
      </c>
    </row>
    <row r="1051" spans="1:3">
      <c r="A1051" s="119">
        <v>1051</v>
      </c>
      <c r="B1051" s="119">
        <v>0.65614997713763146</v>
      </c>
      <c r="C1051">
        <v>48</v>
      </c>
    </row>
    <row r="1052" spans="1:3">
      <c r="A1052" s="119">
        <v>1052</v>
      </c>
      <c r="B1052" s="119">
        <v>0.98948331047096472</v>
      </c>
      <c r="C1052">
        <v>99</v>
      </c>
    </row>
    <row r="1053" spans="1:3">
      <c r="A1053" s="119">
        <v>1053</v>
      </c>
      <c r="B1053" s="119">
        <v>5.9442158207590311E-3</v>
      </c>
      <c r="C1053">
        <v>3</v>
      </c>
    </row>
    <row r="1054" spans="1:3">
      <c r="A1054" s="119">
        <v>1054</v>
      </c>
      <c r="B1054" s="119">
        <v>0.33927754915409236</v>
      </c>
      <c r="C1054">
        <v>30</v>
      </c>
    </row>
    <row r="1055" spans="1:3">
      <c r="A1055" s="119">
        <v>1055</v>
      </c>
      <c r="B1055" s="119">
        <v>0.67261088248742562</v>
      </c>
      <c r="C1055">
        <v>49</v>
      </c>
    </row>
    <row r="1056" spans="1:3">
      <c r="A1056" s="119">
        <v>1056</v>
      </c>
      <c r="B1056" s="119">
        <v>0.11705532693187012</v>
      </c>
      <c r="C1056">
        <v>16</v>
      </c>
    </row>
    <row r="1057" spans="1:3">
      <c r="A1057" s="119">
        <v>1057</v>
      </c>
      <c r="B1057" s="119">
        <v>0.45038866026520347</v>
      </c>
      <c r="C1057">
        <v>36</v>
      </c>
    </row>
    <row r="1058" spans="1:3">
      <c r="A1058" s="119">
        <v>1058</v>
      </c>
      <c r="B1058" s="119">
        <v>0.78372199359853667</v>
      </c>
      <c r="C1058">
        <v>57</v>
      </c>
    </row>
    <row r="1059" spans="1:3">
      <c r="A1059" s="119">
        <v>1059</v>
      </c>
      <c r="B1059" s="119">
        <v>0.22816643804298126</v>
      </c>
      <c r="C1059">
        <v>23</v>
      </c>
    </row>
    <row r="1060" spans="1:3">
      <c r="A1060" s="119">
        <v>1060</v>
      </c>
      <c r="B1060" s="119">
        <v>0.56149977137631457</v>
      </c>
      <c r="C1060">
        <v>42</v>
      </c>
    </row>
    <row r="1061" spans="1:3">
      <c r="A1061" s="119">
        <v>1061</v>
      </c>
      <c r="B1061" s="119">
        <v>0.89483310470964783</v>
      </c>
      <c r="C1061">
        <v>69</v>
      </c>
    </row>
    <row r="1062" spans="1:3">
      <c r="A1062" s="119">
        <v>1062</v>
      </c>
      <c r="B1062" s="119">
        <v>4.2981252857796068E-2</v>
      </c>
      <c r="C1062">
        <v>9</v>
      </c>
    </row>
    <row r="1063" spans="1:3">
      <c r="A1063" s="119">
        <v>1063</v>
      </c>
      <c r="B1063" s="119">
        <v>0.3763145861911294</v>
      </c>
      <c r="C1063">
        <v>32</v>
      </c>
    </row>
    <row r="1064" spans="1:3">
      <c r="A1064" s="119">
        <v>1064</v>
      </c>
      <c r="B1064" s="119">
        <v>0.70964791952446271</v>
      </c>
      <c r="C1064">
        <v>51</v>
      </c>
    </row>
    <row r="1065" spans="1:3">
      <c r="A1065" s="119">
        <v>1065</v>
      </c>
      <c r="B1065" s="119">
        <v>0.15409236396890719</v>
      </c>
      <c r="C1065">
        <v>19</v>
      </c>
    </row>
    <row r="1066" spans="1:3">
      <c r="A1066" s="119">
        <v>1066</v>
      </c>
      <c r="B1066" s="119">
        <v>0.4874256973022405</v>
      </c>
      <c r="C1066">
        <v>38</v>
      </c>
    </row>
    <row r="1067" spans="1:3">
      <c r="A1067" s="119">
        <v>1067</v>
      </c>
      <c r="B1067" s="119">
        <v>0.82075903063557365</v>
      </c>
      <c r="C1067">
        <v>61</v>
      </c>
    </row>
    <row r="1068" spans="1:3">
      <c r="A1068" s="119">
        <v>1068</v>
      </c>
      <c r="B1068" s="119">
        <v>0.26520347508001829</v>
      </c>
      <c r="C1068">
        <v>25</v>
      </c>
    </row>
    <row r="1069" spans="1:3">
      <c r="A1069" s="119">
        <v>1069</v>
      </c>
      <c r="B1069" s="119">
        <v>0.59853680841335155</v>
      </c>
      <c r="C1069">
        <v>44</v>
      </c>
    </row>
    <row r="1070" spans="1:3">
      <c r="A1070" s="119">
        <v>1070</v>
      </c>
      <c r="B1070" s="119">
        <v>0.93187014174668481</v>
      </c>
      <c r="C1070">
        <v>76</v>
      </c>
    </row>
    <row r="1071" spans="1:3">
      <c r="A1071" s="119">
        <v>1071</v>
      </c>
      <c r="B1071" s="119">
        <v>8.0018289894833089E-2</v>
      </c>
      <c r="C1071">
        <v>13</v>
      </c>
    </row>
    <row r="1072" spans="1:3">
      <c r="A1072" s="119">
        <v>1072</v>
      </c>
      <c r="B1072" s="119">
        <v>0.41335162322816643</v>
      </c>
      <c r="C1072">
        <v>34</v>
      </c>
    </row>
    <row r="1073" spans="1:3">
      <c r="A1073" s="119">
        <v>1073</v>
      </c>
      <c r="B1073" s="119">
        <v>0.74668495656149969</v>
      </c>
      <c r="C1073">
        <v>54</v>
      </c>
    </row>
    <row r="1074" spans="1:3">
      <c r="A1074" s="119">
        <v>1074</v>
      </c>
      <c r="B1074" s="119">
        <v>0.19112940100594422</v>
      </c>
      <c r="C1074">
        <v>21</v>
      </c>
    </row>
    <row r="1075" spans="1:3">
      <c r="A1075" s="119">
        <v>1075</v>
      </c>
      <c r="B1075" s="119">
        <v>0.52446273433927748</v>
      </c>
      <c r="C1075">
        <v>40</v>
      </c>
    </row>
    <row r="1076" spans="1:3">
      <c r="A1076" s="119">
        <v>1076</v>
      </c>
      <c r="B1076" s="119">
        <v>0.85779606767261074</v>
      </c>
      <c r="C1076">
        <v>65</v>
      </c>
    </row>
    <row r="1077" spans="1:3">
      <c r="A1077" s="119">
        <v>1077</v>
      </c>
      <c r="B1077" s="119">
        <v>0.30224051211705533</v>
      </c>
      <c r="C1077">
        <v>27</v>
      </c>
    </row>
    <row r="1078" spans="1:3">
      <c r="A1078" s="119">
        <v>1078</v>
      </c>
      <c r="B1078" s="119">
        <v>0.63557384545038864</v>
      </c>
      <c r="C1078">
        <v>46</v>
      </c>
    </row>
    <row r="1079" spans="1:3">
      <c r="A1079" s="119">
        <v>1079</v>
      </c>
      <c r="B1079" s="119">
        <v>0.9689071787837219</v>
      </c>
      <c r="C1079">
        <v>86</v>
      </c>
    </row>
    <row r="1080" spans="1:3">
      <c r="A1080" s="119">
        <v>1080</v>
      </c>
      <c r="B1080" s="119">
        <v>1.8289894833104708E-2</v>
      </c>
      <c r="C1080">
        <v>6</v>
      </c>
    </row>
    <row r="1081" spans="1:3">
      <c r="A1081" s="119">
        <v>1081</v>
      </c>
      <c r="B1081" s="119">
        <v>0.35162322816643804</v>
      </c>
      <c r="C1081">
        <v>30</v>
      </c>
    </row>
    <row r="1082" spans="1:3">
      <c r="A1082" s="119">
        <v>1082</v>
      </c>
      <c r="B1082" s="119">
        <v>0.68495656149977124</v>
      </c>
      <c r="C1082">
        <v>50</v>
      </c>
    </row>
    <row r="1083" spans="1:3">
      <c r="A1083" s="119">
        <v>1083</v>
      </c>
      <c r="B1083" s="119">
        <v>0.12940100594421583</v>
      </c>
      <c r="C1083">
        <v>17</v>
      </c>
    </row>
    <row r="1084" spans="1:3">
      <c r="A1084" s="119">
        <v>1084</v>
      </c>
      <c r="B1084" s="119">
        <v>0.46273433927754914</v>
      </c>
      <c r="C1084">
        <v>36</v>
      </c>
    </row>
    <row r="1085" spans="1:3">
      <c r="A1085" s="119">
        <v>1085</v>
      </c>
      <c r="B1085" s="119">
        <v>0.7960676726108824</v>
      </c>
      <c r="C1085">
        <v>58</v>
      </c>
    </row>
    <row r="1086" spans="1:3">
      <c r="A1086" s="119">
        <v>1086</v>
      </c>
      <c r="B1086" s="119">
        <v>0.24051211705532693</v>
      </c>
      <c r="C1086">
        <v>24</v>
      </c>
    </row>
    <row r="1087" spans="1:3">
      <c r="A1087" s="119">
        <v>1087</v>
      </c>
      <c r="B1087" s="119">
        <v>0.57384545038866031</v>
      </c>
      <c r="C1087">
        <v>43</v>
      </c>
    </row>
    <row r="1088" spans="1:3">
      <c r="A1088" s="119">
        <v>1088</v>
      </c>
      <c r="B1088" s="119">
        <v>0.90717878372199356</v>
      </c>
      <c r="C1088">
        <v>71</v>
      </c>
    </row>
    <row r="1089" spans="1:3">
      <c r="A1089" s="119">
        <v>1089</v>
      </c>
      <c r="B1089" s="119">
        <v>5.5326931870141746E-2</v>
      </c>
      <c r="C1089">
        <v>11</v>
      </c>
    </row>
    <row r="1090" spans="1:3">
      <c r="A1090" s="119">
        <v>1090</v>
      </c>
      <c r="B1090" s="119">
        <v>0.38866026520347507</v>
      </c>
      <c r="C1090">
        <v>32</v>
      </c>
    </row>
    <row r="1091" spans="1:3">
      <c r="A1091" s="119">
        <v>1091</v>
      </c>
      <c r="B1091" s="119">
        <v>0.72199359853680845</v>
      </c>
      <c r="C1091">
        <v>52</v>
      </c>
    </row>
    <row r="1092" spans="1:3">
      <c r="A1092" s="119">
        <v>1092</v>
      </c>
      <c r="B1092" s="119">
        <v>0.16643804298125287</v>
      </c>
      <c r="C1092">
        <v>19</v>
      </c>
    </row>
    <row r="1093" spans="1:3">
      <c r="A1093" s="119">
        <v>1093</v>
      </c>
      <c r="B1093" s="119">
        <v>0.49977137631458618</v>
      </c>
      <c r="C1093">
        <v>38</v>
      </c>
    </row>
    <row r="1094" spans="1:3">
      <c r="A1094" s="119">
        <v>1094</v>
      </c>
      <c r="B1094" s="119">
        <v>0.83310470964791938</v>
      </c>
      <c r="C1094">
        <v>62</v>
      </c>
    </row>
    <row r="1095" spans="1:3">
      <c r="A1095" s="119">
        <v>1095</v>
      </c>
      <c r="B1095" s="119">
        <v>0.27754915409236397</v>
      </c>
      <c r="C1095">
        <v>26</v>
      </c>
    </row>
    <row r="1096" spans="1:3">
      <c r="A1096" s="119">
        <v>1096</v>
      </c>
      <c r="B1096" s="119">
        <v>0.61088248742569728</v>
      </c>
      <c r="C1096">
        <v>45</v>
      </c>
    </row>
    <row r="1097" spans="1:3">
      <c r="A1097" s="119">
        <v>1097</v>
      </c>
      <c r="B1097" s="119">
        <v>0.94421582075903054</v>
      </c>
      <c r="C1097">
        <v>79</v>
      </c>
    </row>
    <row r="1098" spans="1:3">
      <c r="A1098" s="119">
        <v>1098</v>
      </c>
      <c r="B1098" s="119">
        <v>9.2363968907178767E-2</v>
      </c>
      <c r="C1098">
        <v>14</v>
      </c>
    </row>
    <row r="1099" spans="1:3">
      <c r="A1099" s="119">
        <v>1099</v>
      </c>
      <c r="B1099" s="119">
        <v>0.42569730224051211</v>
      </c>
      <c r="C1099">
        <v>34</v>
      </c>
    </row>
    <row r="1100" spans="1:3">
      <c r="A1100" s="119">
        <v>1100</v>
      </c>
      <c r="B1100" s="119">
        <v>0.75903063557384542</v>
      </c>
      <c r="C1100">
        <v>55</v>
      </c>
    </row>
    <row r="1101" spans="1:3">
      <c r="A1101" s="119">
        <v>1101</v>
      </c>
      <c r="B1101" s="119">
        <v>0.2034750800182899</v>
      </c>
      <c r="C1101">
        <v>22</v>
      </c>
    </row>
    <row r="1102" spans="1:3">
      <c r="A1102" s="119">
        <v>1102</v>
      </c>
      <c r="B1102" s="119">
        <v>0.5368084133516231</v>
      </c>
      <c r="C1102">
        <v>40</v>
      </c>
    </row>
    <row r="1103" spans="1:3">
      <c r="A1103" s="119">
        <v>1103</v>
      </c>
      <c r="B1103" s="119">
        <v>0.87014174668495636</v>
      </c>
      <c r="C1103">
        <v>66</v>
      </c>
    </row>
    <row r="1104" spans="1:3">
      <c r="A1104" s="119">
        <v>1104</v>
      </c>
      <c r="B1104" s="119">
        <v>0.314586191129401</v>
      </c>
      <c r="C1104">
        <v>28</v>
      </c>
    </row>
    <row r="1105" spans="1:3">
      <c r="A1105" s="119">
        <v>1105</v>
      </c>
      <c r="B1105" s="119">
        <v>0.64791952446273426</v>
      </c>
      <c r="C1105">
        <v>47</v>
      </c>
    </row>
    <row r="1106" spans="1:3">
      <c r="A1106" s="119">
        <v>1106</v>
      </c>
      <c r="B1106" s="119">
        <v>0.98125285779606752</v>
      </c>
      <c r="C1106">
        <v>92</v>
      </c>
    </row>
    <row r="1107" spans="1:3">
      <c r="A1107" s="119">
        <v>1107</v>
      </c>
      <c r="B1107" s="119">
        <v>3.0635573845450386E-2</v>
      </c>
      <c r="C1107">
        <v>8</v>
      </c>
    </row>
    <row r="1108" spans="1:3">
      <c r="A1108" s="119">
        <v>1108</v>
      </c>
      <c r="B1108" s="119">
        <v>0.36396890717878372</v>
      </c>
      <c r="C1108">
        <v>31</v>
      </c>
    </row>
    <row r="1109" spans="1:3">
      <c r="A1109" s="119">
        <v>1109</v>
      </c>
      <c r="B1109" s="119">
        <v>0.69730224051211698</v>
      </c>
      <c r="C1109">
        <v>50</v>
      </c>
    </row>
    <row r="1110" spans="1:3">
      <c r="A1110" s="119">
        <v>1110</v>
      </c>
      <c r="B1110" s="119">
        <v>0.14174668495656151</v>
      </c>
      <c r="C1110">
        <v>18</v>
      </c>
    </row>
    <row r="1111" spans="1:3">
      <c r="A1111" s="119">
        <v>1111</v>
      </c>
      <c r="B1111" s="119">
        <v>0.47508001828989482</v>
      </c>
      <c r="C1111">
        <v>37</v>
      </c>
    </row>
    <row r="1112" spans="1:3">
      <c r="A1112" s="119">
        <v>1112</v>
      </c>
      <c r="B1112" s="119">
        <v>0.80841335162322803</v>
      </c>
      <c r="C1112">
        <v>59</v>
      </c>
    </row>
    <row r="1113" spans="1:3">
      <c r="A1113" s="119">
        <v>1113</v>
      </c>
      <c r="B1113" s="119">
        <v>0.25285779606767261</v>
      </c>
      <c r="C1113">
        <v>25</v>
      </c>
    </row>
    <row r="1114" spans="1:3">
      <c r="A1114" s="119">
        <v>1114</v>
      </c>
      <c r="B1114" s="119">
        <v>0.58619112940100593</v>
      </c>
      <c r="C1114">
        <v>43</v>
      </c>
    </row>
    <row r="1115" spans="1:3">
      <c r="A1115" s="119">
        <v>1115</v>
      </c>
      <c r="B1115" s="119">
        <v>0.91952446273433919</v>
      </c>
      <c r="C1115">
        <v>74</v>
      </c>
    </row>
    <row r="1116" spans="1:3">
      <c r="A1116" s="119">
        <v>1116</v>
      </c>
      <c r="B1116" s="119">
        <v>6.7672610882487411E-2</v>
      </c>
      <c r="C1116">
        <v>12</v>
      </c>
    </row>
    <row r="1117" spans="1:3">
      <c r="A1117" s="119">
        <v>1117</v>
      </c>
      <c r="B1117" s="119">
        <v>0.40100594421582075</v>
      </c>
      <c r="C1117">
        <v>33</v>
      </c>
    </row>
    <row r="1118" spans="1:3">
      <c r="A1118" s="119">
        <v>1118</v>
      </c>
      <c r="B1118" s="119">
        <v>0.73433927754915407</v>
      </c>
      <c r="C1118">
        <v>53</v>
      </c>
    </row>
    <row r="1119" spans="1:3">
      <c r="A1119" s="119">
        <v>1119</v>
      </c>
      <c r="B1119" s="119">
        <v>0.17878372199359854</v>
      </c>
      <c r="C1119">
        <v>20</v>
      </c>
    </row>
    <row r="1120" spans="1:3">
      <c r="A1120" s="119">
        <v>1120</v>
      </c>
      <c r="B1120" s="119">
        <v>0.51211705532693186</v>
      </c>
      <c r="C1120">
        <v>39</v>
      </c>
    </row>
    <row r="1121" spans="1:3">
      <c r="A1121" s="119">
        <v>1121</v>
      </c>
      <c r="B1121" s="119">
        <v>0.84545038866026501</v>
      </c>
      <c r="C1121">
        <v>63</v>
      </c>
    </row>
    <row r="1122" spans="1:3">
      <c r="A1122" s="119">
        <v>1122</v>
      </c>
      <c r="B1122" s="119">
        <v>0.28989483310470965</v>
      </c>
      <c r="C1122">
        <v>27</v>
      </c>
    </row>
    <row r="1123" spans="1:3">
      <c r="A1123" s="119">
        <v>1123</v>
      </c>
      <c r="B1123" s="119">
        <v>0.62322816643804291</v>
      </c>
      <c r="C1123">
        <v>46</v>
      </c>
    </row>
    <row r="1124" spans="1:3">
      <c r="A1124" s="119">
        <v>1124</v>
      </c>
      <c r="B1124" s="119">
        <v>0.95656149977137617</v>
      </c>
      <c r="C1124">
        <v>82</v>
      </c>
    </row>
    <row r="1125" spans="1:3">
      <c r="A1125" s="119">
        <v>1125</v>
      </c>
      <c r="B1125" s="119">
        <v>0.10470964791952445</v>
      </c>
      <c r="C1125">
        <v>15</v>
      </c>
    </row>
    <row r="1126" spans="1:3">
      <c r="A1126" s="119">
        <v>1126</v>
      </c>
      <c r="B1126" s="119">
        <v>0.43804298125285779</v>
      </c>
      <c r="C1126">
        <v>35</v>
      </c>
    </row>
    <row r="1127" spans="1:3">
      <c r="A1127" s="119">
        <v>1127</v>
      </c>
      <c r="B1127" s="119">
        <v>0.77137631458619105</v>
      </c>
      <c r="C1127">
        <v>56</v>
      </c>
    </row>
    <row r="1128" spans="1:3">
      <c r="A1128" s="119">
        <v>1128</v>
      </c>
      <c r="B1128" s="119">
        <v>0.21582075903063558</v>
      </c>
      <c r="C1128">
        <v>22</v>
      </c>
    </row>
    <row r="1129" spans="1:3">
      <c r="A1129" s="119">
        <v>1129</v>
      </c>
      <c r="B1129" s="119">
        <v>0.54915409236396884</v>
      </c>
      <c r="C1129">
        <v>41</v>
      </c>
    </row>
    <row r="1130" spans="1:3">
      <c r="A1130" s="119">
        <v>1130</v>
      </c>
      <c r="B1130" s="119">
        <v>0.8824874256973021</v>
      </c>
      <c r="C1130">
        <v>68</v>
      </c>
    </row>
    <row r="1131" spans="1:3">
      <c r="A1131" s="119">
        <v>1131</v>
      </c>
      <c r="B1131" s="119">
        <v>0.32693187014174668</v>
      </c>
      <c r="C1131">
        <v>29</v>
      </c>
    </row>
    <row r="1132" spans="1:3">
      <c r="A1132" s="119">
        <v>1132</v>
      </c>
      <c r="B1132" s="119">
        <v>0.66026520347508</v>
      </c>
      <c r="C1132">
        <v>48</v>
      </c>
    </row>
    <row r="1133" spans="1:3">
      <c r="A1133" s="119">
        <v>1133</v>
      </c>
      <c r="B1133" s="119">
        <v>0.99359853680841326</v>
      </c>
      <c r="C1133">
        <v>104</v>
      </c>
    </row>
    <row r="1134" spans="1:3">
      <c r="A1134" s="119">
        <v>1134</v>
      </c>
      <c r="B1134" s="119">
        <v>1.0059442158207591E-2</v>
      </c>
      <c r="C1134">
        <v>4</v>
      </c>
    </row>
    <row r="1135" spans="1:3">
      <c r="A1135" s="119">
        <v>1135</v>
      </c>
      <c r="B1135" s="119">
        <v>0.34339277549154096</v>
      </c>
      <c r="C1135">
        <v>30</v>
      </c>
    </row>
    <row r="1136" spans="1:3">
      <c r="A1136" s="119">
        <v>1136</v>
      </c>
      <c r="B1136" s="119">
        <v>0.67672610882487416</v>
      </c>
      <c r="C1136">
        <v>49</v>
      </c>
    </row>
    <row r="1137" spans="1:3">
      <c r="A1137" s="119">
        <v>1137</v>
      </c>
      <c r="B1137" s="119">
        <v>0.12117055326931869</v>
      </c>
      <c r="C1137">
        <v>16</v>
      </c>
    </row>
    <row r="1138" spans="1:3">
      <c r="A1138" s="119">
        <v>1138</v>
      </c>
      <c r="B1138" s="119">
        <v>0.45450388660265206</v>
      </c>
      <c r="C1138">
        <v>36</v>
      </c>
    </row>
    <row r="1139" spans="1:3">
      <c r="A1139" s="119">
        <v>1139</v>
      </c>
      <c r="B1139" s="119">
        <v>0.78783721993598521</v>
      </c>
      <c r="C1139">
        <v>58</v>
      </c>
    </row>
    <row r="1140" spans="1:3">
      <c r="A1140" s="119">
        <v>1140</v>
      </c>
      <c r="B1140" s="119">
        <v>0.2322816643804298</v>
      </c>
      <c r="C1140">
        <v>23</v>
      </c>
    </row>
    <row r="1141" spans="1:3">
      <c r="A1141" s="119">
        <v>1141</v>
      </c>
      <c r="B1141" s="119">
        <v>0.56561499771376311</v>
      </c>
      <c r="C1141">
        <v>42</v>
      </c>
    </row>
    <row r="1142" spans="1:3">
      <c r="A1142" s="119">
        <v>1142</v>
      </c>
      <c r="B1142" s="119">
        <v>0.89894833104709637</v>
      </c>
      <c r="C1142">
        <v>70</v>
      </c>
    </row>
    <row r="1143" spans="1:3">
      <c r="A1143" s="119">
        <v>1143</v>
      </c>
      <c r="B1143" s="119">
        <v>4.709647919524463E-2</v>
      </c>
      <c r="C1143">
        <v>10</v>
      </c>
    </row>
    <row r="1144" spans="1:3">
      <c r="A1144" s="119">
        <v>1144</v>
      </c>
      <c r="B1144" s="119">
        <v>0.38042981252857799</v>
      </c>
      <c r="C1144">
        <v>32</v>
      </c>
    </row>
    <row r="1145" spans="1:3">
      <c r="A1145" s="119">
        <v>1145</v>
      </c>
      <c r="B1145" s="119">
        <v>0.71376314586191125</v>
      </c>
      <c r="C1145">
        <v>52</v>
      </c>
    </row>
    <row r="1146" spans="1:3">
      <c r="A1146" s="119">
        <v>1146</v>
      </c>
      <c r="B1146" s="119">
        <v>0.15820759030635573</v>
      </c>
      <c r="C1146">
        <v>19</v>
      </c>
    </row>
    <row r="1147" spans="1:3">
      <c r="A1147" s="119">
        <v>1147</v>
      </c>
      <c r="B1147" s="119">
        <v>0.4915409236396891</v>
      </c>
      <c r="C1147">
        <v>38</v>
      </c>
    </row>
    <row r="1148" spans="1:3">
      <c r="A1148" s="119">
        <v>1148</v>
      </c>
      <c r="B1148" s="119">
        <v>0.82487425697302219</v>
      </c>
      <c r="C1148">
        <v>61</v>
      </c>
    </row>
    <row r="1149" spans="1:3">
      <c r="A1149" s="119">
        <v>1149</v>
      </c>
      <c r="B1149" s="119">
        <v>0.26931870141746689</v>
      </c>
      <c r="C1149">
        <v>26</v>
      </c>
    </row>
    <row r="1150" spans="1:3">
      <c r="A1150" s="119">
        <v>1150</v>
      </c>
      <c r="B1150" s="119">
        <v>0.60265203475080009</v>
      </c>
      <c r="C1150">
        <v>44</v>
      </c>
    </row>
    <row r="1151" spans="1:3">
      <c r="A1151" s="119">
        <v>1151</v>
      </c>
      <c r="B1151" s="119">
        <v>0.93598536808413335</v>
      </c>
      <c r="C1151">
        <v>77</v>
      </c>
    </row>
    <row r="1152" spans="1:3">
      <c r="A1152" s="119">
        <v>1152</v>
      </c>
      <c r="B1152" s="119">
        <v>8.4133516232281658E-2</v>
      </c>
      <c r="C1152">
        <v>13</v>
      </c>
    </row>
    <row r="1153" spans="1:3">
      <c r="A1153" s="119">
        <v>1153</v>
      </c>
      <c r="B1153" s="119">
        <v>0.41746684956561503</v>
      </c>
      <c r="C1153">
        <v>34</v>
      </c>
    </row>
    <row r="1154" spans="1:3">
      <c r="A1154" s="119">
        <v>1154</v>
      </c>
      <c r="B1154" s="119">
        <v>0.75080018289894823</v>
      </c>
      <c r="C1154">
        <v>54</v>
      </c>
    </row>
    <row r="1155" spans="1:3">
      <c r="A1155" s="119">
        <v>1155</v>
      </c>
      <c r="B1155" s="119">
        <v>0.19524462734339276</v>
      </c>
      <c r="C1155">
        <v>21</v>
      </c>
    </row>
    <row r="1156" spans="1:3">
      <c r="A1156" s="119">
        <v>1156</v>
      </c>
      <c r="B1156" s="119">
        <v>0.52857796067672602</v>
      </c>
      <c r="C1156">
        <v>40</v>
      </c>
    </row>
    <row r="1157" spans="1:3">
      <c r="A1157" s="119">
        <v>1157</v>
      </c>
      <c r="B1157" s="119">
        <v>0.86191129401005928</v>
      </c>
      <c r="C1157">
        <v>65</v>
      </c>
    </row>
    <row r="1158" spans="1:3">
      <c r="A1158" s="119">
        <v>1158</v>
      </c>
      <c r="B1158" s="119">
        <v>0.30635573845450392</v>
      </c>
      <c r="C1158">
        <v>28</v>
      </c>
    </row>
    <row r="1159" spans="1:3">
      <c r="A1159" s="119">
        <v>1159</v>
      </c>
      <c r="B1159" s="119">
        <v>0.63968907178783718</v>
      </c>
      <c r="C1159">
        <v>47</v>
      </c>
    </row>
    <row r="1160" spans="1:3">
      <c r="A1160" s="119">
        <v>1160</v>
      </c>
      <c r="B1160" s="119">
        <v>0.97302240512117044</v>
      </c>
      <c r="C1160">
        <v>88</v>
      </c>
    </row>
    <row r="1161" spans="1:3">
      <c r="A1161" s="119">
        <v>1161</v>
      </c>
      <c r="B1161" s="119">
        <v>2.2405121170553266E-2</v>
      </c>
      <c r="C1161">
        <v>7</v>
      </c>
    </row>
    <row r="1162" spans="1:3">
      <c r="A1162" s="119">
        <v>1162</v>
      </c>
      <c r="B1162" s="119">
        <v>0.35573845450388664</v>
      </c>
      <c r="C1162">
        <v>30</v>
      </c>
    </row>
    <row r="1163" spans="1:3">
      <c r="A1163" s="119">
        <v>1163</v>
      </c>
      <c r="B1163" s="119">
        <v>0.68907178783721978</v>
      </c>
      <c r="C1163">
        <v>50</v>
      </c>
    </row>
    <row r="1164" spans="1:3">
      <c r="A1164" s="119">
        <v>1164</v>
      </c>
      <c r="B1164" s="119">
        <v>0.13351623228166437</v>
      </c>
      <c r="C1164">
        <v>17</v>
      </c>
    </row>
    <row r="1165" spans="1:3">
      <c r="A1165" s="119">
        <v>1165</v>
      </c>
      <c r="B1165" s="119">
        <v>0.46684956561499774</v>
      </c>
      <c r="C1165">
        <v>36</v>
      </c>
    </row>
    <row r="1166" spans="1:3">
      <c r="A1166" s="119">
        <v>1166</v>
      </c>
      <c r="B1166" s="119">
        <v>0.80018289894833095</v>
      </c>
      <c r="C1166">
        <v>59</v>
      </c>
    </row>
    <row r="1167" spans="1:3">
      <c r="A1167" s="119">
        <v>1167</v>
      </c>
      <c r="B1167" s="119">
        <v>0.24462734339277548</v>
      </c>
      <c r="C1167">
        <v>24</v>
      </c>
    </row>
    <row r="1168" spans="1:3">
      <c r="A1168" s="119">
        <v>1168</v>
      </c>
      <c r="B1168" s="119">
        <v>0.57796067672610885</v>
      </c>
      <c r="C1168">
        <v>43</v>
      </c>
    </row>
    <row r="1169" spans="1:3">
      <c r="A1169" s="119">
        <v>1169</v>
      </c>
      <c r="B1169" s="119">
        <v>0.91129401005944211</v>
      </c>
      <c r="C1169">
        <v>72</v>
      </c>
    </row>
    <row r="1170" spans="1:3">
      <c r="A1170" s="119">
        <v>1170</v>
      </c>
      <c r="B1170" s="119">
        <v>5.9442158207590308E-2</v>
      </c>
      <c r="C1170">
        <v>11</v>
      </c>
    </row>
    <row r="1171" spans="1:3">
      <c r="A1171" s="119">
        <v>1171</v>
      </c>
      <c r="B1171" s="119">
        <v>0.39277549154092367</v>
      </c>
      <c r="C1171">
        <v>32</v>
      </c>
    </row>
    <row r="1172" spans="1:3">
      <c r="A1172" s="119">
        <v>1172</v>
      </c>
      <c r="B1172" s="119">
        <v>0.72610882487425699</v>
      </c>
      <c r="C1172">
        <v>53</v>
      </c>
    </row>
    <row r="1173" spans="1:3">
      <c r="A1173" s="119">
        <v>1173</v>
      </c>
      <c r="B1173" s="119">
        <v>0.17055326931870141</v>
      </c>
      <c r="C1173">
        <v>20</v>
      </c>
    </row>
    <row r="1174" spans="1:3">
      <c r="A1174" s="119">
        <v>1174</v>
      </c>
      <c r="B1174" s="119">
        <v>0.50388660265203467</v>
      </c>
      <c r="C1174">
        <v>39</v>
      </c>
    </row>
    <row r="1175" spans="1:3">
      <c r="A1175" s="119">
        <v>1175</v>
      </c>
      <c r="B1175" s="119">
        <v>0.83721993598536792</v>
      </c>
      <c r="C1175">
        <v>62</v>
      </c>
    </row>
    <row r="1176" spans="1:3">
      <c r="A1176" s="119">
        <v>1176</v>
      </c>
      <c r="B1176" s="119">
        <v>0.28166438042981257</v>
      </c>
      <c r="C1176">
        <v>26</v>
      </c>
    </row>
    <row r="1177" spans="1:3">
      <c r="A1177" s="119">
        <v>1177</v>
      </c>
      <c r="B1177" s="119">
        <v>0.61499771376314583</v>
      </c>
      <c r="C1177">
        <v>45</v>
      </c>
    </row>
    <row r="1178" spans="1:3">
      <c r="A1178" s="119">
        <v>1178</v>
      </c>
      <c r="B1178" s="119">
        <v>0.94833104709647909</v>
      </c>
      <c r="C1178">
        <v>80</v>
      </c>
    </row>
    <row r="1179" spans="1:3">
      <c r="A1179" s="119">
        <v>1179</v>
      </c>
      <c r="B1179" s="119">
        <v>9.6479195244627336E-2</v>
      </c>
      <c r="C1179">
        <v>14</v>
      </c>
    </row>
    <row r="1180" spans="1:3">
      <c r="A1180" s="119">
        <v>1180</v>
      </c>
      <c r="B1180" s="119">
        <v>0.42981252857796071</v>
      </c>
      <c r="C1180">
        <v>34</v>
      </c>
    </row>
    <row r="1181" spans="1:3">
      <c r="A1181" s="119">
        <v>1181</v>
      </c>
      <c r="B1181" s="119">
        <v>0.76314586191129397</v>
      </c>
      <c r="C1181">
        <v>55</v>
      </c>
    </row>
    <row r="1182" spans="1:3">
      <c r="A1182" s="119">
        <v>1182</v>
      </c>
      <c r="B1182" s="119">
        <v>0.20759030635573844</v>
      </c>
      <c r="C1182">
        <v>22</v>
      </c>
    </row>
    <row r="1183" spans="1:3">
      <c r="A1183" s="119">
        <v>1183</v>
      </c>
      <c r="B1183" s="119">
        <v>0.54092363968907164</v>
      </c>
      <c r="C1183">
        <v>41</v>
      </c>
    </row>
    <row r="1184" spans="1:3">
      <c r="A1184" s="119">
        <v>1184</v>
      </c>
      <c r="B1184" s="119">
        <v>0.8742569730224049</v>
      </c>
      <c r="C1184">
        <v>67</v>
      </c>
    </row>
    <row r="1185" spans="1:3">
      <c r="A1185" s="119">
        <v>1185</v>
      </c>
      <c r="B1185" s="119">
        <v>0.3187014174668496</v>
      </c>
      <c r="C1185">
        <v>28</v>
      </c>
    </row>
    <row r="1186" spans="1:3">
      <c r="A1186" s="119">
        <v>1186</v>
      </c>
      <c r="B1186" s="119">
        <v>0.65203475080018281</v>
      </c>
      <c r="C1186">
        <v>47</v>
      </c>
    </row>
    <row r="1187" spans="1:3">
      <c r="A1187" s="119">
        <v>1187</v>
      </c>
      <c r="B1187" s="119">
        <v>0.98536808413351606</v>
      </c>
      <c r="C1187">
        <v>95</v>
      </c>
    </row>
    <row r="1188" spans="1:3">
      <c r="A1188" s="119">
        <v>1188</v>
      </c>
      <c r="B1188" s="119">
        <v>3.4750800182898951E-2</v>
      </c>
      <c r="C1188">
        <v>8</v>
      </c>
    </row>
    <row r="1189" spans="1:3">
      <c r="A1189" s="119">
        <v>1189</v>
      </c>
      <c r="B1189" s="119">
        <v>0.36808413351623231</v>
      </c>
      <c r="C1189">
        <v>31</v>
      </c>
    </row>
    <row r="1190" spans="1:3">
      <c r="A1190" s="119">
        <v>1190</v>
      </c>
      <c r="B1190" s="119">
        <v>0.70141746684956552</v>
      </c>
      <c r="C1190">
        <v>51</v>
      </c>
    </row>
    <row r="1191" spans="1:3">
      <c r="A1191" s="119">
        <v>1191</v>
      </c>
      <c r="B1191" s="119">
        <v>0.14586191129401005</v>
      </c>
      <c r="C1191">
        <v>18</v>
      </c>
    </row>
    <row r="1192" spans="1:3">
      <c r="A1192" s="119">
        <v>1192</v>
      </c>
      <c r="B1192" s="119">
        <v>0.47919524462734342</v>
      </c>
      <c r="C1192">
        <v>37</v>
      </c>
    </row>
    <row r="1193" spans="1:3">
      <c r="A1193" s="119">
        <v>1193</v>
      </c>
      <c r="B1193" s="119">
        <v>0.81252857796067657</v>
      </c>
      <c r="C1193">
        <v>60</v>
      </c>
    </row>
    <row r="1194" spans="1:3">
      <c r="A1194" s="119">
        <v>1194</v>
      </c>
      <c r="B1194" s="119">
        <v>0.25697302240512121</v>
      </c>
      <c r="C1194">
        <v>25</v>
      </c>
    </row>
    <row r="1195" spans="1:3">
      <c r="A1195" s="119">
        <v>1195</v>
      </c>
      <c r="B1195" s="119">
        <v>0.59030635573845447</v>
      </c>
      <c r="C1195">
        <v>44</v>
      </c>
    </row>
    <row r="1196" spans="1:3">
      <c r="A1196" s="119">
        <v>1196</v>
      </c>
      <c r="B1196" s="119">
        <v>0.92363968907178773</v>
      </c>
      <c r="C1196">
        <v>74</v>
      </c>
    </row>
    <row r="1197" spans="1:3">
      <c r="A1197" s="119">
        <v>1197</v>
      </c>
      <c r="B1197" s="119">
        <v>7.1787837219935979E-2</v>
      </c>
      <c r="C1197">
        <v>12</v>
      </c>
    </row>
    <row r="1198" spans="1:3">
      <c r="A1198" s="119">
        <v>1198</v>
      </c>
      <c r="B1198" s="119">
        <v>0.40512117055326935</v>
      </c>
      <c r="C1198">
        <v>33</v>
      </c>
    </row>
    <row r="1199" spans="1:3">
      <c r="A1199" s="119">
        <v>1199</v>
      </c>
      <c r="B1199" s="119">
        <v>0.73845450388660261</v>
      </c>
      <c r="C1199">
        <v>53</v>
      </c>
    </row>
    <row r="1200" spans="1:3">
      <c r="A1200" s="119">
        <v>1200</v>
      </c>
      <c r="B1200" s="119">
        <v>0.18289894833104708</v>
      </c>
      <c r="C1200">
        <v>20</v>
      </c>
    </row>
    <row r="1201" spans="1:3">
      <c r="A1201" s="119">
        <v>1201</v>
      </c>
      <c r="B1201" s="119">
        <v>0.5162322816643804</v>
      </c>
      <c r="C1201">
        <v>39</v>
      </c>
    </row>
    <row r="1202" spans="1:3">
      <c r="A1202" s="119">
        <v>1202</v>
      </c>
      <c r="B1202" s="119">
        <v>0.84956561499771355</v>
      </c>
      <c r="C1202">
        <v>64</v>
      </c>
    </row>
    <row r="1203" spans="1:3">
      <c r="A1203" s="119">
        <v>1203</v>
      </c>
      <c r="B1203" s="119">
        <v>0.29401005944215824</v>
      </c>
      <c r="C1203">
        <v>27</v>
      </c>
    </row>
    <row r="1204" spans="1:3">
      <c r="A1204" s="119">
        <v>1204</v>
      </c>
      <c r="B1204" s="119">
        <v>0.62734339277549145</v>
      </c>
      <c r="C1204">
        <v>46</v>
      </c>
    </row>
    <row r="1205" spans="1:3">
      <c r="A1205" s="119">
        <v>1205</v>
      </c>
      <c r="B1205" s="119">
        <v>0.96067672610882471</v>
      </c>
      <c r="C1205">
        <v>83</v>
      </c>
    </row>
    <row r="1206" spans="1:3">
      <c r="A1206" s="119">
        <v>1206</v>
      </c>
      <c r="B1206" s="119">
        <v>0.10882487425697301</v>
      </c>
      <c r="C1206">
        <v>15</v>
      </c>
    </row>
    <row r="1207" spans="1:3">
      <c r="A1207" s="119">
        <v>1207</v>
      </c>
      <c r="B1207" s="119">
        <v>0.44215820759030638</v>
      </c>
      <c r="C1207">
        <v>35</v>
      </c>
    </row>
    <row r="1208" spans="1:3">
      <c r="A1208" s="119">
        <v>1208</v>
      </c>
      <c r="B1208" s="119">
        <v>0.77549154092363959</v>
      </c>
      <c r="C1208">
        <v>56</v>
      </c>
    </row>
    <row r="1209" spans="1:3">
      <c r="A1209" s="119">
        <v>1209</v>
      </c>
      <c r="B1209" s="119">
        <v>0.21993598536808412</v>
      </c>
      <c r="C1209">
        <v>23</v>
      </c>
    </row>
    <row r="1210" spans="1:3">
      <c r="A1210" s="119">
        <v>1210</v>
      </c>
      <c r="B1210" s="119">
        <v>0.55326931870141738</v>
      </c>
      <c r="C1210">
        <v>41</v>
      </c>
    </row>
    <row r="1211" spans="1:3">
      <c r="A1211" s="119">
        <v>1211</v>
      </c>
      <c r="B1211" s="119">
        <v>0.88660265203475064</v>
      </c>
      <c r="C1211">
        <v>68</v>
      </c>
    </row>
    <row r="1212" spans="1:3">
      <c r="A1212" s="119">
        <v>1212</v>
      </c>
      <c r="B1212" s="119">
        <v>0.33104709647919528</v>
      </c>
      <c r="C1212">
        <v>29</v>
      </c>
    </row>
    <row r="1213" spans="1:3">
      <c r="A1213" s="119">
        <v>1213</v>
      </c>
      <c r="B1213" s="119">
        <v>0.66438042981252854</v>
      </c>
      <c r="C1213">
        <v>48</v>
      </c>
    </row>
    <row r="1214" spans="1:3">
      <c r="A1214" s="119">
        <v>1214</v>
      </c>
      <c r="B1214" s="119">
        <v>0.9977137631458618</v>
      </c>
      <c r="C1214">
        <v>105</v>
      </c>
    </row>
    <row r="1215" spans="1:3">
      <c r="A1215" s="119">
        <v>1215</v>
      </c>
      <c r="B1215" s="119">
        <v>3.200731595793324E-3</v>
      </c>
      <c r="C1215">
        <v>2</v>
      </c>
    </row>
    <row r="1216" spans="1:3">
      <c r="A1216" s="119">
        <v>1216</v>
      </c>
      <c r="B1216" s="119">
        <v>0.33653406492912669</v>
      </c>
      <c r="C1216">
        <v>29</v>
      </c>
    </row>
    <row r="1217" spans="1:3">
      <c r="A1217" s="119">
        <v>1217</v>
      </c>
      <c r="B1217" s="119">
        <v>0.66986739826246</v>
      </c>
      <c r="C1217">
        <v>49</v>
      </c>
    </row>
    <row r="1218" spans="1:3">
      <c r="A1218" s="119">
        <v>1218</v>
      </c>
      <c r="B1218" s="119">
        <v>0.11431184270690442</v>
      </c>
      <c r="C1218">
        <v>16</v>
      </c>
    </row>
    <row r="1219" spans="1:3">
      <c r="A1219" s="119">
        <v>1219</v>
      </c>
      <c r="B1219" s="119">
        <v>0.44764517604023779</v>
      </c>
      <c r="C1219">
        <v>35</v>
      </c>
    </row>
    <row r="1220" spans="1:3">
      <c r="A1220" s="119">
        <v>1220</v>
      </c>
      <c r="B1220" s="119">
        <v>0.78097850937357105</v>
      </c>
      <c r="C1220">
        <v>57</v>
      </c>
    </row>
    <row r="1221" spans="1:3">
      <c r="A1221" s="119">
        <v>1221</v>
      </c>
      <c r="B1221" s="119">
        <v>0.22542295381801553</v>
      </c>
      <c r="C1221">
        <v>23</v>
      </c>
    </row>
    <row r="1222" spans="1:3">
      <c r="A1222" s="119">
        <v>1222</v>
      </c>
      <c r="B1222" s="119">
        <v>0.55875628715134895</v>
      </c>
      <c r="C1222">
        <v>42</v>
      </c>
    </row>
    <row r="1223" spans="1:3">
      <c r="A1223" s="119">
        <v>1223</v>
      </c>
      <c r="B1223" s="119">
        <v>0.89208962048468221</v>
      </c>
      <c r="C1223">
        <v>69</v>
      </c>
    </row>
    <row r="1224" spans="1:3">
      <c r="A1224" s="119">
        <v>1224</v>
      </c>
      <c r="B1224" s="119">
        <v>4.0237768632830358E-2</v>
      </c>
      <c r="C1224">
        <v>9</v>
      </c>
    </row>
    <row r="1225" spans="1:3">
      <c r="A1225" s="119">
        <v>1225</v>
      </c>
      <c r="B1225" s="119">
        <v>0.37357110196616372</v>
      </c>
      <c r="C1225">
        <v>31</v>
      </c>
    </row>
    <row r="1226" spans="1:3">
      <c r="A1226" s="119">
        <v>1226</v>
      </c>
      <c r="B1226" s="119">
        <v>0.70690443529949709</v>
      </c>
      <c r="C1226">
        <v>51</v>
      </c>
    </row>
    <row r="1227" spans="1:3">
      <c r="A1227" s="119">
        <v>1227</v>
      </c>
      <c r="B1227" s="119">
        <v>0.15134887974394146</v>
      </c>
      <c r="C1227">
        <v>18</v>
      </c>
    </row>
    <row r="1228" spans="1:3">
      <c r="A1228" s="119">
        <v>1228</v>
      </c>
      <c r="B1228" s="119">
        <v>0.48468221307727483</v>
      </c>
      <c r="C1228">
        <v>37</v>
      </c>
    </row>
    <row r="1229" spans="1:3">
      <c r="A1229" s="119">
        <v>1229</v>
      </c>
      <c r="B1229" s="119">
        <v>0.81801554641060803</v>
      </c>
      <c r="C1229">
        <v>60</v>
      </c>
    </row>
    <row r="1230" spans="1:3">
      <c r="A1230" s="119">
        <v>1230</v>
      </c>
      <c r="B1230" s="119">
        <v>0.26245999085505262</v>
      </c>
      <c r="C1230">
        <v>25</v>
      </c>
    </row>
    <row r="1231" spans="1:3">
      <c r="A1231" s="119">
        <v>1231</v>
      </c>
      <c r="B1231" s="119">
        <v>0.59579332418838593</v>
      </c>
      <c r="C1231">
        <v>44</v>
      </c>
    </row>
    <row r="1232" spans="1:3">
      <c r="A1232" s="119">
        <v>1232</v>
      </c>
      <c r="B1232" s="119">
        <v>0.92912665752171919</v>
      </c>
      <c r="C1232">
        <v>75</v>
      </c>
    </row>
    <row r="1233" spans="1:3">
      <c r="A1233" s="119">
        <v>1233</v>
      </c>
      <c r="B1233" s="119">
        <v>7.7274805669867386E-2</v>
      </c>
      <c r="C1233">
        <v>13</v>
      </c>
    </row>
    <row r="1234" spans="1:3">
      <c r="A1234" s="119">
        <v>1234</v>
      </c>
      <c r="B1234" s="119">
        <v>0.41060813900320076</v>
      </c>
      <c r="C1234">
        <v>33</v>
      </c>
    </row>
    <row r="1235" spans="1:3">
      <c r="A1235" s="119">
        <v>1235</v>
      </c>
      <c r="B1235" s="119">
        <v>0.74394147233653407</v>
      </c>
      <c r="C1235">
        <v>54</v>
      </c>
    </row>
    <row r="1236" spans="1:3">
      <c r="A1236" s="119">
        <v>1236</v>
      </c>
      <c r="B1236" s="119">
        <v>0.18838591678097849</v>
      </c>
      <c r="C1236">
        <v>21</v>
      </c>
    </row>
    <row r="1237" spans="1:3">
      <c r="A1237" s="119">
        <v>1237</v>
      </c>
      <c r="B1237" s="119">
        <v>0.52171925011431186</v>
      </c>
      <c r="C1237">
        <v>40</v>
      </c>
    </row>
    <row r="1238" spans="1:3">
      <c r="A1238" s="119">
        <v>1238</v>
      </c>
      <c r="B1238" s="119">
        <v>0.85505258344764512</v>
      </c>
      <c r="C1238">
        <v>64</v>
      </c>
    </row>
    <row r="1239" spans="1:3">
      <c r="A1239" s="119">
        <v>1239</v>
      </c>
      <c r="B1239" s="119">
        <v>0.29949702789208965</v>
      </c>
      <c r="C1239">
        <v>27</v>
      </c>
    </row>
    <row r="1240" spans="1:3">
      <c r="A1240" s="119">
        <v>1240</v>
      </c>
      <c r="B1240" s="119">
        <v>0.63283036122542302</v>
      </c>
      <c r="C1240">
        <v>46</v>
      </c>
    </row>
    <row r="1241" spans="1:3">
      <c r="A1241" s="119">
        <v>1241</v>
      </c>
      <c r="B1241" s="119">
        <v>0.96616369455875628</v>
      </c>
      <c r="C1241">
        <v>85</v>
      </c>
    </row>
    <row r="1242" spans="1:3">
      <c r="A1242" s="119">
        <v>1242</v>
      </c>
      <c r="B1242" s="119">
        <v>1.5546410608139003E-2</v>
      </c>
      <c r="C1242">
        <v>5</v>
      </c>
    </row>
    <row r="1243" spans="1:3">
      <c r="A1243" s="119">
        <v>1243</v>
      </c>
      <c r="B1243" s="119">
        <v>0.34887974394147236</v>
      </c>
      <c r="C1243">
        <v>30</v>
      </c>
    </row>
    <row r="1244" spans="1:3">
      <c r="A1244" s="119">
        <v>1244</v>
      </c>
      <c r="B1244" s="119">
        <v>0.68221307727480562</v>
      </c>
      <c r="C1244">
        <v>49</v>
      </c>
    </row>
    <row r="1245" spans="1:3">
      <c r="A1245" s="119">
        <v>1245</v>
      </c>
      <c r="B1245" s="119">
        <v>0.1266575217192501</v>
      </c>
      <c r="C1245">
        <v>17</v>
      </c>
    </row>
    <row r="1246" spans="1:3">
      <c r="A1246" s="119">
        <v>1246</v>
      </c>
      <c r="B1246" s="119">
        <v>0.45999085505258347</v>
      </c>
      <c r="C1246">
        <v>36</v>
      </c>
    </row>
    <row r="1247" spans="1:3">
      <c r="A1247" s="119">
        <v>1247</v>
      </c>
      <c r="B1247" s="119">
        <v>0.79332418838591678</v>
      </c>
      <c r="C1247">
        <v>58</v>
      </c>
    </row>
    <row r="1248" spans="1:3">
      <c r="A1248" s="119">
        <v>1248</v>
      </c>
      <c r="B1248" s="119">
        <v>0.2377686328303612</v>
      </c>
      <c r="C1248">
        <v>24</v>
      </c>
    </row>
    <row r="1249" spans="1:3">
      <c r="A1249" s="119">
        <v>1249</v>
      </c>
      <c r="B1249" s="119">
        <v>0.57110196616369469</v>
      </c>
      <c r="C1249">
        <v>42</v>
      </c>
    </row>
    <row r="1250" spans="1:3">
      <c r="A1250" s="119">
        <v>1250</v>
      </c>
      <c r="B1250" s="119">
        <v>0.90443529949702794</v>
      </c>
      <c r="C1250">
        <v>71</v>
      </c>
    </row>
    <row r="1251" spans="1:3">
      <c r="A1251" s="119">
        <v>1251</v>
      </c>
      <c r="B1251" s="119">
        <v>5.2583447645176036E-2</v>
      </c>
      <c r="C1251">
        <v>10</v>
      </c>
    </row>
    <row r="1252" spans="1:3">
      <c r="A1252" s="119">
        <v>1252</v>
      </c>
      <c r="B1252" s="119">
        <v>0.3859167809785094</v>
      </c>
      <c r="C1252">
        <v>32</v>
      </c>
    </row>
    <row r="1253" spans="1:3">
      <c r="A1253" s="119">
        <v>1253</v>
      </c>
      <c r="B1253" s="119">
        <v>0.71925011431184283</v>
      </c>
      <c r="C1253">
        <v>52</v>
      </c>
    </row>
    <row r="1254" spans="1:3">
      <c r="A1254" s="119">
        <v>1254</v>
      </c>
      <c r="B1254" s="119">
        <v>0.16369455875628713</v>
      </c>
      <c r="C1254">
        <v>19</v>
      </c>
    </row>
    <row r="1255" spans="1:3">
      <c r="A1255" s="119">
        <v>1255</v>
      </c>
      <c r="B1255" s="119">
        <v>0.4970278920896205</v>
      </c>
      <c r="C1255">
        <v>38</v>
      </c>
    </row>
    <row r="1256" spans="1:3">
      <c r="A1256" s="119">
        <v>1256</v>
      </c>
      <c r="B1256" s="119">
        <v>0.83036122542295376</v>
      </c>
      <c r="C1256">
        <v>62</v>
      </c>
    </row>
    <row r="1257" spans="1:3">
      <c r="A1257" s="119">
        <v>1257</v>
      </c>
      <c r="B1257" s="119">
        <v>0.27480566986739829</v>
      </c>
      <c r="C1257">
        <v>26</v>
      </c>
    </row>
    <row r="1258" spans="1:3">
      <c r="A1258" s="119">
        <v>1258</v>
      </c>
      <c r="B1258" s="119">
        <v>0.60813900320073166</v>
      </c>
      <c r="C1258">
        <v>45</v>
      </c>
    </row>
    <row r="1259" spans="1:3">
      <c r="A1259" s="119">
        <v>1259</v>
      </c>
      <c r="B1259" s="119">
        <v>0.94147233653406492</v>
      </c>
      <c r="C1259">
        <v>78</v>
      </c>
    </row>
    <row r="1260" spans="1:3">
      <c r="A1260" s="119">
        <v>1260</v>
      </c>
      <c r="B1260" s="119">
        <v>8.9620484682213064E-2</v>
      </c>
      <c r="C1260">
        <v>14</v>
      </c>
    </row>
    <row r="1261" spans="1:3">
      <c r="A1261" s="119">
        <v>1261</v>
      </c>
      <c r="B1261" s="119">
        <v>0.42295381801554643</v>
      </c>
      <c r="C1261">
        <v>34</v>
      </c>
    </row>
    <row r="1262" spans="1:3">
      <c r="A1262" s="119">
        <v>1262</v>
      </c>
      <c r="B1262" s="119">
        <v>0.7562871513488798</v>
      </c>
      <c r="C1262">
        <v>55</v>
      </c>
    </row>
    <row r="1263" spans="1:3">
      <c r="A1263" s="119">
        <v>1263</v>
      </c>
      <c r="B1263" s="119">
        <v>0.20073159579332417</v>
      </c>
      <c r="C1263">
        <v>22</v>
      </c>
    </row>
    <row r="1264" spans="1:3">
      <c r="A1264" s="119">
        <v>1264</v>
      </c>
      <c r="B1264" s="119">
        <v>0.53406492912665748</v>
      </c>
      <c r="C1264">
        <v>40</v>
      </c>
    </row>
    <row r="1265" spans="1:3">
      <c r="A1265" s="119">
        <v>1265</v>
      </c>
      <c r="B1265" s="119">
        <v>0.86739826245999074</v>
      </c>
      <c r="C1265">
        <v>66</v>
      </c>
    </row>
    <row r="1266" spans="1:3">
      <c r="A1266" s="119">
        <v>1266</v>
      </c>
      <c r="B1266" s="119">
        <v>0.31184270690443533</v>
      </c>
      <c r="C1266">
        <v>28</v>
      </c>
    </row>
    <row r="1267" spans="1:3">
      <c r="A1267" s="119">
        <v>1267</v>
      </c>
      <c r="B1267" s="119">
        <v>0.64517604023776864</v>
      </c>
      <c r="C1267">
        <v>47</v>
      </c>
    </row>
    <row r="1268" spans="1:3">
      <c r="A1268" s="119">
        <v>1268</v>
      </c>
      <c r="B1268" s="119">
        <v>0.9785093735711019</v>
      </c>
      <c r="C1268">
        <v>91</v>
      </c>
    </row>
    <row r="1269" spans="1:3">
      <c r="A1269" s="119">
        <v>1269</v>
      </c>
      <c r="B1269" s="119">
        <v>2.7892089620484679E-2</v>
      </c>
      <c r="C1269">
        <v>7</v>
      </c>
    </row>
    <row r="1270" spans="1:3">
      <c r="A1270" s="119">
        <v>1270</v>
      </c>
      <c r="B1270" s="119">
        <v>0.36122542295381804</v>
      </c>
      <c r="C1270">
        <v>31</v>
      </c>
    </row>
    <row r="1271" spans="1:3">
      <c r="A1271" s="119">
        <v>1271</v>
      </c>
      <c r="B1271" s="119">
        <v>0.69455875628715136</v>
      </c>
      <c r="C1271">
        <v>50</v>
      </c>
    </row>
    <row r="1272" spans="1:3">
      <c r="A1272" s="119">
        <v>1272</v>
      </c>
      <c r="B1272" s="119">
        <v>0.13900320073159578</v>
      </c>
      <c r="C1272">
        <v>18</v>
      </c>
    </row>
    <row r="1273" spans="1:3">
      <c r="A1273" s="119">
        <v>1273</v>
      </c>
      <c r="B1273" s="119">
        <v>0.47233653406492915</v>
      </c>
      <c r="C1273">
        <v>37</v>
      </c>
    </row>
    <row r="1274" spans="1:3">
      <c r="A1274" s="119">
        <v>1274</v>
      </c>
      <c r="B1274" s="119">
        <v>0.80566986739826241</v>
      </c>
      <c r="C1274">
        <v>59</v>
      </c>
    </row>
    <row r="1275" spans="1:3">
      <c r="A1275" s="119">
        <v>1275</v>
      </c>
      <c r="B1275" s="119">
        <v>0.25011431184270688</v>
      </c>
      <c r="C1275">
        <v>25</v>
      </c>
    </row>
    <row r="1276" spans="1:3">
      <c r="A1276" s="119">
        <v>1276</v>
      </c>
      <c r="B1276" s="119">
        <v>0.58344764517604031</v>
      </c>
      <c r="C1276">
        <v>43</v>
      </c>
    </row>
    <row r="1277" spans="1:3">
      <c r="A1277" s="119">
        <v>1277</v>
      </c>
      <c r="B1277" s="119">
        <v>0.91678097850937357</v>
      </c>
      <c r="C1277">
        <v>73</v>
      </c>
    </row>
    <row r="1278" spans="1:3">
      <c r="A1278" s="119">
        <v>1278</v>
      </c>
      <c r="B1278" s="119">
        <v>6.4929126657521707E-2</v>
      </c>
      <c r="C1278">
        <v>12</v>
      </c>
    </row>
    <row r="1279" spans="1:3">
      <c r="A1279" s="119">
        <v>1279</v>
      </c>
      <c r="B1279" s="119">
        <v>0.39826245999085508</v>
      </c>
      <c r="C1279">
        <v>33</v>
      </c>
    </row>
    <row r="1280" spans="1:3">
      <c r="A1280" s="119">
        <v>1280</v>
      </c>
      <c r="B1280" s="119">
        <v>0.73159579332418845</v>
      </c>
      <c r="C1280">
        <v>53</v>
      </c>
    </row>
    <row r="1281" spans="1:3">
      <c r="A1281" s="119">
        <v>1281</v>
      </c>
      <c r="B1281" s="119">
        <v>0.17604023776863281</v>
      </c>
      <c r="C1281">
        <v>20</v>
      </c>
    </row>
    <row r="1282" spans="1:3">
      <c r="A1282" s="119">
        <v>1282</v>
      </c>
      <c r="B1282" s="119">
        <v>0.50937357110196624</v>
      </c>
      <c r="C1282">
        <v>39</v>
      </c>
    </row>
    <row r="1283" spans="1:3">
      <c r="A1283" s="119">
        <v>1283</v>
      </c>
      <c r="B1283" s="119">
        <v>0.84270690443529939</v>
      </c>
      <c r="C1283">
        <v>63</v>
      </c>
    </row>
    <row r="1284" spans="1:3">
      <c r="A1284" s="119">
        <v>1284</v>
      </c>
      <c r="B1284" s="119">
        <v>0.28715134887974397</v>
      </c>
      <c r="C1284">
        <v>27</v>
      </c>
    </row>
    <row r="1285" spans="1:3">
      <c r="A1285" s="119">
        <v>1285</v>
      </c>
      <c r="B1285" s="119">
        <v>0.62048468221307729</v>
      </c>
      <c r="C1285">
        <v>45</v>
      </c>
    </row>
    <row r="1286" spans="1:3">
      <c r="A1286" s="119">
        <v>1286</v>
      </c>
      <c r="B1286" s="119">
        <v>0.95381801554641055</v>
      </c>
      <c r="C1286">
        <v>81</v>
      </c>
    </row>
    <row r="1287" spans="1:3">
      <c r="A1287" s="119">
        <v>1287</v>
      </c>
      <c r="B1287" s="119">
        <v>0.10196616369455874</v>
      </c>
      <c r="C1287">
        <v>15</v>
      </c>
    </row>
    <row r="1288" spans="1:3">
      <c r="A1288" s="119">
        <v>1288</v>
      </c>
      <c r="B1288" s="119">
        <v>0.43529949702789211</v>
      </c>
      <c r="C1288">
        <v>35</v>
      </c>
    </row>
    <row r="1289" spans="1:3">
      <c r="A1289" s="119">
        <v>1289</v>
      </c>
      <c r="B1289" s="119">
        <v>0.76863283036122543</v>
      </c>
      <c r="C1289">
        <v>56</v>
      </c>
    </row>
    <row r="1290" spans="1:3">
      <c r="A1290" s="119">
        <v>1290</v>
      </c>
      <c r="B1290" s="119">
        <v>0.21307727480566985</v>
      </c>
      <c r="C1290">
        <v>22</v>
      </c>
    </row>
    <row r="1291" spans="1:3">
      <c r="A1291" s="119">
        <v>1291</v>
      </c>
      <c r="B1291" s="119">
        <v>0.54641060813900322</v>
      </c>
      <c r="C1291">
        <v>41</v>
      </c>
    </row>
    <row r="1292" spans="1:3">
      <c r="A1292" s="119">
        <v>1292</v>
      </c>
      <c r="B1292" s="119">
        <v>0.87974394147233648</v>
      </c>
      <c r="C1292">
        <v>67</v>
      </c>
    </row>
    <row r="1293" spans="1:3">
      <c r="A1293" s="119">
        <v>1293</v>
      </c>
      <c r="B1293" s="119">
        <v>0.32418838591678101</v>
      </c>
      <c r="C1293">
        <v>29</v>
      </c>
    </row>
    <row r="1294" spans="1:3">
      <c r="A1294" s="119">
        <v>1294</v>
      </c>
      <c r="B1294" s="119">
        <v>0.65752171925011438</v>
      </c>
      <c r="C1294">
        <v>48</v>
      </c>
    </row>
    <row r="1295" spans="1:3">
      <c r="A1295" s="119">
        <v>1295</v>
      </c>
      <c r="B1295" s="119">
        <v>0.99085505258344764</v>
      </c>
      <c r="C1295">
        <v>101</v>
      </c>
    </row>
    <row r="1296" spans="1:3">
      <c r="A1296" s="119">
        <v>1296</v>
      </c>
      <c r="B1296" s="119">
        <v>7.3159579332418845E-3</v>
      </c>
      <c r="C1296">
        <v>3</v>
      </c>
    </row>
    <row r="1297" spans="1:3">
      <c r="A1297" s="119">
        <v>1297</v>
      </c>
      <c r="B1297" s="119">
        <v>0.34064929126657523</v>
      </c>
      <c r="C1297">
        <v>30</v>
      </c>
    </row>
    <row r="1298" spans="1:3">
      <c r="A1298" s="119">
        <v>1298</v>
      </c>
      <c r="B1298" s="119">
        <v>0.67398262459990854</v>
      </c>
      <c r="C1298">
        <v>49</v>
      </c>
    </row>
    <row r="1299" spans="1:3">
      <c r="A1299" s="119">
        <v>1299</v>
      </c>
      <c r="B1299" s="119">
        <v>0.11842706904435298</v>
      </c>
      <c r="C1299">
        <v>16</v>
      </c>
    </row>
    <row r="1300" spans="1:3">
      <c r="A1300" s="119">
        <v>1300</v>
      </c>
      <c r="B1300" s="119">
        <v>0.45176040237768633</v>
      </c>
      <c r="C1300">
        <v>36</v>
      </c>
    </row>
    <row r="1301" spans="1:3">
      <c r="A1301" s="119">
        <v>1301</v>
      </c>
      <c r="B1301" s="119">
        <v>0.78509373571101959</v>
      </c>
      <c r="C1301">
        <v>57</v>
      </c>
    </row>
    <row r="1302" spans="1:3">
      <c r="A1302" s="119">
        <v>1302</v>
      </c>
      <c r="B1302" s="119">
        <v>0.22953818015546409</v>
      </c>
      <c r="C1302">
        <v>23</v>
      </c>
    </row>
    <row r="1303" spans="1:3">
      <c r="A1303" s="119">
        <v>1303</v>
      </c>
      <c r="B1303" s="119">
        <v>0.56287151348879749</v>
      </c>
      <c r="C1303">
        <v>42</v>
      </c>
    </row>
    <row r="1304" spans="1:3">
      <c r="A1304" s="119">
        <v>1304</v>
      </c>
      <c r="B1304" s="119">
        <v>0.89620484682213075</v>
      </c>
      <c r="C1304">
        <v>70</v>
      </c>
    </row>
    <row r="1305" spans="1:3">
      <c r="A1305" s="119">
        <v>1305</v>
      </c>
      <c r="B1305" s="119">
        <v>4.4352994970278919E-2</v>
      </c>
      <c r="C1305">
        <v>9</v>
      </c>
    </row>
    <row r="1306" spans="1:3">
      <c r="A1306" s="119">
        <v>1306</v>
      </c>
      <c r="B1306" s="119">
        <v>0.37768632830361226</v>
      </c>
      <c r="C1306">
        <v>32</v>
      </c>
    </row>
    <row r="1307" spans="1:3">
      <c r="A1307" s="119">
        <v>1307</v>
      </c>
      <c r="B1307" s="119">
        <v>0.71101966163694563</v>
      </c>
      <c r="C1307">
        <v>51</v>
      </c>
    </row>
    <row r="1308" spans="1:3">
      <c r="A1308" s="119">
        <v>1308</v>
      </c>
      <c r="B1308" s="119">
        <v>0.15546410608139002</v>
      </c>
      <c r="C1308">
        <v>19</v>
      </c>
    </row>
    <row r="1309" spans="1:3">
      <c r="A1309" s="119">
        <v>1309</v>
      </c>
      <c r="B1309" s="119">
        <v>0.48879743941472337</v>
      </c>
      <c r="C1309">
        <v>38</v>
      </c>
    </row>
    <row r="1310" spans="1:3">
      <c r="A1310" s="119">
        <v>1310</v>
      </c>
      <c r="B1310" s="119">
        <v>0.82213077274805657</v>
      </c>
      <c r="C1310">
        <v>61</v>
      </c>
    </row>
    <row r="1311" spans="1:3">
      <c r="A1311" s="119">
        <v>1311</v>
      </c>
      <c r="B1311" s="119">
        <v>0.26657521719250116</v>
      </c>
      <c r="C1311">
        <v>25</v>
      </c>
    </row>
    <row r="1312" spans="1:3">
      <c r="A1312" s="119">
        <v>1312</v>
      </c>
      <c r="B1312" s="119">
        <v>0.59990855052583447</v>
      </c>
      <c r="C1312">
        <v>44</v>
      </c>
    </row>
    <row r="1313" spans="1:3">
      <c r="A1313" s="119">
        <v>1313</v>
      </c>
      <c r="B1313" s="119">
        <v>0.93324188385916773</v>
      </c>
      <c r="C1313">
        <v>76</v>
      </c>
    </row>
    <row r="1314" spans="1:3">
      <c r="A1314" s="119">
        <v>1314</v>
      </c>
      <c r="B1314" s="119">
        <v>8.1390032007315941E-2</v>
      </c>
      <c r="C1314">
        <v>13</v>
      </c>
    </row>
    <row r="1315" spans="1:3">
      <c r="A1315" s="119">
        <v>1315</v>
      </c>
      <c r="B1315" s="119">
        <v>0.4147233653406493</v>
      </c>
      <c r="C1315">
        <v>34</v>
      </c>
    </row>
    <row r="1316" spans="1:3">
      <c r="A1316" s="119">
        <v>1316</v>
      </c>
      <c r="B1316" s="119">
        <v>0.74805669867398261</v>
      </c>
      <c r="C1316">
        <v>54</v>
      </c>
    </row>
    <row r="1317" spans="1:3">
      <c r="A1317" s="119">
        <v>1317</v>
      </c>
      <c r="B1317" s="119">
        <v>0.19250114311842706</v>
      </c>
      <c r="C1317">
        <v>21</v>
      </c>
    </row>
    <row r="1318" spans="1:3">
      <c r="A1318" s="119">
        <v>1318</v>
      </c>
      <c r="B1318" s="119">
        <v>0.5258344764517604</v>
      </c>
      <c r="C1318">
        <v>40</v>
      </c>
    </row>
    <row r="1319" spans="1:3">
      <c r="A1319" s="119">
        <v>1319</v>
      </c>
      <c r="B1319" s="119">
        <v>0.85916780978509366</v>
      </c>
      <c r="C1319">
        <v>65</v>
      </c>
    </row>
    <row r="1320" spans="1:3">
      <c r="A1320" s="119">
        <v>1320</v>
      </c>
      <c r="B1320" s="119">
        <v>0.30361225422953819</v>
      </c>
      <c r="C1320">
        <v>28</v>
      </c>
    </row>
    <row r="1321" spans="1:3">
      <c r="A1321" s="119">
        <v>1321</v>
      </c>
      <c r="B1321" s="119">
        <v>0.63694558756287156</v>
      </c>
      <c r="C1321">
        <v>46</v>
      </c>
    </row>
    <row r="1322" spans="1:3">
      <c r="A1322" s="119">
        <v>1322</v>
      </c>
      <c r="B1322" s="119">
        <v>0.97027892089620482</v>
      </c>
      <c r="C1322">
        <v>87</v>
      </c>
    </row>
    <row r="1323" spans="1:3">
      <c r="A1323" s="119">
        <v>1323</v>
      </c>
      <c r="B1323" s="119">
        <v>1.9661636945587563E-2</v>
      </c>
      <c r="C1323">
        <v>6</v>
      </c>
    </row>
    <row r="1324" spans="1:3">
      <c r="A1324" s="119">
        <v>1324</v>
      </c>
      <c r="B1324" s="119">
        <v>0.35299497027892091</v>
      </c>
      <c r="C1324">
        <v>30</v>
      </c>
    </row>
    <row r="1325" spans="1:3">
      <c r="A1325" s="119">
        <v>1325</v>
      </c>
      <c r="B1325" s="119">
        <v>0.68632830361225416</v>
      </c>
      <c r="C1325">
        <v>50</v>
      </c>
    </row>
    <row r="1326" spans="1:3">
      <c r="A1326" s="119">
        <v>1326</v>
      </c>
      <c r="B1326" s="119">
        <v>0.13077274805669867</v>
      </c>
      <c r="C1326">
        <v>17</v>
      </c>
    </row>
    <row r="1327" spans="1:3">
      <c r="A1327" s="119">
        <v>1327</v>
      </c>
      <c r="B1327" s="119">
        <v>0.46410608139003201</v>
      </c>
      <c r="C1327">
        <v>36</v>
      </c>
    </row>
    <row r="1328" spans="1:3">
      <c r="A1328" s="119">
        <v>1328</v>
      </c>
      <c r="B1328" s="119">
        <v>0.79743941472336533</v>
      </c>
      <c r="C1328">
        <v>58</v>
      </c>
    </row>
    <row r="1329" spans="1:3">
      <c r="A1329" s="119">
        <v>1329</v>
      </c>
      <c r="B1329" s="119">
        <v>0.24188385916780977</v>
      </c>
      <c r="C1329">
        <v>24</v>
      </c>
    </row>
    <row r="1330" spans="1:3">
      <c r="A1330" s="119">
        <v>1330</v>
      </c>
      <c r="B1330" s="119">
        <v>0.57521719250114323</v>
      </c>
      <c r="C1330">
        <v>43</v>
      </c>
    </row>
    <row r="1331" spans="1:3">
      <c r="A1331" s="119">
        <v>1331</v>
      </c>
      <c r="B1331" s="119">
        <v>0.90855052583447649</v>
      </c>
      <c r="C1331">
        <v>72</v>
      </c>
    </row>
    <row r="1332" spans="1:3">
      <c r="A1332" s="119">
        <v>1332</v>
      </c>
      <c r="B1332" s="119">
        <v>5.6698673982624598E-2</v>
      </c>
      <c r="C1332">
        <v>11</v>
      </c>
    </row>
    <row r="1333" spans="1:3">
      <c r="A1333" s="119">
        <v>1333</v>
      </c>
      <c r="B1333" s="119">
        <v>0.39003200731595794</v>
      </c>
      <c r="C1333">
        <v>32</v>
      </c>
    </row>
    <row r="1334" spans="1:3">
      <c r="A1334" s="119">
        <v>1334</v>
      </c>
      <c r="B1334" s="119">
        <v>0.72336534064929137</v>
      </c>
      <c r="C1334">
        <v>52</v>
      </c>
    </row>
    <row r="1335" spans="1:3">
      <c r="A1335" s="119">
        <v>1335</v>
      </c>
      <c r="B1335" s="119">
        <v>0.1678097850937357</v>
      </c>
      <c r="C1335">
        <v>19</v>
      </c>
    </row>
    <row r="1336" spans="1:3">
      <c r="A1336" s="119">
        <v>1336</v>
      </c>
      <c r="B1336" s="119">
        <v>0.50114311842706905</v>
      </c>
      <c r="C1336">
        <v>38</v>
      </c>
    </row>
    <row r="1337" spans="1:3">
      <c r="A1337" s="119">
        <v>1337</v>
      </c>
      <c r="B1337" s="119">
        <v>0.8344764517604023</v>
      </c>
      <c r="C1337">
        <v>62</v>
      </c>
    </row>
    <row r="1338" spans="1:3">
      <c r="A1338" s="119">
        <v>1338</v>
      </c>
      <c r="B1338" s="119">
        <v>0.27892089620484684</v>
      </c>
      <c r="C1338">
        <v>26</v>
      </c>
    </row>
    <row r="1339" spans="1:3">
      <c r="A1339" s="119">
        <v>1339</v>
      </c>
      <c r="B1339" s="119">
        <v>0.61225422953818021</v>
      </c>
      <c r="C1339">
        <v>45</v>
      </c>
    </row>
    <row r="1340" spans="1:3">
      <c r="A1340" s="119">
        <v>1340</v>
      </c>
      <c r="B1340" s="119">
        <v>0.94558756287151347</v>
      </c>
      <c r="C1340">
        <v>79</v>
      </c>
    </row>
    <row r="1341" spans="1:3">
      <c r="A1341" s="119">
        <v>1341</v>
      </c>
      <c r="B1341" s="119">
        <v>9.3735711019661619E-2</v>
      </c>
      <c r="C1341">
        <v>14</v>
      </c>
    </row>
    <row r="1342" spans="1:3">
      <c r="A1342" s="119">
        <v>1342</v>
      </c>
      <c r="B1342" s="119">
        <v>0.42706904435299498</v>
      </c>
      <c r="C1342">
        <v>34</v>
      </c>
    </row>
    <row r="1343" spans="1:3">
      <c r="A1343" s="119">
        <v>1343</v>
      </c>
      <c r="B1343" s="119">
        <v>0.76040237768632835</v>
      </c>
      <c r="C1343">
        <v>55</v>
      </c>
    </row>
    <row r="1344" spans="1:3">
      <c r="A1344" s="119">
        <v>1344</v>
      </c>
      <c r="B1344" s="119">
        <v>0.20484682213077274</v>
      </c>
      <c r="C1344">
        <v>22</v>
      </c>
    </row>
    <row r="1345" spans="1:3">
      <c r="A1345" s="119">
        <v>1345</v>
      </c>
      <c r="B1345" s="119">
        <v>0.53818015546410602</v>
      </c>
      <c r="C1345">
        <v>40</v>
      </c>
    </row>
    <row r="1346" spans="1:3">
      <c r="A1346" s="119">
        <v>1346</v>
      </c>
      <c r="B1346" s="119">
        <v>0.87151348879743928</v>
      </c>
      <c r="C1346">
        <v>66</v>
      </c>
    </row>
    <row r="1347" spans="1:3">
      <c r="A1347" s="119">
        <v>1347</v>
      </c>
      <c r="B1347" s="119">
        <v>0.31595793324188387</v>
      </c>
      <c r="C1347">
        <v>28</v>
      </c>
    </row>
    <row r="1348" spans="1:3">
      <c r="A1348" s="119">
        <v>1348</v>
      </c>
      <c r="B1348" s="119">
        <v>0.64929126657521719</v>
      </c>
      <c r="C1348">
        <v>47</v>
      </c>
    </row>
    <row r="1349" spans="1:3">
      <c r="A1349" s="119">
        <v>1349</v>
      </c>
      <c r="B1349" s="119">
        <v>0.98262459990855044</v>
      </c>
      <c r="C1349">
        <v>93</v>
      </c>
    </row>
    <row r="1350" spans="1:3">
      <c r="A1350" s="119">
        <v>1350</v>
      </c>
      <c r="B1350" s="119">
        <v>3.2007315957933241E-2</v>
      </c>
      <c r="C1350">
        <v>8</v>
      </c>
    </row>
    <row r="1351" spans="1:3">
      <c r="A1351" s="119">
        <v>1351</v>
      </c>
      <c r="B1351" s="119">
        <v>0.36534064929126658</v>
      </c>
      <c r="C1351">
        <v>31</v>
      </c>
    </row>
    <row r="1352" spans="1:3">
      <c r="A1352" s="119">
        <v>1352</v>
      </c>
      <c r="B1352" s="119">
        <v>0.6986739826245999</v>
      </c>
      <c r="C1352">
        <v>51</v>
      </c>
    </row>
    <row r="1353" spans="1:3">
      <c r="A1353" s="119">
        <v>1353</v>
      </c>
      <c r="B1353" s="119">
        <v>0.14311842706904435</v>
      </c>
      <c r="C1353">
        <v>18</v>
      </c>
    </row>
    <row r="1354" spans="1:3">
      <c r="A1354" s="119">
        <v>1354</v>
      </c>
      <c r="B1354" s="119">
        <v>0.47645176040237769</v>
      </c>
      <c r="C1354">
        <v>37</v>
      </c>
    </row>
    <row r="1355" spans="1:3">
      <c r="A1355" s="119">
        <v>1355</v>
      </c>
      <c r="B1355" s="119">
        <v>0.80978509373571095</v>
      </c>
      <c r="C1355">
        <v>60</v>
      </c>
    </row>
    <row r="1356" spans="1:3">
      <c r="A1356" s="119">
        <v>1356</v>
      </c>
      <c r="B1356" s="119">
        <v>0.25422953818015548</v>
      </c>
      <c r="C1356">
        <v>25</v>
      </c>
    </row>
    <row r="1357" spans="1:3">
      <c r="A1357" s="119">
        <v>1357</v>
      </c>
      <c r="B1357" s="119">
        <v>0.58756287151348885</v>
      </c>
      <c r="C1357">
        <v>43</v>
      </c>
    </row>
    <row r="1358" spans="1:3">
      <c r="A1358" s="119">
        <v>1358</v>
      </c>
      <c r="B1358" s="119">
        <v>0.92089620484682211</v>
      </c>
      <c r="C1358">
        <v>74</v>
      </c>
    </row>
    <row r="1359" spans="1:3">
      <c r="A1359" s="119">
        <v>1359</v>
      </c>
      <c r="B1359" s="119">
        <v>6.9044352994970262E-2</v>
      </c>
      <c r="C1359">
        <v>12</v>
      </c>
    </row>
    <row r="1360" spans="1:3">
      <c r="A1360" s="119">
        <v>1360</v>
      </c>
      <c r="B1360" s="119">
        <v>0.40237768632830362</v>
      </c>
      <c r="C1360">
        <v>33</v>
      </c>
    </row>
    <row r="1361" spans="1:3">
      <c r="A1361" s="119">
        <v>1361</v>
      </c>
      <c r="B1361" s="119">
        <v>0.73571101966163699</v>
      </c>
      <c r="C1361">
        <v>53</v>
      </c>
    </row>
    <row r="1362" spans="1:3">
      <c r="A1362" s="119">
        <v>1362</v>
      </c>
      <c r="B1362" s="119">
        <v>0.18015546410608138</v>
      </c>
      <c r="C1362">
        <v>20</v>
      </c>
    </row>
    <row r="1363" spans="1:3">
      <c r="A1363" s="119">
        <v>1363</v>
      </c>
      <c r="B1363" s="119">
        <v>0.51348879743941478</v>
      </c>
      <c r="C1363">
        <v>39</v>
      </c>
    </row>
    <row r="1364" spans="1:3">
      <c r="A1364" s="119">
        <v>1364</v>
      </c>
      <c r="B1364" s="119">
        <v>0.84682213077274793</v>
      </c>
      <c r="C1364">
        <v>63</v>
      </c>
    </row>
    <row r="1365" spans="1:3">
      <c r="A1365" s="119">
        <v>1365</v>
      </c>
      <c r="B1365" s="119">
        <v>0.29126657521719251</v>
      </c>
      <c r="C1365">
        <v>27</v>
      </c>
    </row>
    <row r="1366" spans="1:3">
      <c r="A1366" s="119">
        <v>1366</v>
      </c>
      <c r="B1366" s="119">
        <v>0.62459990855052583</v>
      </c>
      <c r="C1366">
        <v>46</v>
      </c>
    </row>
    <row r="1367" spans="1:3">
      <c r="A1367" s="119">
        <v>1367</v>
      </c>
      <c r="B1367" s="119">
        <v>0.95793324188385909</v>
      </c>
      <c r="C1367">
        <v>82</v>
      </c>
    </row>
    <row r="1368" spans="1:3">
      <c r="A1368" s="119">
        <v>1368</v>
      </c>
      <c r="B1368" s="119">
        <v>0.1060813900320073</v>
      </c>
      <c r="C1368">
        <v>15</v>
      </c>
    </row>
    <row r="1369" spans="1:3">
      <c r="A1369" s="119">
        <v>1369</v>
      </c>
      <c r="B1369" s="119">
        <v>0.43941472336534065</v>
      </c>
      <c r="C1369">
        <v>35</v>
      </c>
    </row>
    <row r="1370" spans="1:3">
      <c r="A1370" s="119">
        <v>1370</v>
      </c>
      <c r="B1370" s="119">
        <v>0.77274805669867397</v>
      </c>
      <c r="C1370">
        <v>56</v>
      </c>
    </row>
    <row r="1371" spans="1:3">
      <c r="A1371" s="119">
        <v>1371</v>
      </c>
      <c r="B1371" s="119">
        <v>0.21719250114311842</v>
      </c>
      <c r="C1371">
        <v>23</v>
      </c>
    </row>
    <row r="1372" spans="1:3">
      <c r="A1372" s="119">
        <v>1372</v>
      </c>
      <c r="B1372" s="119">
        <v>0.55052583447645176</v>
      </c>
      <c r="C1372">
        <v>41</v>
      </c>
    </row>
    <row r="1373" spans="1:3">
      <c r="A1373" s="119">
        <v>1373</v>
      </c>
      <c r="B1373" s="119">
        <v>0.88385916780978502</v>
      </c>
      <c r="C1373">
        <v>68</v>
      </c>
    </row>
    <row r="1374" spans="1:3">
      <c r="A1374" s="119">
        <v>1374</v>
      </c>
      <c r="B1374" s="119">
        <v>0.32830361225422955</v>
      </c>
      <c r="C1374">
        <v>29</v>
      </c>
    </row>
    <row r="1375" spans="1:3">
      <c r="A1375" s="119">
        <v>1375</v>
      </c>
      <c r="B1375" s="119">
        <v>0.66163694558756292</v>
      </c>
      <c r="C1375">
        <v>48</v>
      </c>
    </row>
    <row r="1376" spans="1:3">
      <c r="A1376" s="119">
        <v>1376</v>
      </c>
      <c r="B1376" s="119">
        <v>0.99497027892089618</v>
      </c>
      <c r="C1376">
        <v>105</v>
      </c>
    </row>
    <row r="1377" spans="1:3">
      <c r="A1377" s="119">
        <v>1377</v>
      </c>
      <c r="B1377" s="119">
        <v>1.1431184270690445E-2</v>
      </c>
      <c r="C1377">
        <v>4</v>
      </c>
    </row>
    <row r="1378" spans="1:3">
      <c r="A1378" s="119">
        <v>1378</v>
      </c>
      <c r="B1378" s="119">
        <v>0.34476451760402382</v>
      </c>
      <c r="C1378">
        <v>30</v>
      </c>
    </row>
    <row r="1379" spans="1:3">
      <c r="A1379" s="119">
        <v>1379</v>
      </c>
      <c r="B1379" s="119">
        <v>0.67809785093735708</v>
      </c>
      <c r="C1379">
        <v>49</v>
      </c>
    </row>
    <row r="1380" spans="1:3">
      <c r="A1380" s="119">
        <v>1380</v>
      </c>
      <c r="B1380" s="119">
        <v>0.12254229538180154</v>
      </c>
      <c r="C1380">
        <v>16</v>
      </c>
    </row>
    <row r="1381" spans="1:3">
      <c r="A1381" s="119">
        <v>1381</v>
      </c>
      <c r="B1381" s="119">
        <v>0.45587562871513493</v>
      </c>
      <c r="C1381">
        <v>36</v>
      </c>
    </row>
    <row r="1382" spans="1:3">
      <c r="A1382" s="119">
        <v>1382</v>
      </c>
      <c r="B1382" s="119">
        <v>0.78920896204846813</v>
      </c>
      <c r="C1382">
        <v>58</v>
      </c>
    </row>
    <row r="1383" spans="1:3">
      <c r="A1383" s="119">
        <v>1383</v>
      </c>
      <c r="B1383" s="119">
        <v>0.23365340649291264</v>
      </c>
      <c r="C1383">
        <v>24</v>
      </c>
    </row>
    <row r="1384" spans="1:3">
      <c r="A1384" s="119">
        <v>1384</v>
      </c>
      <c r="B1384" s="119">
        <v>0.56698673982624603</v>
      </c>
      <c r="C1384">
        <v>42</v>
      </c>
    </row>
    <row r="1385" spans="1:3">
      <c r="A1385" s="119">
        <v>1385</v>
      </c>
      <c r="B1385" s="119">
        <v>0.90032007315957929</v>
      </c>
      <c r="C1385">
        <v>70</v>
      </c>
    </row>
    <row r="1386" spans="1:3">
      <c r="A1386" s="119">
        <v>1386</v>
      </c>
      <c r="B1386" s="119">
        <v>4.8468221307727481E-2</v>
      </c>
      <c r="C1386">
        <v>10</v>
      </c>
    </row>
    <row r="1387" spans="1:3">
      <c r="A1387" s="119">
        <v>1387</v>
      </c>
      <c r="B1387" s="119">
        <v>0.38180155464106086</v>
      </c>
      <c r="C1387">
        <v>32</v>
      </c>
    </row>
    <row r="1388" spans="1:3">
      <c r="A1388" s="119">
        <v>1388</v>
      </c>
      <c r="B1388" s="119">
        <v>0.71513488797439417</v>
      </c>
      <c r="C1388">
        <v>52</v>
      </c>
    </row>
    <row r="1389" spans="1:3">
      <c r="A1389" s="119">
        <v>1389</v>
      </c>
      <c r="B1389" s="119">
        <v>0.15957933241883857</v>
      </c>
      <c r="C1389">
        <v>19</v>
      </c>
    </row>
    <row r="1390" spans="1:3">
      <c r="A1390" s="119">
        <v>1390</v>
      </c>
      <c r="B1390" s="119">
        <v>0.49291266575217196</v>
      </c>
      <c r="C1390">
        <v>38</v>
      </c>
    </row>
    <row r="1391" spans="1:3">
      <c r="A1391" s="119">
        <v>1391</v>
      </c>
      <c r="B1391" s="119">
        <v>0.82624599908550511</v>
      </c>
      <c r="C1391">
        <v>61</v>
      </c>
    </row>
    <row r="1392" spans="1:3">
      <c r="A1392" s="119">
        <v>1392</v>
      </c>
      <c r="B1392" s="119">
        <v>0.27069044352994975</v>
      </c>
      <c r="C1392">
        <v>26</v>
      </c>
    </row>
    <row r="1393" spans="1:3">
      <c r="A1393" s="119">
        <v>1393</v>
      </c>
      <c r="B1393" s="119">
        <v>0.60402377686328301</v>
      </c>
      <c r="C1393">
        <v>44</v>
      </c>
    </row>
    <row r="1394" spans="1:3">
      <c r="A1394" s="119">
        <v>1394</v>
      </c>
      <c r="B1394" s="119">
        <v>0.93735711019661627</v>
      </c>
      <c r="C1394">
        <v>77</v>
      </c>
    </row>
    <row r="1395" spans="1:3">
      <c r="A1395" s="119">
        <v>1395</v>
      </c>
      <c r="B1395" s="119">
        <v>8.5505258344764509E-2</v>
      </c>
      <c r="C1395">
        <v>13</v>
      </c>
    </row>
    <row r="1396" spans="1:3">
      <c r="A1396" s="119">
        <v>1396</v>
      </c>
      <c r="B1396" s="119">
        <v>0.41883859167809789</v>
      </c>
      <c r="C1396">
        <v>34</v>
      </c>
    </row>
    <row r="1397" spans="1:3">
      <c r="A1397" s="119">
        <v>1397</v>
      </c>
      <c r="B1397" s="119">
        <v>0.75217192501143115</v>
      </c>
      <c r="C1397">
        <v>55</v>
      </c>
    </row>
    <row r="1398" spans="1:3">
      <c r="A1398" s="119">
        <v>1398</v>
      </c>
      <c r="B1398" s="119">
        <v>0.1966163694558756</v>
      </c>
      <c r="C1398">
        <v>21</v>
      </c>
    </row>
    <row r="1399" spans="1:3">
      <c r="A1399" s="119">
        <v>1399</v>
      </c>
      <c r="B1399" s="119">
        <v>0.52994970278920894</v>
      </c>
      <c r="C1399">
        <v>40</v>
      </c>
    </row>
    <row r="1400" spans="1:3">
      <c r="A1400" s="119">
        <v>1400</v>
      </c>
      <c r="B1400" s="119">
        <v>0.8632830361225422</v>
      </c>
      <c r="C1400">
        <v>65</v>
      </c>
    </row>
    <row r="1401" spans="1:3">
      <c r="A1401" s="119">
        <v>1401</v>
      </c>
      <c r="B1401" s="119">
        <v>0.30772748056698679</v>
      </c>
      <c r="C1401">
        <v>28</v>
      </c>
    </row>
    <row r="1402" spans="1:3">
      <c r="A1402" s="119">
        <v>1402</v>
      </c>
      <c r="B1402" s="119">
        <v>0.6410608139003201</v>
      </c>
      <c r="C1402">
        <v>47</v>
      </c>
    </row>
    <row r="1403" spans="1:3">
      <c r="A1403" s="119">
        <v>1403</v>
      </c>
      <c r="B1403" s="119">
        <v>0.97439414723365336</v>
      </c>
      <c r="C1403">
        <v>89</v>
      </c>
    </row>
    <row r="1404" spans="1:3">
      <c r="A1404" s="119">
        <v>1404</v>
      </c>
      <c r="B1404" s="119">
        <v>2.3776863283036121E-2</v>
      </c>
      <c r="C1404">
        <v>7</v>
      </c>
    </row>
    <row r="1405" spans="1:3">
      <c r="A1405" s="119">
        <v>1405</v>
      </c>
      <c r="B1405" s="119">
        <v>0.3571101966163695</v>
      </c>
      <c r="C1405">
        <v>30</v>
      </c>
    </row>
    <row r="1406" spans="1:3">
      <c r="A1406" s="119">
        <v>1406</v>
      </c>
      <c r="B1406" s="119">
        <v>0.69044352994970271</v>
      </c>
      <c r="C1406">
        <v>50</v>
      </c>
    </row>
    <row r="1407" spans="1:3">
      <c r="A1407" s="119">
        <v>1407</v>
      </c>
      <c r="B1407" s="119">
        <v>0.13488797439414721</v>
      </c>
      <c r="C1407">
        <v>17</v>
      </c>
    </row>
    <row r="1408" spans="1:3">
      <c r="A1408" s="119">
        <v>1408</v>
      </c>
      <c r="B1408" s="119">
        <v>0.46822130772748061</v>
      </c>
      <c r="C1408">
        <v>37</v>
      </c>
    </row>
    <row r="1409" spans="1:3">
      <c r="A1409" s="119">
        <v>1409</v>
      </c>
      <c r="B1409" s="119">
        <v>0.80155464106081387</v>
      </c>
      <c r="C1409">
        <v>59</v>
      </c>
    </row>
    <row r="1410" spans="1:3">
      <c r="A1410" s="119">
        <v>1410</v>
      </c>
      <c r="B1410" s="119">
        <v>0.24599908550525831</v>
      </c>
      <c r="C1410">
        <v>24</v>
      </c>
    </row>
    <row r="1411" spans="1:3">
      <c r="A1411" s="119">
        <v>1411</v>
      </c>
      <c r="B1411" s="119">
        <v>0.57933241883859177</v>
      </c>
      <c r="C1411">
        <v>43</v>
      </c>
    </row>
    <row r="1412" spans="1:3">
      <c r="A1412" s="119">
        <v>1412</v>
      </c>
      <c r="B1412" s="119">
        <v>0.91266575217192503</v>
      </c>
      <c r="C1412">
        <v>72</v>
      </c>
    </row>
    <row r="1413" spans="1:3">
      <c r="A1413" s="119">
        <v>1413</v>
      </c>
      <c r="B1413" s="119">
        <v>6.081390032007316E-2</v>
      </c>
      <c r="C1413">
        <v>11</v>
      </c>
    </row>
    <row r="1414" spans="1:3">
      <c r="A1414" s="119">
        <v>1414</v>
      </c>
      <c r="B1414" s="119">
        <v>0.39414723365340654</v>
      </c>
      <c r="C1414">
        <v>33</v>
      </c>
    </row>
    <row r="1415" spans="1:3">
      <c r="A1415" s="119">
        <v>1415</v>
      </c>
      <c r="B1415" s="119">
        <v>0.72748056698673991</v>
      </c>
      <c r="C1415">
        <v>53</v>
      </c>
    </row>
    <row r="1416" spans="1:3">
      <c r="A1416" s="119">
        <v>1416</v>
      </c>
      <c r="B1416" s="119">
        <v>0.17192501143118424</v>
      </c>
      <c r="C1416">
        <v>20</v>
      </c>
    </row>
    <row r="1417" spans="1:3">
      <c r="A1417" s="119">
        <v>1417</v>
      </c>
      <c r="B1417" s="119">
        <v>0.50525834476451759</v>
      </c>
      <c r="C1417">
        <v>39</v>
      </c>
    </row>
    <row r="1418" spans="1:3">
      <c r="A1418" s="119">
        <v>1418</v>
      </c>
      <c r="B1418" s="119">
        <v>0.83859167809785085</v>
      </c>
      <c r="C1418">
        <v>62</v>
      </c>
    </row>
    <row r="1419" spans="1:3">
      <c r="A1419" s="119">
        <v>1419</v>
      </c>
      <c r="B1419" s="119">
        <v>0.28303612254229543</v>
      </c>
      <c r="C1419">
        <v>26</v>
      </c>
    </row>
    <row r="1420" spans="1:3">
      <c r="A1420" s="119">
        <v>1420</v>
      </c>
      <c r="B1420" s="119">
        <v>0.61636945587562875</v>
      </c>
      <c r="C1420">
        <v>45</v>
      </c>
    </row>
    <row r="1421" spans="1:3">
      <c r="A1421" s="119">
        <v>1421</v>
      </c>
      <c r="B1421" s="119">
        <v>0.94970278920896201</v>
      </c>
      <c r="C1421">
        <v>80</v>
      </c>
    </row>
    <row r="1422" spans="1:3">
      <c r="A1422" s="119">
        <v>1422</v>
      </c>
      <c r="B1422" s="119">
        <v>9.7850937357110188E-2</v>
      </c>
      <c r="C1422">
        <v>14</v>
      </c>
    </row>
    <row r="1423" spans="1:3">
      <c r="A1423" s="119">
        <v>1423</v>
      </c>
      <c r="B1423" s="119">
        <v>0.43118427069044357</v>
      </c>
      <c r="C1423">
        <v>35</v>
      </c>
    </row>
    <row r="1424" spans="1:3">
      <c r="A1424" s="119">
        <v>1424</v>
      </c>
      <c r="B1424" s="119">
        <v>0.76451760402377689</v>
      </c>
      <c r="C1424">
        <v>56</v>
      </c>
    </row>
    <row r="1425" spans="1:3">
      <c r="A1425" s="119">
        <v>1425</v>
      </c>
      <c r="B1425" s="119">
        <v>0.20896204846822128</v>
      </c>
      <c r="C1425">
        <v>22</v>
      </c>
    </row>
    <row r="1426" spans="1:3">
      <c r="A1426" s="119">
        <v>1426</v>
      </c>
      <c r="B1426" s="119">
        <v>0.54229538180155457</v>
      </c>
      <c r="C1426">
        <v>41</v>
      </c>
    </row>
    <row r="1427" spans="1:3">
      <c r="A1427" s="119">
        <v>1427</v>
      </c>
      <c r="B1427" s="119">
        <v>0.87562871513488783</v>
      </c>
      <c r="C1427">
        <v>67</v>
      </c>
    </row>
    <row r="1428" spans="1:3">
      <c r="A1428" s="119">
        <v>1428</v>
      </c>
      <c r="B1428" s="119">
        <v>0.32007315957933247</v>
      </c>
      <c r="C1428">
        <v>28</v>
      </c>
    </row>
    <row r="1429" spans="1:3">
      <c r="A1429" s="119">
        <v>1429</v>
      </c>
      <c r="B1429" s="119">
        <v>0.65340649291266573</v>
      </c>
      <c r="C1429">
        <v>47</v>
      </c>
    </row>
    <row r="1430" spans="1:3">
      <c r="A1430" s="119">
        <v>1430</v>
      </c>
      <c r="B1430" s="119">
        <v>0.98673982624599899</v>
      </c>
      <c r="C1430">
        <v>96</v>
      </c>
    </row>
    <row r="1431" spans="1:3">
      <c r="A1431" s="119">
        <v>1431</v>
      </c>
      <c r="B1431" s="119">
        <v>3.6122542295381803E-2</v>
      </c>
      <c r="C1431">
        <v>8</v>
      </c>
    </row>
    <row r="1432" spans="1:3">
      <c r="A1432" s="119">
        <v>1432</v>
      </c>
      <c r="B1432" s="119">
        <v>0.36945587562871518</v>
      </c>
      <c r="C1432">
        <v>31</v>
      </c>
    </row>
    <row r="1433" spans="1:3">
      <c r="A1433" s="119">
        <v>1433</v>
      </c>
      <c r="B1433" s="119">
        <v>0.70278920896204844</v>
      </c>
      <c r="C1433">
        <v>51</v>
      </c>
    </row>
    <row r="1434" spans="1:3">
      <c r="A1434" s="119">
        <v>1434</v>
      </c>
      <c r="B1434" s="119">
        <v>0.14723365340649289</v>
      </c>
      <c r="C1434">
        <v>18</v>
      </c>
    </row>
    <row r="1435" spans="1:3">
      <c r="A1435" s="119">
        <v>1435</v>
      </c>
      <c r="B1435" s="119">
        <v>0.48056698673982629</v>
      </c>
      <c r="C1435">
        <v>37</v>
      </c>
    </row>
    <row r="1436" spans="1:3">
      <c r="A1436" s="119">
        <v>1436</v>
      </c>
      <c r="B1436" s="119">
        <v>0.81390032007315949</v>
      </c>
      <c r="C1436">
        <v>60</v>
      </c>
    </row>
    <row r="1437" spans="1:3">
      <c r="A1437" s="119">
        <v>1437</v>
      </c>
      <c r="B1437" s="119">
        <v>0.25834476451760408</v>
      </c>
      <c r="C1437">
        <v>25</v>
      </c>
    </row>
    <row r="1438" spans="1:3">
      <c r="A1438" s="119">
        <v>1438</v>
      </c>
      <c r="B1438" s="119">
        <v>0.59167809785093739</v>
      </c>
      <c r="C1438">
        <v>44</v>
      </c>
    </row>
    <row r="1439" spans="1:3">
      <c r="A1439" s="119">
        <v>1439</v>
      </c>
      <c r="B1439" s="119">
        <v>0.92501143118427065</v>
      </c>
      <c r="C1439">
        <v>75</v>
      </c>
    </row>
    <row r="1440" spans="1:3">
      <c r="A1440" s="119">
        <v>1440</v>
      </c>
      <c r="B1440" s="119">
        <v>7.3159579332418831E-2</v>
      </c>
      <c r="C1440">
        <v>12</v>
      </c>
    </row>
    <row r="1441" spans="1:3">
      <c r="A1441" s="119">
        <v>1441</v>
      </c>
      <c r="B1441" s="119">
        <v>0.40649291266575222</v>
      </c>
      <c r="C1441">
        <v>33</v>
      </c>
    </row>
    <row r="1442" spans="1:3">
      <c r="A1442" s="119">
        <v>1442</v>
      </c>
      <c r="B1442" s="119">
        <v>0.73982624599908553</v>
      </c>
      <c r="C1442">
        <v>54</v>
      </c>
    </row>
    <row r="1443" spans="1:3">
      <c r="A1443" s="119">
        <v>1443</v>
      </c>
      <c r="B1443" s="119">
        <v>0.18427069044352992</v>
      </c>
      <c r="C1443">
        <v>21</v>
      </c>
    </row>
    <row r="1444" spans="1:3">
      <c r="A1444" s="119">
        <v>1444</v>
      </c>
      <c r="B1444" s="119">
        <v>0.51760402377686332</v>
      </c>
      <c r="C1444">
        <v>39</v>
      </c>
    </row>
    <row r="1445" spans="1:3">
      <c r="A1445" s="119">
        <v>1445</v>
      </c>
      <c r="B1445" s="119">
        <v>0.85093735711019647</v>
      </c>
      <c r="C1445">
        <v>64</v>
      </c>
    </row>
    <row r="1446" spans="1:3">
      <c r="A1446" s="119">
        <v>1446</v>
      </c>
      <c r="B1446" s="119">
        <v>0.29538180155464111</v>
      </c>
      <c r="C1446">
        <v>27</v>
      </c>
    </row>
    <row r="1447" spans="1:3">
      <c r="A1447" s="119">
        <v>1447</v>
      </c>
      <c r="B1447" s="119">
        <v>0.62871513488797437</v>
      </c>
      <c r="C1447">
        <v>46</v>
      </c>
    </row>
    <row r="1448" spans="1:3">
      <c r="A1448" s="119">
        <v>1448</v>
      </c>
      <c r="B1448" s="119">
        <v>0.96204846822130763</v>
      </c>
      <c r="C1448">
        <v>84</v>
      </c>
    </row>
    <row r="1449" spans="1:3">
      <c r="A1449" s="119">
        <v>1449</v>
      </c>
      <c r="B1449" s="119">
        <v>0.11019661636945587</v>
      </c>
      <c r="C1449">
        <v>15</v>
      </c>
    </row>
    <row r="1450" spans="1:3">
      <c r="A1450" s="119">
        <v>1450</v>
      </c>
      <c r="B1450" s="119">
        <v>0.44352994970278925</v>
      </c>
      <c r="C1450">
        <v>35</v>
      </c>
    </row>
    <row r="1451" spans="1:3">
      <c r="A1451" s="119">
        <v>1451</v>
      </c>
      <c r="B1451" s="119">
        <v>0.77686328303612251</v>
      </c>
      <c r="C1451">
        <v>57</v>
      </c>
    </row>
    <row r="1452" spans="1:3">
      <c r="A1452" s="119">
        <v>1452</v>
      </c>
      <c r="B1452" s="119">
        <v>0.22130772748056696</v>
      </c>
      <c r="C1452">
        <v>23</v>
      </c>
    </row>
    <row r="1453" spans="1:3">
      <c r="A1453" s="119">
        <v>1453</v>
      </c>
      <c r="B1453" s="119">
        <v>0.5546410608139003</v>
      </c>
      <c r="C1453">
        <v>41</v>
      </c>
    </row>
    <row r="1454" spans="1:3">
      <c r="A1454" s="119">
        <v>1454</v>
      </c>
      <c r="B1454" s="119">
        <v>0.88797439414723356</v>
      </c>
      <c r="C1454">
        <v>68</v>
      </c>
    </row>
    <row r="1455" spans="1:3">
      <c r="A1455" s="119">
        <v>1455</v>
      </c>
      <c r="B1455" s="119">
        <v>0.33241883859167815</v>
      </c>
      <c r="C1455">
        <v>29</v>
      </c>
    </row>
    <row r="1456" spans="1:3">
      <c r="A1456" s="119">
        <v>1456</v>
      </c>
      <c r="B1456" s="119">
        <v>0.66575217192501146</v>
      </c>
      <c r="C1456">
        <v>48</v>
      </c>
    </row>
    <row r="1457" spans="1:3">
      <c r="A1457" s="119">
        <v>1457</v>
      </c>
      <c r="B1457" s="119">
        <v>0.99908550525834472</v>
      </c>
      <c r="C1457">
        <v>105</v>
      </c>
    </row>
    <row r="1458" spans="1:3">
      <c r="A1458" s="119">
        <v>1458</v>
      </c>
      <c r="B1458" s="119">
        <v>9.1449474165523545E-4</v>
      </c>
      <c r="C1458">
        <v>1</v>
      </c>
    </row>
    <row r="1459" spans="1:3">
      <c r="A1459" s="119">
        <v>1459</v>
      </c>
      <c r="B1459" s="119">
        <v>0.33424782807498854</v>
      </c>
      <c r="C1459">
        <v>29</v>
      </c>
    </row>
    <row r="1460" spans="1:3">
      <c r="A1460" s="119">
        <v>1460</v>
      </c>
      <c r="B1460" s="119">
        <v>0.66758116140832191</v>
      </c>
      <c r="C1460">
        <v>48</v>
      </c>
    </row>
    <row r="1461" spans="1:3">
      <c r="A1461" s="119">
        <v>1461</v>
      </c>
      <c r="B1461" s="119">
        <v>0.11202560585276634</v>
      </c>
      <c r="C1461">
        <v>16</v>
      </c>
    </row>
    <row r="1462" spans="1:3">
      <c r="A1462" s="119">
        <v>1462</v>
      </c>
      <c r="B1462" s="119">
        <v>0.44535893918609964</v>
      </c>
      <c r="C1462">
        <v>35</v>
      </c>
    </row>
    <row r="1463" spans="1:3">
      <c r="A1463" s="119">
        <v>1463</v>
      </c>
      <c r="B1463" s="119">
        <v>0.77869227251943296</v>
      </c>
      <c r="C1463">
        <v>57</v>
      </c>
    </row>
    <row r="1464" spans="1:3">
      <c r="A1464" s="119">
        <v>1464</v>
      </c>
      <c r="B1464" s="119">
        <v>0.22313671696387744</v>
      </c>
      <c r="C1464">
        <v>23</v>
      </c>
    </row>
    <row r="1465" spans="1:3">
      <c r="A1465" s="119">
        <v>1465</v>
      </c>
      <c r="B1465" s="119">
        <v>0.55647005029721086</v>
      </c>
      <c r="C1465">
        <v>42</v>
      </c>
    </row>
    <row r="1466" spans="1:3">
      <c r="A1466" s="119">
        <v>1466</v>
      </c>
      <c r="B1466" s="119">
        <v>0.88980338363054412</v>
      </c>
      <c r="C1466">
        <v>69</v>
      </c>
    </row>
    <row r="1467" spans="1:3">
      <c r="A1467" s="119">
        <v>1467</v>
      </c>
      <c r="B1467" s="119">
        <v>3.7951531778692267E-2</v>
      </c>
      <c r="C1467">
        <v>9</v>
      </c>
    </row>
    <row r="1468" spans="1:3">
      <c r="A1468" s="119">
        <v>1468</v>
      </c>
      <c r="B1468" s="119">
        <v>0.37128486511202557</v>
      </c>
      <c r="C1468">
        <v>31</v>
      </c>
    </row>
    <row r="1469" spans="1:3">
      <c r="A1469" s="119">
        <v>1469</v>
      </c>
      <c r="B1469" s="119">
        <v>0.704618198445359</v>
      </c>
      <c r="C1469">
        <v>51</v>
      </c>
    </row>
    <row r="1470" spans="1:3">
      <c r="A1470" s="119">
        <v>1470</v>
      </c>
      <c r="B1470" s="119">
        <v>0.14906264288980337</v>
      </c>
      <c r="C1470">
        <v>18</v>
      </c>
    </row>
    <row r="1471" spans="1:3">
      <c r="A1471" s="119">
        <v>1471</v>
      </c>
      <c r="B1471" s="119">
        <v>0.48239597622313668</v>
      </c>
      <c r="C1471">
        <v>37</v>
      </c>
    </row>
    <row r="1472" spans="1:3">
      <c r="A1472" s="119">
        <v>1472</v>
      </c>
      <c r="B1472" s="119">
        <v>0.81572930955646994</v>
      </c>
      <c r="C1472">
        <v>60</v>
      </c>
    </row>
    <row r="1473" spans="1:3">
      <c r="A1473" s="119">
        <v>1473</v>
      </c>
      <c r="B1473" s="119">
        <v>0.26017375400091447</v>
      </c>
      <c r="C1473">
        <v>25</v>
      </c>
    </row>
    <row r="1474" spans="1:3">
      <c r="A1474" s="119">
        <v>1474</v>
      </c>
      <c r="B1474" s="119">
        <v>0.59350708733424784</v>
      </c>
      <c r="C1474">
        <v>44</v>
      </c>
    </row>
    <row r="1475" spans="1:3">
      <c r="A1475" s="119">
        <v>1475</v>
      </c>
      <c r="B1475" s="119">
        <v>0.9268404206675811</v>
      </c>
      <c r="C1475">
        <v>75</v>
      </c>
    </row>
    <row r="1476" spans="1:3">
      <c r="A1476" s="119">
        <v>1476</v>
      </c>
      <c r="B1476" s="119">
        <v>7.4988568815729309E-2</v>
      </c>
      <c r="C1476">
        <v>13</v>
      </c>
    </row>
    <row r="1477" spans="1:3">
      <c r="A1477" s="119">
        <v>1477</v>
      </c>
      <c r="B1477" s="119">
        <v>0.40832190214906261</v>
      </c>
      <c r="C1477">
        <v>33</v>
      </c>
    </row>
    <row r="1478" spans="1:3">
      <c r="A1478" s="119">
        <v>1478</v>
      </c>
      <c r="B1478" s="119">
        <v>0.74165523548239598</v>
      </c>
      <c r="C1478">
        <v>54</v>
      </c>
    </row>
    <row r="1479" spans="1:3">
      <c r="A1479" s="119">
        <v>1479</v>
      </c>
      <c r="B1479" s="119">
        <v>0.1860996799268404</v>
      </c>
      <c r="C1479">
        <v>21</v>
      </c>
    </row>
    <row r="1480" spans="1:3">
      <c r="A1480" s="119">
        <v>1480</v>
      </c>
      <c r="B1480" s="119">
        <v>0.51943301326017377</v>
      </c>
      <c r="C1480">
        <v>39</v>
      </c>
    </row>
    <row r="1481" spans="1:3">
      <c r="A1481" s="119">
        <v>1481</v>
      </c>
      <c r="B1481" s="119">
        <v>0.85276634659350703</v>
      </c>
      <c r="C1481">
        <v>64</v>
      </c>
    </row>
    <row r="1482" spans="1:3">
      <c r="A1482" s="119">
        <v>1482</v>
      </c>
      <c r="B1482" s="119">
        <v>0.29721079103795151</v>
      </c>
      <c r="C1482">
        <v>27</v>
      </c>
    </row>
    <row r="1483" spans="1:3">
      <c r="A1483" s="119">
        <v>1483</v>
      </c>
      <c r="B1483" s="119">
        <v>0.63054412437128493</v>
      </c>
      <c r="C1483">
        <v>46</v>
      </c>
    </row>
    <row r="1484" spans="1:3">
      <c r="A1484" s="119">
        <v>1484</v>
      </c>
      <c r="B1484" s="119">
        <v>0.96387745770461819</v>
      </c>
      <c r="C1484">
        <v>84</v>
      </c>
    </row>
    <row r="1485" spans="1:3">
      <c r="A1485" s="119">
        <v>1485</v>
      </c>
      <c r="B1485" s="119">
        <v>1.3260173754000914E-2</v>
      </c>
      <c r="C1485">
        <v>5</v>
      </c>
    </row>
    <row r="1486" spans="1:3">
      <c r="A1486" s="119">
        <v>1486</v>
      </c>
      <c r="B1486" s="119">
        <v>0.34659350708733422</v>
      </c>
      <c r="C1486">
        <v>30</v>
      </c>
    </row>
    <row r="1487" spans="1:3">
      <c r="A1487" s="119">
        <v>1487</v>
      </c>
      <c r="B1487" s="119">
        <v>0.67992684042066753</v>
      </c>
      <c r="C1487">
        <v>49</v>
      </c>
    </row>
    <row r="1488" spans="1:3">
      <c r="A1488" s="119">
        <v>1488</v>
      </c>
      <c r="B1488" s="119">
        <v>0.12437128486511202</v>
      </c>
      <c r="C1488">
        <v>16</v>
      </c>
    </row>
    <row r="1489" spans="1:3">
      <c r="A1489" s="119">
        <v>1489</v>
      </c>
      <c r="B1489" s="119">
        <v>0.45770461819844532</v>
      </c>
      <c r="C1489">
        <v>36</v>
      </c>
    </row>
    <row r="1490" spans="1:3">
      <c r="A1490" s="119">
        <v>1490</v>
      </c>
      <c r="B1490" s="119">
        <v>0.79103795153177869</v>
      </c>
      <c r="C1490">
        <v>58</v>
      </c>
    </row>
    <row r="1491" spans="1:3">
      <c r="A1491" s="119">
        <v>1491</v>
      </c>
      <c r="B1491" s="119">
        <v>0.23548239597622311</v>
      </c>
      <c r="C1491">
        <v>24</v>
      </c>
    </row>
    <row r="1492" spans="1:3">
      <c r="A1492" s="119">
        <v>1492</v>
      </c>
      <c r="B1492" s="119">
        <v>0.56881572930955659</v>
      </c>
      <c r="C1492">
        <v>42</v>
      </c>
    </row>
    <row r="1493" spans="1:3">
      <c r="A1493" s="119">
        <v>1493</v>
      </c>
      <c r="B1493" s="119">
        <v>0.90214906264288985</v>
      </c>
      <c r="C1493">
        <v>71</v>
      </c>
    </row>
    <row r="1494" spans="1:3">
      <c r="A1494" s="119">
        <v>1494</v>
      </c>
      <c r="B1494" s="119">
        <v>5.0297210791037945E-2</v>
      </c>
      <c r="C1494">
        <v>10</v>
      </c>
    </row>
    <row r="1495" spans="1:3">
      <c r="A1495" s="119">
        <v>1495</v>
      </c>
      <c r="B1495" s="119">
        <v>0.38363054412437125</v>
      </c>
      <c r="C1495">
        <v>32</v>
      </c>
    </row>
    <row r="1496" spans="1:3">
      <c r="A1496" s="119">
        <v>1496</v>
      </c>
      <c r="B1496" s="119">
        <v>0.71696387745770473</v>
      </c>
      <c r="C1496">
        <v>52</v>
      </c>
    </row>
    <row r="1497" spans="1:3">
      <c r="A1497" s="119">
        <v>1497</v>
      </c>
      <c r="B1497" s="119">
        <v>0.16140832190214904</v>
      </c>
      <c r="C1497">
        <v>19</v>
      </c>
    </row>
    <row r="1498" spans="1:3">
      <c r="A1498" s="119">
        <v>1498</v>
      </c>
      <c r="B1498" s="119">
        <v>0.49474165523548236</v>
      </c>
      <c r="C1498">
        <v>38</v>
      </c>
    </row>
    <row r="1499" spans="1:3">
      <c r="A1499" s="119">
        <v>1499</v>
      </c>
      <c r="B1499" s="119">
        <v>0.82807498856881567</v>
      </c>
      <c r="C1499">
        <v>61</v>
      </c>
    </row>
    <row r="1500" spans="1:3">
      <c r="A1500" s="119">
        <v>1500</v>
      </c>
      <c r="B1500" s="119">
        <v>0.27251943301326015</v>
      </c>
      <c r="C1500">
        <v>26</v>
      </c>
    </row>
    <row r="1501" spans="1:3">
      <c r="A1501" s="119">
        <v>1501</v>
      </c>
      <c r="B1501" s="119">
        <v>0.60585276634659357</v>
      </c>
      <c r="C1501">
        <v>44</v>
      </c>
    </row>
    <row r="1502" spans="1:3">
      <c r="A1502" s="119">
        <v>1502</v>
      </c>
      <c r="B1502" s="119">
        <v>0.93918609967992683</v>
      </c>
      <c r="C1502">
        <v>78</v>
      </c>
    </row>
    <row r="1503" spans="1:3">
      <c r="A1503" s="119">
        <v>1503</v>
      </c>
      <c r="B1503" s="119">
        <v>8.7334247828074987E-2</v>
      </c>
      <c r="C1503">
        <v>14</v>
      </c>
    </row>
    <row r="1504" spans="1:3">
      <c r="A1504" s="119">
        <v>1504</v>
      </c>
      <c r="B1504" s="119">
        <v>0.42066758116140829</v>
      </c>
      <c r="C1504">
        <v>34</v>
      </c>
    </row>
    <row r="1505" spans="1:3">
      <c r="A1505" s="119">
        <v>1505</v>
      </c>
      <c r="B1505" s="119">
        <v>0.75400091449474171</v>
      </c>
      <c r="C1505">
        <v>55</v>
      </c>
    </row>
    <row r="1506" spans="1:3">
      <c r="A1506" s="119">
        <v>1506</v>
      </c>
      <c r="B1506" s="119">
        <v>0.19844535893918608</v>
      </c>
      <c r="C1506">
        <v>21</v>
      </c>
    </row>
    <row r="1507" spans="1:3">
      <c r="A1507" s="119">
        <v>1507</v>
      </c>
      <c r="B1507" s="119">
        <v>0.53177869227251939</v>
      </c>
      <c r="C1507">
        <v>40</v>
      </c>
    </row>
    <row r="1508" spans="1:3">
      <c r="A1508" s="119">
        <v>1508</v>
      </c>
      <c r="B1508" s="119">
        <v>0.86511202560585265</v>
      </c>
      <c r="C1508">
        <v>65</v>
      </c>
    </row>
    <row r="1509" spans="1:3">
      <c r="A1509" s="119">
        <v>1509</v>
      </c>
      <c r="B1509" s="119">
        <v>0.30955647005029718</v>
      </c>
      <c r="C1509">
        <v>28</v>
      </c>
    </row>
    <row r="1510" spans="1:3">
      <c r="A1510" s="119">
        <v>1510</v>
      </c>
      <c r="B1510" s="119">
        <v>0.64288980338363055</v>
      </c>
      <c r="C1510">
        <v>47</v>
      </c>
    </row>
    <row r="1511" spans="1:3">
      <c r="A1511" s="119">
        <v>1511</v>
      </c>
      <c r="B1511" s="119">
        <v>0.97622313671696381</v>
      </c>
      <c r="C1511">
        <v>90</v>
      </c>
    </row>
    <row r="1512" spans="1:3">
      <c r="A1512" s="119">
        <v>1512</v>
      </c>
      <c r="B1512" s="119">
        <v>2.5605852766346592E-2</v>
      </c>
      <c r="C1512">
        <v>7</v>
      </c>
    </row>
    <row r="1513" spans="1:3">
      <c r="A1513" s="119">
        <v>1513</v>
      </c>
      <c r="B1513" s="119">
        <v>0.3589391860996799</v>
      </c>
      <c r="C1513">
        <v>31</v>
      </c>
    </row>
    <row r="1514" spans="1:3">
      <c r="A1514" s="119">
        <v>1514</v>
      </c>
      <c r="B1514" s="119">
        <v>0.69227251943301327</v>
      </c>
      <c r="C1514">
        <v>50</v>
      </c>
    </row>
    <row r="1515" spans="1:3">
      <c r="A1515" s="119">
        <v>1515</v>
      </c>
      <c r="B1515" s="119">
        <v>0.13671696387745769</v>
      </c>
      <c r="C1515">
        <v>17</v>
      </c>
    </row>
    <row r="1516" spans="1:3">
      <c r="A1516" s="119">
        <v>1516</v>
      </c>
      <c r="B1516" s="119">
        <v>0.470050297210791</v>
      </c>
      <c r="C1516">
        <v>37</v>
      </c>
    </row>
    <row r="1517" spans="1:3">
      <c r="A1517" s="119">
        <v>1517</v>
      </c>
      <c r="B1517" s="119">
        <v>0.80338363054412432</v>
      </c>
      <c r="C1517">
        <v>59</v>
      </c>
    </row>
    <row r="1518" spans="1:3">
      <c r="A1518" s="119">
        <v>1518</v>
      </c>
      <c r="B1518" s="119">
        <v>0.24782807498856879</v>
      </c>
      <c r="C1518">
        <v>24</v>
      </c>
    </row>
    <row r="1519" spans="1:3">
      <c r="A1519" s="119">
        <v>1519</v>
      </c>
      <c r="B1519" s="119">
        <v>0.58116140832190222</v>
      </c>
      <c r="C1519">
        <v>43</v>
      </c>
    </row>
    <row r="1520" spans="1:3">
      <c r="A1520" s="119">
        <v>1520</v>
      </c>
      <c r="B1520" s="119">
        <v>0.91449474165523548</v>
      </c>
      <c r="C1520">
        <v>73</v>
      </c>
    </row>
    <row r="1521" spans="1:3">
      <c r="A1521" s="119">
        <v>1521</v>
      </c>
      <c r="B1521" s="119">
        <v>6.2642889803383631E-2</v>
      </c>
      <c r="C1521">
        <v>11</v>
      </c>
    </row>
    <row r="1522" spans="1:3">
      <c r="A1522" s="119">
        <v>1522</v>
      </c>
      <c r="B1522" s="119">
        <v>0.39597622313671693</v>
      </c>
      <c r="C1522">
        <v>33</v>
      </c>
    </row>
    <row r="1523" spans="1:3">
      <c r="A1523" s="119">
        <v>1523</v>
      </c>
      <c r="B1523" s="119">
        <v>0.72930955647005036</v>
      </c>
      <c r="C1523">
        <v>53</v>
      </c>
    </row>
    <row r="1524" spans="1:3">
      <c r="A1524" s="119">
        <v>1524</v>
      </c>
      <c r="B1524" s="119">
        <v>0.17375400091449472</v>
      </c>
      <c r="C1524">
        <v>20</v>
      </c>
    </row>
    <row r="1525" spans="1:3">
      <c r="A1525" s="119">
        <v>1525</v>
      </c>
      <c r="B1525" s="119">
        <v>0.50708733424782815</v>
      </c>
      <c r="C1525">
        <v>39</v>
      </c>
    </row>
    <row r="1526" spans="1:3">
      <c r="A1526" s="119">
        <v>1526</v>
      </c>
      <c r="B1526" s="119">
        <v>0.8404206675811613</v>
      </c>
      <c r="C1526">
        <v>63</v>
      </c>
    </row>
    <row r="1527" spans="1:3">
      <c r="A1527" s="119">
        <v>1527</v>
      </c>
      <c r="B1527" s="119">
        <v>0.28486511202560583</v>
      </c>
      <c r="C1527">
        <v>26</v>
      </c>
    </row>
    <row r="1528" spans="1:3">
      <c r="A1528" s="119">
        <v>1528</v>
      </c>
      <c r="B1528" s="119">
        <v>0.6181984453589392</v>
      </c>
      <c r="C1528">
        <v>45</v>
      </c>
    </row>
    <row r="1529" spans="1:3">
      <c r="A1529" s="119">
        <v>1529</v>
      </c>
      <c r="B1529" s="119">
        <v>0.95153177869227246</v>
      </c>
      <c r="C1529">
        <v>81</v>
      </c>
    </row>
    <row r="1530" spans="1:3">
      <c r="A1530" s="119">
        <v>1530</v>
      </c>
      <c r="B1530" s="119">
        <v>9.9679926840420666E-2</v>
      </c>
      <c r="C1530">
        <v>15</v>
      </c>
    </row>
    <row r="1531" spans="1:3">
      <c r="A1531" s="119">
        <v>1531</v>
      </c>
      <c r="B1531" s="119">
        <v>0.43301326017375397</v>
      </c>
      <c r="C1531">
        <v>35</v>
      </c>
    </row>
    <row r="1532" spans="1:3">
      <c r="A1532" s="119">
        <v>1532</v>
      </c>
      <c r="B1532" s="119">
        <v>0.76634659350708734</v>
      </c>
      <c r="C1532">
        <v>56</v>
      </c>
    </row>
    <row r="1533" spans="1:3">
      <c r="A1533" s="119">
        <v>1533</v>
      </c>
      <c r="B1533" s="119">
        <v>0.21079103795153176</v>
      </c>
      <c r="C1533">
        <v>22</v>
      </c>
    </row>
    <row r="1534" spans="1:3">
      <c r="A1534" s="119">
        <v>1534</v>
      </c>
      <c r="B1534" s="119">
        <v>0.54412437128486513</v>
      </c>
      <c r="C1534">
        <v>41</v>
      </c>
    </row>
    <row r="1535" spans="1:3">
      <c r="A1535" s="119">
        <v>1535</v>
      </c>
      <c r="B1535" s="119">
        <v>0.87745770461819839</v>
      </c>
      <c r="C1535">
        <v>67</v>
      </c>
    </row>
    <row r="1536" spans="1:3">
      <c r="A1536" s="119">
        <v>1536</v>
      </c>
      <c r="B1536" s="119">
        <v>0.32190214906264286</v>
      </c>
      <c r="C1536">
        <v>29</v>
      </c>
    </row>
    <row r="1537" spans="1:3">
      <c r="A1537" s="119">
        <v>1537</v>
      </c>
      <c r="B1537" s="119">
        <v>0.65523548239597629</v>
      </c>
      <c r="C1537">
        <v>48</v>
      </c>
    </row>
    <row r="1538" spans="1:3">
      <c r="A1538" s="119">
        <v>1538</v>
      </c>
      <c r="B1538" s="119">
        <v>0.98856881572930955</v>
      </c>
      <c r="C1538">
        <v>98</v>
      </c>
    </row>
    <row r="1539" spans="1:3">
      <c r="A1539" s="119">
        <v>1539</v>
      </c>
      <c r="B1539" s="119">
        <v>5.0297210791037956E-3</v>
      </c>
      <c r="C1539">
        <v>3</v>
      </c>
    </row>
    <row r="1540" spans="1:3">
      <c r="A1540" s="119">
        <v>1540</v>
      </c>
      <c r="B1540" s="119">
        <v>0.33836305441243708</v>
      </c>
      <c r="C1540">
        <v>29</v>
      </c>
    </row>
    <row r="1541" spans="1:3">
      <c r="A1541" s="119">
        <v>1541</v>
      </c>
      <c r="B1541" s="119">
        <v>0.67169638774577045</v>
      </c>
      <c r="C1541">
        <v>49</v>
      </c>
    </row>
    <row r="1542" spans="1:3">
      <c r="A1542" s="119">
        <v>1542</v>
      </c>
      <c r="B1542" s="119">
        <v>0.1161408321902149</v>
      </c>
      <c r="C1542">
        <v>16</v>
      </c>
    </row>
    <row r="1543" spans="1:3">
      <c r="A1543" s="119">
        <v>1543</v>
      </c>
      <c r="B1543" s="119">
        <v>0.44947416552354819</v>
      </c>
      <c r="C1543">
        <v>36</v>
      </c>
    </row>
    <row r="1544" spans="1:3">
      <c r="A1544" s="119">
        <v>1544</v>
      </c>
      <c r="B1544" s="119">
        <v>0.7828074988568815</v>
      </c>
      <c r="C1544">
        <v>57</v>
      </c>
    </row>
    <row r="1545" spans="1:3">
      <c r="A1545" s="119">
        <v>1545</v>
      </c>
      <c r="B1545" s="119">
        <v>0.227251943301326</v>
      </c>
      <c r="C1545">
        <v>23</v>
      </c>
    </row>
    <row r="1546" spans="1:3">
      <c r="A1546" s="119">
        <v>1546</v>
      </c>
      <c r="B1546" s="119">
        <v>0.5605852766346594</v>
      </c>
      <c r="C1546">
        <v>42</v>
      </c>
    </row>
    <row r="1547" spans="1:3">
      <c r="A1547" s="119">
        <v>1547</v>
      </c>
      <c r="B1547" s="119">
        <v>0.89391860996799266</v>
      </c>
      <c r="C1547">
        <v>69</v>
      </c>
    </row>
    <row r="1548" spans="1:3">
      <c r="A1548" s="119">
        <v>1548</v>
      </c>
      <c r="B1548" s="119">
        <v>4.2066758116140829E-2</v>
      </c>
      <c r="C1548">
        <v>9</v>
      </c>
    </row>
    <row r="1549" spans="1:3">
      <c r="A1549" s="119">
        <v>1549</v>
      </c>
      <c r="B1549" s="119">
        <v>0.37540009144947412</v>
      </c>
      <c r="C1549">
        <v>31</v>
      </c>
    </row>
    <row r="1550" spans="1:3">
      <c r="A1550" s="119">
        <v>1550</v>
      </c>
      <c r="B1550" s="119">
        <v>0.70873342478280754</v>
      </c>
      <c r="C1550">
        <v>51</v>
      </c>
    </row>
    <row r="1551" spans="1:3">
      <c r="A1551" s="119">
        <v>1551</v>
      </c>
      <c r="B1551" s="119">
        <v>0.15317786922725193</v>
      </c>
      <c r="C1551">
        <v>19</v>
      </c>
    </row>
    <row r="1552" spans="1:3">
      <c r="A1552" s="119">
        <v>1552</v>
      </c>
      <c r="B1552" s="119">
        <v>0.48651120256058522</v>
      </c>
      <c r="C1552">
        <v>38</v>
      </c>
    </row>
    <row r="1553" spans="1:3">
      <c r="A1553" s="119">
        <v>1553</v>
      </c>
      <c r="B1553" s="119">
        <v>0.81984453589391848</v>
      </c>
      <c r="C1553">
        <v>61</v>
      </c>
    </row>
    <row r="1554" spans="1:3">
      <c r="A1554" s="119">
        <v>1554</v>
      </c>
      <c r="B1554" s="119">
        <v>0.26428898033836301</v>
      </c>
      <c r="C1554">
        <v>25</v>
      </c>
    </row>
    <row r="1555" spans="1:3">
      <c r="A1555" s="119">
        <v>1555</v>
      </c>
      <c r="B1555" s="119">
        <v>0.59762231367169638</v>
      </c>
      <c r="C1555">
        <v>44</v>
      </c>
    </row>
    <row r="1556" spans="1:3">
      <c r="A1556" s="119">
        <v>1556</v>
      </c>
      <c r="B1556" s="119">
        <v>0.93095564700502964</v>
      </c>
      <c r="C1556">
        <v>76</v>
      </c>
    </row>
    <row r="1557" spans="1:3">
      <c r="A1557" s="119">
        <v>1557</v>
      </c>
      <c r="B1557" s="119">
        <v>7.9103795153177864E-2</v>
      </c>
      <c r="C1557">
        <v>13</v>
      </c>
    </row>
    <row r="1558" spans="1:3">
      <c r="A1558" s="119">
        <v>1558</v>
      </c>
      <c r="B1558" s="119">
        <v>0.41243712848651115</v>
      </c>
      <c r="C1558">
        <v>34</v>
      </c>
    </row>
    <row r="1559" spans="1:3">
      <c r="A1559" s="119">
        <v>1559</v>
      </c>
      <c r="B1559" s="119">
        <v>0.74577046181984452</v>
      </c>
      <c r="C1559">
        <v>54</v>
      </c>
    </row>
    <row r="1560" spans="1:3">
      <c r="A1560" s="119">
        <v>1560</v>
      </c>
      <c r="B1560" s="119">
        <v>0.19021490626428897</v>
      </c>
      <c r="C1560">
        <v>21</v>
      </c>
    </row>
    <row r="1561" spans="1:3">
      <c r="A1561" s="119">
        <v>1561</v>
      </c>
      <c r="B1561" s="119">
        <v>0.52354823959762231</v>
      </c>
      <c r="C1561">
        <v>40</v>
      </c>
    </row>
    <row r="1562" spans="1:3">
      <c r="A1562" s="119">
        <v>1562</v>
      </c>
      <c r="B1562" s="119">
        <v>0.85688157293095557</v>
      </c>
      <c r="C1562">
        <v>65</v>
      </c>
    </row>
    <row r="1563" spans="1:3">
      <c r="A1563" s="119">
        <v>1563</v>
      </c>
      <c r="B1563" s="119">
        <v>0.30132601737540005</v>
      </c>
      <c r="C1563">
        <v>27</v>
      </c>
    </row>
    <row r="1564" spans="1:3">
      <c r="A1564" s="119">
        <v>1564</v>
      </c>
      <c r="B1564" s="119">
        <v>0.63465935070873347</v>
      </c>
      <c r="C1564">
        <v>46</v>
      </c>
    </row>
    <row r="1565" spans="1:3">
      <c r="A1565" s="119">
        <v>1565</v>
      </c>
      <c r="B1565" s="119">
        <v>0.96799268404206673</v>
      </c>
      <c r="C1565">
        <v>86</v>
      </c>
    </row>
    <row r="1566" spans="1:3">
      <c r="A1566" s="119">
        <v>1566</v>
      </c>
      <c r="B1566" s="119">
        <v>1.7375400091449476E-2</v>
      </c>
      <c r="C1566">
        <v>6</v>
      </c>
    </row>
    <row r="1567" spans="1:3">
      <c r="A1567" s="119">
        <v>1567</v>
      </c>
      <c r="B1567" s="119">
        <v>0.35070873342478276</v>
      </c>
      <c r="C1567">
        <v>30</v>
      </c>
    </row>
    <row r="1568" spans="1:3">
      <c r="A1568" s="119">
        <v>1568</v>
      </c>
      <c r="B1568" s="119">
        <v>0.68404206675811607</v>
      </c>
      <c r="C1568">
        <v>50</v>
      </c>
    </row>
    <row r="1569" spans="1:3">
      <c r="A1569" s="119">
        <v>1569</v>
      </c>
      <c r="B1569" s="119">
        <v>0.12848651120256058</v>
      </c>
      <c r="C1569">
        <v>17</v>
      </c>
    </row>
    <row r="1570" spans="1:3">
      <c r="A1570" s="119">
        <v>1570</v>
      </c>
      <c r="B1570" s="119">
        <v>0.46181984453589386</v>
      </c>
      <c r="C1570">
        <v>36</v>
      </c>
    </row>
    <row r="1571" spans="1:3">
      <c r="A1571" s="119">
        <v>1571</v>
      </c>
      <c r="B1571" s="119">
        <v>0.79515317786922723</v>
      </c>
      <c r="C1571">
        <v>58</v>
      </c>
    </row>
    <row r="1572" spans="1:3">
      <c r="A1572" s="119">
        <v>1572</v>
      </c>
      <c r="B1572" s="119">
        <v>0.23959762231367168</v>
      </c>
      <c r="C1572">
        <v>24</v>
      </c>
    </row>
    <row r="1573" spans="1:3">
      <c r="A1573" s="119">
        <v>1573</v>
      </c>
      <c r="B1573" s="119">
        <v>0.57293095564700514</v>
      </c>
      <c r="C1573">
        <v>43</v>
      </c>
    </row>
    <row r="1574" spans="1:3">
      <c r="A1574" s="119">
        <v>1574</v>
      </c>
      <c r="B1574" s="119">
        <v>0.90626428898033839</v>
      </c>
      <c r="C1574">
        <v>71</v>
      </c>
    </row>
    <row r="1575" spans="1:3">
      <c r="A1575" s="119">
        <v>1575</v>
      </c>
      <c r="B1575" s="119">
        <v>5.4412437128486507E-2</v>
      </c>
      <c r="C1575">
        <v>11</v>
      </c>
    </row>
    <row r="1576" spans="1:3">
      <c r="A1576" s="119">
        <v>1576</v>
      </c>
      <c r="B1576" s="119">
        <v>0.38774577046181979</v>
      </c>
      <c r="C1576">
        <v>32</v>
      </c>
    </row>
    <row r="1577" spans="1:3">
      <c r="A1577" s="119">
        <v>1577</v>
      </c>
      <c r="B1577" s="119">
        <v>0.72107910379515328</v>
      </c>
      <c r="C1577">
        <v>52</v>
      </c>
    </row>
    <row r="1578" spans="1:3">
      <c r="A1578" s="119">
        <v>1578</v>
      </c>
      <c r="B1578" s="119">
        <v>0.16552354823959761</v>
      </c>
      <c r="C1578">
        <v>19</v>
      </c>
    </row>
    <row r="1579" spans="1:3">
      <c r="A1579" s="119">
        <v>1579</v>
      </c>
      <c r="B1579" s="119">
        <v>0.4988568815729309</v>
      </c>
      <c r="C1579">
        <v>38</v>
      </c>
    </row>
    <row r="1580" spans="1:3">
      <c r="A1580" s="119">
        <v>1580</v>
      </c>
      <c r="B1580" s="119">
        <v>0.83219021490626421</v>
      </c>
      <c r="C1580">
        <v>62</v>
      </c>
    </row>
    <row r="1581" spans="1:3">
      <c r="A1581" s="119">
        <v>1581</v>
      </c>
      <c r="B1581" s="119">
        <v>0.27663465935070869</v>
      </c>
      <c r="C1581">
        <v>26</v>
      </c>
    </row>
    <row r="1582" spans="1:3">
      <c r="A1582" s="119">
        <v>1582</v>
      </c>
      <c r="B1582" s="119">
        <v>0.60996799268404212</v>
      </c>
      <c r="C1582">
        <v>45</v>
      </c>
    </row>
    <row r="1583" spans="1:3">
      <c r="A1583" s="119">
        <v>1583</v>
      </c>
      <c r="B1583" s="119">
        <v>0.94330132601737537</v>
      </c>
      <c r="C1583">
        <v>78</v>
      </c>
    </row>
    <row r="1584" spans="1:3">
      <c r="A1584" s="119">
        <v>1584</v>
      </c>
      <c r="B1584" s="119">
        <v>9.1449474165523542E-2</v>
      </c>
      <c r="C1584">
        <v>14</v>
      </c>
    </row>
    <row r="1585" spans="1:3">
      <c r="A1585" s="119">
        <v>1585</v>
      </c>
      <c r="B1585" s="119">
        <v>0.42478280749885683</v>
      </c>
      <c r="C1585">
        <v>34</v>
      </c>
    </row>
    <row r="1586" spans="1:3">
      <c r="A1586" s="119">
        <v>1586</v>
      </c>
      <c r="B1586" s="119">
        <v>0.75811614083219026</v>
      </c>
      <c r="C1586">
        <v>55</v>
      </c>
    </row>
    <row r="1587" spans="1:3">
      <c r="A1587" s="119">
        <v>1587</v>
      </c>
      <c r="B1587" s="119">
        <v>0.20256058527663465</v>
      </c>
      <c r="C1587">
        <v>22</v>
      </c>
    </row>
    <row r="1588" spans="1:3">
      <c r="A1588" s="119">
        <v>1588</v>
      </c>
      <c r="B1588" s="119">
        <v>0.53589391860996793</v>
      </c>
      <c r="C1588">
        <v>40</v>
      </c>
    </row>
    <row r="1589" spans="1:3">
      <c r="A1589" s="119">
        <v>1589</v>
      </c>
      <c r="B1589" s="119">
        <v>0.86922725194330119</v>
      </c>
      <c r="C1589">
        <v>66</v>
      </c>
    </row>
    <row r="1590" spans="1:3">
      <c r="A1590" s="119">
        <v>1590</v>
      </c>
      <c r="B1590" s="119">
        <v>0.31367169638774572</v>
      </c>
      <c r="C1590">
        <v>28</v>
      </c>
    </row>
    <row r="1591" spans="1:3">
      <c r="A1591" s="119">
        <v>1591</v>
      </c>
      <c r="B1591" s="119">
        <v>0.64700502972107909</v>
      </c>
      <c r="C1591">
        <v>47</v>
      </c>
    </row>
    <row r="1592" spans="1:3">
      <c r="A1592" s="119">
        <v>1592</v>
      </c>
      <c r="B1592" s="119">
        <v>0.98033836305441235</v>
      </c>
      <c r="C1592">
        <v>92</v>
      </c>
    </row>
    <row r="1593" spans="1:3">
      <c r="A1593" s="119">
        <v>1593</v>
      </c>
      <c r="B1593" s="119">
        <v>2.9721079103795154E-2</v>
      </c>
      <c r="C1593">
        <v>8</v>
      </c>
    </row>
    <row r="1594" spans="1:3">
      <c r="A1594" s="119">
        <v>1594</v>
      </c>
      <c r="B1594" s="119">
        <v>0.36305441243712844</v>
      </c>
      <c r="C1594">
        <v>31</v>
      </c>
    </row>
    <row r="1595" spans="1:3">
      <c r="A1595" s="119">
        <v>1595</v>
      </c>
      <c r="B1595" s="119">
        <v>0.69638774577046181</v>
      </c>
      <c r="C1595">
        <v>50</v>
      </c>
    </row>
    <row r="1596" spans="1:3">
      <c r="A1596" s="119">
        <v>1596</v>
      </c>
      <c r="B1596" s="119">
        <v>0.14083219021490626</v>
      </c>
      <c r="C1596">
        <v>18</v>
      </c>
    </row>
    <row r="1597" spans="1:3">
      <c r="A1597" s="119">
        <v>1597</v>
      </c>
      <c r="B1597" s="119">
        <v>0.47416552354823954</v>
      </c>
      <c r="C1597">
        <v>37</v>
      </c>
    </row>
    <row r="1598" spans="1:3">
      <c r="A1598" s="119">
        <v>1598</v>
      </c>
      <c r="B1598" s="119">
        <v>0.80749885688157286</v>
      </c>
      <c r="C1598">
        <v>59</v>
      </c>
    </row>
    <row r="1599" spans="1:3">
      <c r="A1599" s="119">
        <v>1599</v>
      </c>
      <c r="B1599" s="119">
        <v>0.25194330132601733</v>
      </c>
      <c r="C1599">
        <v>25</v>
      </c>
    </row>
    <row r="1600" spans="1:3">
      <c r="A1600" s="119">
        <v>1600</v>
      </c>
      <c r="B1600" s="119">
        <v>0.58527663465935076</v>
      </c>
      <c r="C1600">
        <v>43</v>
      </c>
    </row>
    <row r="1601" spans="1:3">
      <c r="A1601" s="119">
        <v>1601</v>
      </c>
      <c r="B1601" s="119">
        <v>0.91860996799268402</v>
      </c>
      <c r="C1601">
        <v>73</v>
      </c>
    </row>
    <row r="1602" spans="1:3">
      <c r="A1602" s="119">
        <v>1602</v>
      </c>
      <c r="B1602" s="119">
        <v>6.6758116140832185E-2</v>
      </c>
      <c r="C1602">
        <v>12</v>
      </c>
    </row>
    <row r="1603" spans="1:3">
      <c r="A1603" s="119">
        <v>1603</v>
      </c>
      <c r="B1603" s="119">
        <v>0.40009144947416547</v>
      </c>
      <c r="C1603">
        <v>33</v>
      </c>
    </row>
    <row r="1604" spans="1:3">
      <c r="A1604" s="119">
        <v>1604</v>
      </c>
      <c r="B1604" s="119">
        <v>0.7334247828074989</v>
      </c>
      <c r="C1604">
        <v>53</v>
      </c>
    </row>
    <row r="1605" spans="1:3">
      <c r="A1605" s="119">
        <v>1605</v>
      </c>
      <c r="B1605" s="119">
        <v>0.17786922725194329</v>
      </c>
      <c r="C1605">
        <v>20</v>
      </c>
    </row>
    <row r="1606" spans="1:3">
      <c r="A1606" s="119">
        <v>1606</v>
      </c>
      <c r="B1606" s="119">
        <v>0.51120256058527669</v>
      </c>
      <c r="C1606">
        <v>39</v>
      </c>
    </row>
    <row r="1607" spans="1:3">
      <c r="A1607" s="119">
        <v>1607</v>
      </c>
      <c r="B1607" s="119">
        <v>0.84453589391860984</v>
      </c>
      <c r="C1607">
        <v>63</v>
      </c>
    </row>
    <row r="1608" spans="1:3">
      <c r="A1608" s="119">
        <v>1608</v>
      </c>
      <c r="B1608" s="119">
        <v>0.28898033836305437</v>
      </c>
      <c r="C1608">
        <v>27</v>
      </c>
    </row>
    <row r="1609" spans="1:3">
      <c r="A1609" s="119">
        <v>1609</v>
      </c>
      <c r="B1609" s="119">
        <v>0.62231367169638774</v>
      </c>
      <c r="C1609">
        <v>46</v>
      </c>
    </row>
    <row r="1610" spans="1:3">
      <c r="A1610" s="119">
        <v>1610</v>
      </c>
      <c r="B1610" s="119">
        <v>0.955647005029721</v>
      </c>
      <c r="C1610">
        <v>82</v>
      </c>
    </row>
    <row r="1611" spans="1:3">
      <c r="A1611" s="119">
        <v>1611</v>
      </c>
      <c r="B1611" s="119">
        <v>0.10379515317786922</v>
      </c>
      <c r="C1611">
        <v>15</v>
      </c>
    </row>
    <row r="1612" spans="1:3">
      <c r="A1612" s="119">
        <v>1612</v>
      </c>
      <c r="B1612" s="119">
        <v>0.43712848651120251</v>
      </c>
      <c r="C1612">
        <v>35</v>
      </c>
    </row>
    <row r="1613" spans="1:3">
      <c r="A1613" s="119">
        <v>1613</v>
      </c>
      <c r="B1613" s="119">
        <v>0.77046181984453588</v>
      </c>
      <c r="C1613">
        <v>56</v>
      </c>
    </row>
    <row r="1614" spans="1:3">
      <c r="A1614" s="119">
        <v>1614</v>
      </c>
      <c r="B1614" s="119">
        <v>0.21490626428898033</v>
      </c>
      <c r="C1614">
        <v>22</v>
      </c>
    </row>
    <row r="1615" spans="1:3">
      <c r="A1615" s="119">
        <v>1615</v>
      </c>
      <c r="B1615" s="119">
        <v>0.54823959762231367</v>
      </c>
      <c r="C1615">
        <v>41</v>
      </c>
    </row>
    <row r="1616" spans="1:3">
      <c r="A1616" s="119">
        <v>1616</v>
      </c>
      <c r="B1616" s="119">
        <v>0.88157293095564693</v>
      </c>
      <c r="C1616">
        <v>68</v>
      </c>
    </row>
    <row r="1617" spans="1:3">
      <c r="A1617" s="119">
        <v>1617</v>
      </c>
      <c r="B1617" s="119">
        <v>0.3260173754000914</v>
      </c>
      <c r="C1617">
        <v>29</v>
      </c>
    </row>
    <row r="1618" spans="1:3">
      <c r="A1618" s="119">
        <v>1618</v>
      </c>
      <c r="B1618" s="119">
        <v>0.65935070873342483</v>
      </c>
      <c r="C1618">
        <v>48</v>
      </c>
    </row>
    <row r="1619" spans="1:3">
      <c r="A1619" s="119">
        <v>1619</v>
      </c>
      <c r="B1619" s="119">
        <v>0.99268404206675809</v>
      </c>
      <c r="C1619">
        <v>103</v>
      </c>
    </row>
    <row r="1620" spans="1:3">
      <c r="A1620" s="119">
        <v>1620</v>
      </c>
      <c r="B1620" s="119">
        <v>9.1449474165523556E-3</v>
      </c>
      <c r="C1620">
        <v>4</v>
      </c>
    </row>
    <row r="1621" spans="1:3">
      <c r="A1621" s="119">
        <v>1621</v>
      </c>
      <c r="B1621" s="119">
        <v>0.34247828074988568</v>
      </c>
      <c r="C1621">
        <v>30</v>
      </c>
    </row>
    <row r="1622" spans="1:3">
      <c r="A1622" s="119">
        <v>1622</v>
      </c>
      <c r="B1622" s="119">
        <v>0.67581161408321899</v>
      </c>
      <c r="C1622">
        <v>49</v>
      </c>
    </row>
    <row r="1623" spans="1:3">
      <c r="A1623" s="119">
        <v>1623</v>
      </c>
      <c r="B1623" s="119">
        <v>0.12025605852766347</v>
      </c>
      <c r="C1623">
        <v>16</v>
      </c>
    </row>
    <row r="1624" spans="1:3">
      <c r="A1624" s="119">
        <v>1624</v>
      </c>
      <c r="B1624" s="119">
        <v>0.45358939186099678</v>
      </c>
      <c r="C1624">
        <v>36</v>
      </c>
    </row>
    <row r="1625" spans="1:3">
      <c r="A1625" s="119">
        <v>1625</v>
      </c>
      <c r="B1625" s="119">
        <v>0.78692272519433004</v>
      </c>
      <c r="C1625">
        <v>57</v>
      </c>
    </row>
    <row r="1626" spans="1:3">
      <c r="A1626" s="119">
        <v>1626</v>
      </c>
      <c r="B1626" s="119">
        <v>0.23136716963877454</v>
      </c>
      <c r="C1626">
        <v>23</v>
      </c>
    </row>
    <row r="1627" spans="1:3">
      <c r="A1627" s="119">
        <v>1627</v>
      </c>
      <c r="B1627" s="119">
        <v>0.56470050297210794</v>
      </c>
      <c r="C1627">
        <v>42</v>
      </c>
    </row>
    <row r="1628" spans="1:3">
      <c r="A1628" s="119">
        <v>1628</v>
      </c>
      <c r="B1628" s="119">
        <v>0.8980338363054412</v>
      </c>
      <c r="C1628">
        <v>70</v>
      </c>
    </row>
    <row r="1629" spans="1:3">
      <c r="A1629" s="119">
        <v>1629</v>
      </c>
      <c r="B1629" s="119">
        <v>4.6181984453589391E-2</v>
      </c>
      <c r="C1629">
        <v>10</v>
      </c>
    </row>
    <row r="1630" spans="1:3">
      <c r="A1630" s="119">
        <v>1630</v>
      </c>
      <c r="B1630" s="119">
        <v>0.37951531778692271</v>
      </c>
      <c r="C1630">
        <v>32</v>
      </c>
    </row>
    <row r="1631" spans="1:3">
      <c r="A1631" s="119">
        <v>1631</v>
      </c>
      <c r="B1631" s="119">
        <v>0.71284865112025608</v>
      </c>
      <c r="C1631">
        <v>52</v>
      </c>
    </row>
    <row r="1632" spans="1:3">
      <c r="A1632" s="119">
        <v>1632</v>
      </c>
      <c r="B1632" s="119">
        <v>0.15729309556470047</v>
      </c>
      <c r="C1632">
        <v>19</v>
      </c>
    </row>
    <row r="1633" spans="1:3">
      <c r="A1633" s="119">
        <v>1633</v>
      </c>
      <c r="B1633" s="119">
        <v>0.49062642889803382</v>
      </c>
      <c r="C1633">
        <v>38</v>
      </c>
    </row>
    <row r="1634" spans="1:3">
      <c r="A1634" s="119">
        <v>1634</v>
      </c>
      <c r="B1634" s="119">
        <v>0.82395976223136702</v>
      </c>
      <c r="C1634">
        <v>61</v>
      </c>
    </row>
    <row r="1635" spans="1:3">
      <c r="A1635" s="119">
        <v>1635</v>
      </c>
      <c r="B1635" s="119">
        <v>0.26840420667581161</v>
      </c>
      <c r="C1635">
        <v>26</v>
      </c>
    </row>
    <row r="1636" spans="1:3">
      <c r="A1636" s="119">
        <v>1636</v>
      </c>
      <c r="B1636" s="119">
        <v>0.60173754000914492</v>
      </c>
      <c r="C1636">
        <v>44</v>
      </c>
    </row>
    <row r="1637" spans="1:3">
      <c r="A1637" s="119">
        <v>1637</v>
      </c>
      <c r="B1637" s="119">
        <v>0.93507087334247818</v>
      </c>
      <c r="C1637">
        <v>77</v>
      </c>
    </row>
    <row r="1638" spans="1:3">
      <c r="A1638" s="119">
        <v>1638</v>
      </c>
      <c r="B1638" s="119">
        <v>8.3219021490626433E-2</v>
      </c>
      <c r="C1638">
        <v>13</v>
      </c>
    </row>
    <row r="1639" spans="1:3">
      <c r="A1639" s="119">
        <v>1639</v>
      </c>
      <c r="B1639" s="119">
        <v>0.41655235482395975</v>
      </c>
      <c r="C1639">
        <v>34</v>
      </c>
    </row>
    <row r="1640" spans="1:3">
      <c r="A1640" s="119">
        <v>1640</v>
      </c>
      <c r="B1640" s="119">
        <v>0.74988568815729306</v>
      </c>
      <c r="C1640">
        <v>54</v>
      </c>
    </row>
    <row r="1641" spans="1:3">
      <c r="A1641" s="119">
        <v>1641</v>
      </c>
      <c r="B1641" s="119">
        <v>0.19433013260173751</v>
      </c>
      <c r="C1641">
        <v>21</v>
      </c>
    </row>
    <row r="1642" spans="1:3">
      <c r="A1642" s="119">
        <v>1642</v>
      </c>
      <c r="B1642" s="119">
        <v>0.52766346593507085</v>
      </c>
      <c r="C1642">
        <v>40</v>
      </c>
    </row>
    <row r="1643" spans="1:3">
      <c r="A1643" s="119">
        <v>1643</v>
      </c>
      <c r="B1643" s="119">
        <v>0.86099679926840411</v>
      </c>
      <c r="C1643">
        <v>65</v>
      </c>
    </row>
    <row r="1644" spans="1:3">
      <c r="A1644" s="119">
        <v>1644</v>
      </c>
      <c r="B1644" s="119">
        <v>0.30544124371284864</v>
      </c>
      <c r="C1644">
        <v>28</v>
      </c>
    </row>
    <row r="1645" spans="1:3">
      <c r="A1645" s="119">
        <v>1645</v>
      </c>
      <c r="B1645" s="119">
        <v>0.63877457704618201</v>
      </c>
      <c r="C1645">
        <v>47</v>
      </c>
    </row>
    <row r="1646" spans="1:3">
      <c r="A1646" s="119">
        <v>1646</v>
      </c>
      <c r="B1646" s="119">
        <v>0.97210791037951527</v>
      </c>
      <c r="C1646">
        <v>88</v>
      </c>
    </row>
    <row r="1647" spans="1:3">
      <c r="A1647" s="119">
        <v>1647</v>
      </c>
      <c r="B1647" s="119">
        <v>2.1490626428898034E-2</v>
      </c>
      <c r="C1647">
        <v>6</v>
      </c>
    </row>
    <row r="1648" spans="1:3">
      <c r="A1648" s="119">
        <v>1648</v>
      </c>
      <c r="B1648" s="119">
        <v>0.35482395976223136</v>
      </c>
      <c r="C1648">
        <v>30</v>
      </c>
    </row>
    <row r="1649" spans="1:3">
      <c r="A1649" s="119">
        <v>1649</v>
      </c>
      <c r="B1649" s="119">
        <v>0.68815729309556462</v>
      </c>
      <c r="C1649">
        <v>50</v>
      </c>
    </row>
    <row r="1650" spans="1:3">
      <c r="A1650" s="119">
        <v>1650</v>
      </c>
      <c r="B1650" s="119">
        <v>0.13260173754000912</v>
      </c>
      <c r="C1650">
        <v>17</v>
      </c>
    </row>
    <row r="1651" spans="1:3">
      <c r="A1651" s="119">
        <v>1651</v>
      </c>
      <c r="B1651" s="119">
        <v>0.46593507087334246</v>
      </c>
      <c r="C1651">
        <v>36</v>
      </c>
    </row>
    <row r="1652" spans="1:3">
      <c r="A1652" s="119">
        <v>1652</v>
      </c>
      <c r="B1652" s="119">
        <v>0.79926840420667578</v>
      </c>
      <c r="C1652">
        <v>59</v>
      </c>
    </row>
    <row r="1653" spans="1:3">
      <c r="A1653" s="119">
        <v>1653</v>
      </c>
      <c r="B1653" s="119">
        <v>0.24371284865112022</v>
      </c>
      <c r="C1653">
        <v>24</v>
      </c>
    </row>
    <row r="1654" spans="1:3">
      <c r="A1654" s="119">
        <v>1654</v>
      </c>
      <c r="B1654" s="119">
        <v>0.57704618198445368</v>
      </c>
      <c r="C1654">
        <v>43</v>
      </c>
    </row>
    <row r="1655" spans="1:3">
      <c r="A1655" s="119">
        <v>1655</v>
      </c>
      <c r="B1655" s="119">
        <v>0.91037951531778694</v>
      </c>
      <c r="C1655">
        <v>72</v>
      </c>
    </row>
    <row r="1656" spans="1:3">
      <c r="A1656" s="119">
        <v>1656</v>
      </c>
      <c r="B1656" s="119">
        <v>5.8527663465935069E-2</v>
      </c>
      <c r="C1656">
        <v>11</v>
      </c>
    </row>
    <row r="1657" spans="1:3">
      <c r="A1657" s="119">
        <v>1657</v>
      </c>
      <c r="B1657" s="119">
        <v>0.39186099679926839</v>
      </c>
      <c r="C1657">
        <v>32</v>
      </c>
    </row>
    <row r="1658" spans="1:3">
      <c r="A1658" s="119">
        <v>1658</v>
      </c>
      <c r="B1658" s="119">
        <v>0.72519433013260182</v>
      </c>
      <c r="C1658">
        <v>52</v>
      </c>
    </row>
    <row r="1659" spans="1:3">
      <c r="A1659" s="119">
        <v>1659</v>
      </c>
      <c r="B1659" s="119">
        <v>0.16963877457704615</v>
      </c>
      <c r="C1659">
        <v>20</v>
      </c>
    </row>
    <row r="1660" spans="1:3">
      <c r="A1660" s="119">
        <v>1660</v>
      </c>
      <c r="B1660" s="119">
        <v>0.5029721079103795</v>
      </c>
      <c r="C1660">
        <v>38</v>
      </c>
    </row>
    <row r="1661" spans="1:3">
      <c r="A1661" s="119">
        <v>1661</v>
      </c>
      <c r="B1661" s="119">
        <v>0.83630544124371275</v>
      </c>
      <c r="C1661">
        <v>62</v>
      </c>
    </row>
    <row r="1662" spans="1:3">
      <c r="A1662" s="119">
        <v>1662</v>
      </c>
      <c r="B1662" s="119">
        <v>0.28074988568815729</v>
      </c>
      <c r="C1662">
        <v>26</v>
      </c>
    </row>
    <row r="1663" spans="1:3">
      <c r="A1663" s="119">
        <v>1663</v>
      </c>
      <c r="B1663" s="119">
        <v>0.61408321902149066</v>
      </c>
      <c r="C1663">
        <v>45</v>
      </c>
    </row>
    <row r="1664" spans="1:3">
      <c r="A1664" s="119">
        <v>1664</v>
      </c>
      <c r="B1664" s="119">
        <v>0.94741655235482392</v>
      </c>
      <c r="C1664">
        <v>80</v>
      </c>
    </row>
    <row r="1665" spans="1:3">
      <c r="A1665" s="119">
        <v>1665</v>
      </c>
      <c r="B1665" s="119">
        <v>9.5564700502972111E-2</v>
      </c>
      <c r="C1665">
        <v>14</v>
      </c>
    </row>
    <row r="1666" spans="1:3">
      <c r="A1666" s="119">
        <v>1666</v>
      </c>
      <c r="B1666" s="119">
        <v>0.42889803383630543</v>
      </c>
      <c r="C1666">
        <v>34</v>
      </c>
    </row>
    <row r="1667" spans="1:3">
      <c r="A1667" s="119">
        <v>1667</v>
      </c>
      <c r="B1667" s="119">
        <v>0.7622313671696388</v>
      </c>
      <c r="C1667">
        <v>55</v>
      </c>
    </row>
    <row r="1668" spans="1:3">
      <c r="A1668" s="119">
        <v>1668</v>
      </c>
      <c r="B1668" s="119">
        <v>0.20667581161408319</v>
      </c>
      <c r="C1668">
        <v>22</v>
      </c>
    </row>
    <row r="1669" spans="1:3">
      <c r="A1669" s="119">
        <v>1669</v>
      </c>
      <c r="B1669" s="119">
        <v>0.54000914494741648</v>
      </c>
      <c r="C1669">
        <v>41</v>
      </c>
    </row>
    <row r="1670" spans="1:3">
      <c r="A1670" s="119">
        <v>1670</v>
      </c>
      <c r="B1670" s="119">
        <v>0.87334247828074973</v>
      </c>
      <c r="C1670">
        <v>67</v>
      </c>
    </row>
    <row r="1671" spans="1:3">
      <c r="A1671" s="119">
        <v>1671</v>
      </c>
      <c r="B1671" s="119">
        <v>0.31778692272519432</v>
      </c>
      <c r="C1671">
        <v>28</v>
      </c>
    </row>
    <row r="1672" spans="1:3">
      <c r="A1672" s="119">
        <v>1672</v>
      </c>
      <c r="B1672" s="119">
        <v>0.65112025605852764</v>
      </c>
      <c r="C1672">
        <v>47</v>
      </c>
    </row>
    <row r="1673" spans="1:3">
      <c r="A1673" s="119">
        <v>1673</v>
      </c>
      <c r="B1673" s="119">
        <v>0.98445358939186089</v>
      </c>
      <c r="C1673">
        <v>95</v>
      </c>
    </row>
    <row r="1674" spans="1:3">
      <c r="A1674" s="119">
        <v>1674</v>
      </c>
      <c r="B1674" s="119">
        <v>3.3836305441243712E-2</v>
      </c>
      <c r="C1674">
        <v>8</v>
      </c>
    </row>
    <row r="1675" spans="1:3">
      <c r="A1675" s="119">
        <v>1675</v>
      </c>
      <c r="B1675" s="119">
        <v>0.36716963877457703</v>
      </c>
      <c r="C1675">
        <v>31</v>
      </c>
    </row>
    <row r="1676" spans="1:3">
      <c r="A1676" s="119">
        <v>1676</v>
      </c>
      <c r="B1676" s="119">
        <v>0.70050297210791035</v>
      </c>
      <c r="C1676">
        <v>51</v>
      </c>
    </row>
    <row r="1677" spans="1:3">
      <c r="A1677" s="119">
        <v>1677</v>
      </c>
      <c r="B1677" s="119">
        <v>0.1449474165523548</v>
      </c>
      <c r="C1677">
        <v>18</v>
      </c>
    </row>
    <row r="1678" spans="1:3">
      <c r="A1678" s="119">
        <v>1678</v>
      </c>
      <c r="B1678" s="119">
        <v>0.47828074988568814</v>
      </c>
      <c r="C1678">
        <v>37</v>
      </c>
    </row>
    <row r="1679" spans="1:3">
      <c r="A1679" s="119">
        <v>1679</v>
      </c>
      <c r="B1679" s="119">
        <v>0.8116140832190214</v>
      </c>
      <c r="C1679">
        <v>60</v>
      </c>
    </row>
    <row r="1680" spans="1:3">
      <c r="A1680" s="119">
        <v>1680</v>
      </c>
      <c r="B1680" s="119">
        <v>0.25605852766346593</v>
      </c>
      <c r="C1680">
        <v>25</v>
      </c>
    </row>
    <row r="1681" spans="1:3">
      <c r="A1681" s="119">
        <v>1681</v>
      </c>
      <c r="B1681" s="119">
        <v>0.5893918609967993</v>
      </c>
      <c r="C1681">
        <v>43</v>
      </c>
    </row>
    <row r="1682" spans="1:3">
      <c r="A1682" s="119">
        <v>1682</v>
      </c>
      <c r="B1682" s="119">
        <v>0.92272519433013256</v>
      </c>
      <c r="C1682">
        <v>74</v>
      </c>
    </row>
    <row r="1683" spans="1:3">
      <c r="A1683" s="119">
        <v>1683</v>
      </c>
      <c r="B1683" s="119">
        <v>7.0873342478280754E-2</v>
      </c>
      <c r="C1683">
        <v>12</v>
      </c>
    </row>
    <row r="1684" spans="1:3">
      <c r="A1684" s="119">
        <v>1684</v>
      </c>
      <c r="B1684" s="119">
        <v>0.40420667581161407</v>
      </c>
      <c r="C1684">
        <v>33</v>
      </c>
    </row>
    <row r="1685" spans="1:3">
      <c r="A1685" s="119">
        <v>1685</v>
      </c>
      <c r="B1685" s="119">
        <v>0.73754000914494744</v>
      </c>
      <c r="C1685">
        <v>53</v>
      </c>
    </row>
    <row r="1686" spans="1:3">
      <c r="A1686" s="119">
        <v>1686</v>
      </c>
      <c r="B1686" s="119">
        <v>0.18198445358939183</v>
      </c>
      <c r="C1686">
        <v>20</v>
      </c>
    </row>
    <row r="1687" spans="1:3">
      <c r="A1687" s="119">
        <v>1687</v>
      </c>
      <c r="B1687" s="119">
        <v>0.51531778692272523</v>
      </c>
      <c r="C1687">
        <v>39</v>
      </c>
    </row>
    <row r="1688" spans="1:3">
      <c r="A1688" s="119">
        <v>1688</v>
      </c>
      <c r="B1688" s="119">
        <v>0.84865112025605838</v>
      </c>
      <c r="C1688">
        <v>64</v>
      </c>
    </row>
    <row r="1689" spans="1:3">
      <c r="A1689" s="119">
        <v>1689</v>
      </c>
      <c r="B1689" s="119">
        <v>0.29309556470050296</v>
      </c>
      <c r="C1689">
        <v>27</v>
      </c>
    </row>
    <row r="1690" spans="1:3">
      <c r="A1690" s="119">
        <v>1690</v>
      </c>
      <c r="B1690" s="119">
        <v>0.62642889803383628</v>
      </c>
      <c r="C1690">
        <v>46</v>
      </c>
    </row>
    <row r="1691" spans="1:3">
      <c r="A1691" s="119">
        <v>1691</v>
      </c>
      <c r="B1691" s="119">
        <v>0.95976223136716954</v>
      </c>
      <c r="C1691">
        <v>83</v>
      </c>
    </row>
    <row r="1692" spans="1:3">
      <c r="A1692" s="119">
        <v>1692</v>
      </c>
      <c r="B1692" s="119">
        <v>0.10791037951531779</v>
      </c>
      <c r="C1692">
        <v>15</v>
      </c>
    </row>
    <row r="1693" spans="1:3">
      <c r="A1693" s="119">
        <v>1693</v>
      </c>
      <c r="B1693" s="119">
        <v>0.4412437128486511</v>
      </c>
      <c r="C1693">
        <v>35</v>
      </c>
    </row>
    <row r="1694" spans="1:3">
      <c r="A1694" s="119">
        <v>1694</v>
      </c>
      <c r="B1694" s="119">
        <v>0.77457704618198442</v>
      </c>
      <c r="C1694">
        <v>56</v>
      </c>
    </row>
    <row r="1695" spans="1:3">
      <c r="A1695" s="119">
        <v>1695</v>
      </c>
      <c r="B1695" s="119">
        <v>0.21902149062642887</v>
      </c>
      <c r="C1695">
        <v>23</v>
      </c>
    </row>
    <row r="1696" spans="1:3">
      <c r="A1696" s="119">
        <v>1696</v>
      </c>
      <c r="B1696" s="119">
        <v>0.55235482395976221</v>
      </c>
      <c r="C1696">
        <v>41</v>
      </c>
    </row>
    <row r="1697" spans="1:3">
      <c r="A1697" s="119">
        <v>1697</v>
      </c>
      <c r="B1697" s="119">
        <v>0.88568815729309547</v>
      </c>
      <c r="C1697">
        <v>68</v>
      </c>
    </row>
    <row r="1698" spans="1:3">
      <c r="A1698" s="119">
        <v>1698</v>
      </c>
      <c r="B1698" s="119">
        <v>0.33013260173754</v>
      </c>
      <c r="C1698">
        <v>29</v>
      </c>
    </row>
    <row r="1699" spans="1:3">
      <c r="A1699" s="119">
        <v>1699</v>
      </c>
      <c r="B1699" s="119">
        <v>0.66346593507087337</v>
      </c>
      <c r="C1699">
        <v>48</v>
      </c>
    </row>
    <row r="1700" spans="1:3">
      <c r="A1700" s="119">
        <v>1700</v>
      </c>
      <c r="B1700" s="119">
        <v>0.99679926840420663</v>
      </c>
      <c r="C1700">
        <v>105</v>
      </c>
    </row>
    <row r="1701" spans="1:3">
      <c r="A1701" s="119">
        <v>1701</v>
      </c>
      <c r="B1701" s="119">
        <v>2.2862368541380885E-3</v>
      </c>
      <c r="C1701">
        <v>2</v>
      </c>
    </row>
    <row r="1702" spans="1:3">
      <c r="A1702" s="119">
        <v>1702</v>
      </c>
      <c r="B1702" s="119">
        <v>0.33561957018747141</v>
      </c>
      <c r="C1702">
        <v>29</v>
      </c>
    </row>
    <row r="1703" spans="1:3">
      <c r="A1703" s="119">
        <v>1703</v>
      </c>
      <c r="B1703" s="119">
        <v>0.66895290352080472</v>
      </c>
      <c r="C1703">
        <v>49</v>
      </c>
    </row>
    <row r="1704" spans="1:3">
      <c r="A1704" s="119">
        <v>1704</v>
      </c>
      <c r="B1704" s="119">
        <v>0.1133973479652492</v>
      </c>
      <c r="C1704">
        <v>16</v>
      </c>
    </row>
    <row r="1705" spans="1:3">
      <c r="A1705" s="119">
        <v>1705</v>
      </c>
      <c r="B1705" s="119">
        <v>0.44673068129858251</v>
      </c>
      <c r="C1705">
        <v>35</v>
      </c>
    </row>
    <row r="1706" spans="1:3">
      <c r="A1706" s="119">
        <v>1706</v>
      </c>
      <c r="B1706" s="119">
        <v>0.78006401463191577</v>
      </c>
      <c r="C1706">
        <v>57</v>
      </c>
    </row>
    <row r="1707" spans="1:3">
      <c r="A1707" s="119">
        <v>1707</v>
      </c>
      <c r="B1707" s="119">
        <v>0.2245084590763603</v>
      </c>
      <c r="C1707">
        <v>23</v>
      </c>
    </row>
    <row r="1708" spans="1:3">
      <c r="A1708" s="119">
        <v>1708</v>
      </c>
      <c r="B1708" s="119">
        <v>0.55784179240969367</v>
      </c>
      <c r="C1708">
        <v>42</v>
      </c>
    </row>
    <row r="1709" spans="1:3">
      <c r="A1709" s="119">
        <v>1709</v>
      </c>
      <c r="B1709" s="119">
        <v>0.89117512574302693</v>
      </c>
      <c r="C1709">
        <v>69</v>
      </c>
    </row>
    <row r="1710" spans="1:3">
      <c r="A1710" s="119">
        <v>1710</v>
      </c>
      <c r="B1710" s="119">
        <v>3.9323273891175119E-2</v>
      </c>
      <c r="C1710">
        <v>9</v>
      </c>
    </row>
    <row r="1711" spans="1:3">
      <c r="A1711" s="119">
        <v>1711</v>
      </c>
      <c r="B1711" s="119">
        <v>0.37265660722450844</v>
      </c>
      <c r="C1711">
        <v>31</v>
      </c>
    </row>
    <row r="1712" spans="1:3">
      <c r="A1712" s="119">
        <v>1712</v>
      </c>
      <c r="B1712" s="119">
        <v>0.70598994055784181</v>
      </c>
      <c r="C1712">
        <v>51</v>
      </c>
    </row>
    <row r="1713" spans="1:3">
      <c r="A1713" s="119">
        <v>1713</v>
      </c>
      <c r="B1713" s="119">
        <v>0.15043438500228623</v>
      </c>
      <c r="C1713">
        <v>18</v>
      </c>
    </row>
    <row r="1714" spans="1:3">
      <c r="A1714" s="119">
        <v>1714</v>
      </c>
      <c r="B1714" s="119">
        <v>0.48376771833561955</v>
      </c>
      <c r="C1714">
        <v>37</v>
      </c>
    </row>
    <row r="1715" spans="1:3">
      <c r="A1715" s="119">
        <v>1715</v>
      </c>
      <c r="B1715" s="119">
        <v>0.81710105166895275</v>
      </c>
      <c r="C1715">
        <v>60</v>
      </c>
    </row>
    <row r="1716" spans="1:3">
      <c r="A1716" s="119">
        <v>1716</v>
      </c>
      <c r="B1716" s="119">
        <v>0.26154549611339734</v>
      </c>
      <c r="C1716">
        <v>25</v>
      </c>
    </row>
    <row r="1717" spans="1:3">
      <c r="A1717" s="119">
        <v>1717</v>
      </c>
      <c r="B1717" s="119">
        <v>0.59487882944673065</v>
      </c>
      <c r="C1717">
        <v>44</v>
      </c>
    </row>
    <row r="1718" spans="1:3">
      <c r="A1718" s="119">
        <v>1718</v>
      </c>
      <c r="B1718" s="119">
        <v>0.92821216278006391</v>
      </c>
      <c r="C1718">
        <v>75</v>
      </c>
    </row>
    <row r="1719" spans="1:3">
      <c r="A1719" s="119">
        <v>1719</v>
      </c>
      <c r="B1719" s="119">
        <v>7.6360310928212161E-2</v>
      </c>
      <c r="C1719">
        <v>13</v>
      </c>
    </row>
    <row r="1720" spans="1:3">
      <c r="A1720" s="119">
        <v>1720</v>
      </c>
      <c r="B1720" s="119">
        <v>0.40969364426154548</v>
      </c>
      <c r="C1720">
        <v>33</v>
      </c>
    </row>
    <row r="1721" spans="1:3">
      <c r="A1721" s="119">
        <v>1721</v>
      </c>
      <c r="B1721" s="119">
        <v>0.74302697759487879</v>
      </c>
      <c r="C1721">
        <v>54</v>
      </c>
    </row>
    <row r="1722" spans="1:3">
      <c r="A1722" s="119">
        <v>1722</v>
      </c>
      <c r="B1722" s="119">
        <v>0.18747142203932327</v>
      </c>
      <c r="C1722">
        <v>21</v>
      </c>
    </row>
    <row r="1723" spans="1:3">
      <c r="A1723" s="119">
        <v>1723</v>
      </c>
      <c r="B1723" s="119">
        <v>0.52080475537265658</v>
      </c>
      <c r="C1723">
        <v>39</v>
      </c>
    </row>
    <row r="1724" spans="1:3">
      <c r="A1724" s="119">
        <v>1724</v>
      </c>
      <c r="B1724" s="119">
        <v>0.85413808870598984</v>
      </c>
      <c r="C1724">
        <v>64</v>
      </c>
    </row>
    <row r="1725" spans="1:3">
      <c r="A1725" s="119">
        <v>1725</v>
      </c>
      <c r="B1725" s="119">
        <v>0.29858253315043437</v>
      </c>
      <c r="C1725">
        <v>27</v>
      </c>
    </row>
    <row r="1726" spans="1:3">
      <c r="A1726" s="119">
        <v>1726</v>
      </c>
      <c r="B1726" s="119">
        <v>0.63191586648376774</v>
      </c>
      <c r="C1726">
        <v>46</v>
      </c>
    </row>
    <row r="1727" spans="1:3">
      <c r="A1727" s="119">
        <v>1727</v>
      </c>
      <c r="B1727" s="119">
        <v>0.965249199817101</v>
      </c>
      <c r="C1727">
        <v>85</v>
      </c>
    </row>
    <row r="1728" spans="1:3">
      <c r="A1728" s="119">
        <v>1728</v>
      </c>
      <c r="B1728" s="119">
        <v>1.4631915866483767E-2</v>
      </c>
      <c r="C1728">
        <v>5</v>
      </c>
    </row>
    <row r="1729" spans="1:3">
      <c r="A1729" s="119">
        <v>1729</v>
      </c>
      <c r="B1729" s="119">
        <v>0.34796524919981708</v>
      </c>
      <c r="C1729">
        <v>30</v>
      </c>
    </row>
    <row r="1730" spans="1:3">
      <c r="A1730" s="119">
        <v>1730</v>
      </c>
      <c r="B1730" s="119">
        <v>0.68129858253315034</v>
      </c>
      <c r="C1730">
        <v>49</v>
      </c>
    </row>
    <row r="1731" spans="1:3">
      <c r="A1731" s="119">
        <v>1731</v>
      </c>
      <c r="B1731" s="119">
        <v>0.12574302697759487</v>
      </c>
      <c r="C1731">
        <v>17</v>
      </c>
    </row>
    <row r="1732" spans="1:3">
      <c r="A1732" s="119">
        <v>1732</v>
      </c>
      <c r="B1732" s="119">
        <v>0.45907636031092819</v>
      </c>
      <c r="C1732">
        <v>36</v>
      </c>
    </row>
    <row r="1733" spans="1:3">
      <c r="A1733" s="119">
        <v>1733</v>
      </c>
      <c r="B1733" s="119">
        <v>0.7924096936442615</v>
      </c>
      <c r="C1733">
        <v>58</v>
      </c>
    </row>
    <row r="1734" spans="1:3">
      <c r="A1734" s="119">
        <v>1734</v>
      </c>
      <c r="B1734" s="119">
        <v>0.23685413808870598</v>
      </c>
      <c r="C1734">
        <v>24</v>
      </c>
    </row>
    <row r="1735" spans="1:3">
      <c r="A1735" s="119">
        <v>1735</v>
      </c>
      <c r="B1735" s="119">
        <v>0.5701874714220394</v>
      </c>
      <c r="C1735">
        <v>42</v>
      </c>
    </row>
    <row r="1736" spans="1:3">
      <c r="A1736" s="119">
        <v>1736</v>
      </c>
      <c r="B1736" s="119">
        <v>0.90352080475537266</v>
      </c>
      <c r="C1736">
        <v>71</v>
      </c>
    </row>
    <row r="1737" spans="1:3">
      <c r="A1737" s="119">
        <v>1737</v>
      </c>
      <c r="B1737" s="119">
        <v>5.1668952903520797E-2</v>
      </c>
      <c r="C1737">
        <v>10</v>
      </c>
    </row>
    <row r="1738" spans="1:3">
      <c r="A1738" s="119">
        <v>1738</v>
      </c>
      <c r="B1738" s="119">
        <v>0.38500228623685412</v>
      </c>
      <c r="C1738">
        <v>32</v>
      </c>
    </row>
    <row r="1739" spans="1:3">
      <c r="A1739" s="119">
        <v>1739</v>
      </c>
      <c r="B1739" s="119">
        <v>0.71833561957018754</v>
      </c>
      <c r="C1739">
        <v>52</v>
      </c>
    </row>
    <row r="1740" spans="1:3">
      <c r="A1740" s="119">
        <v>1740</v>
      </c>
      <c r="B1740" s="119">
        <v>0.16278006401463191</v>
      </c>
      <c r="C1740">
        <v>19</v>
      </c>
    </row>
    <row r="1741" spans="1:3">
      <c r="A1741" s="119">
        <v>1741</v>
      </c>
      <c r="B1741" s="119">
        <v>0.49611339734796522</v>
      </c>
      <c r="C1741">
        <v>38</v>
      </c>
    </row>
    <row r="1742" spans="1:3">
      <c r="A1742" s="119">
        <v>1742</v>
      </c>
      <c r="B1742" s="119">
        <v>0.82944673068129848</v>
      </c>
      <c r="C1742">
        <v>62</v>
      </c>
    </row>
    <row r="1743" spans="1:3">
      <c r="A1743" s="119">
        <v>1743</v>
      </c>
      <c r="B1743" s="119">
        <v>0.27389117512574301</v>
      </c>
      <c r="C1743">
        <v>26</v>
      </c>
    </row>
    <row r="1744" spans="1:3">
      <c r="A1744" s="119">
        <v>1744</v>
      </c>
      <c r="B1744" s="119">
        <v>0.60722450845907638</v>
      </c>
      <c r="C1744">
        <v>45</v>
      </c>
    </row>
    <row r="1745" spans="1:3">
      <c r="A1745" s="119">
        <v>1745</v>
      </c>
      <c r="B1745" s="119">
        <v>0.94055784179240964</v>
      </c>
      <c r="C1745">
        <v>78</v>
      </c>
    </row>
    <row r="1746" spans="1:3">
      <c r="A1746" s="119">
        <v>1746</v>
      </c>
      <c r="B1746" s="119">
        <v>8.8705989940557839E-2</v>
      </c>
      <c r="C1746">
        <v>14</v>
      </c>
    </row>
    <row r="1747" spans="1:3">
      <c r="A1747" s="119">
        <v>1747</v>
      </c>
      <c r="B1747" s="119">
        <v>0.42203932327389115</v>
      </c>
      <c r="C1747">
        <v>34</v>
      </c>
    </row>
    <row r="1748" spans="1:3">
      <c r="A1748" s="119">
        <v>1748</v>
      </c>
      <c r="B1748" s="119">
        <v>0.75537265660722452</v>
      </c>
      <c r="C1748">
        <v>55</v>
      </c>
    </row>
    <row r="1749" spans="1:3">
      <c r="A1749" s="119">
        <v>1749</v>
      </c>
      <c r="B1749" s="119">
        <v>0.19981710105166894</v>
      </c>
      <c r="C1749">
        <v>22</v>
      </c>
    </row>
    <row r="1750" spans="1:3">
      <c r="A1750" s="119">
        <v>1750</v>
      </c>
      <c r="B1750" s="119">
        <v>0.5331504343850022</v>
      </c>
      <c r="C1750">
        <v>40</v>
      </c>
    </row>
    <row r="1751" spans="1:3">
      <c r="A1751" s="119">
        <v>1751</v>
      </c>
      <c r="B1751" s="119">
        <v>0.86648376771833546</v>
      </c>
      <c r="C1751">
        <v>66</v>
      </c>
    </row>
    <row r="1752" spans="1:3">
      <c r="A1752" s="119">
        <v>1752</v>
      </c>
      <c r="B1752" s="119">
        <v>0.31092821216278005</v>
      </c>
      <c r="C1752">
        <v>28</v>
      </c>
    </row>
    <row r="1753" spans="1:3">
      <c r="A1753" s="119">
        <v>1753</v>
      </c>
      <c r="B1753" s="119">
        <v>0.64426154549611336</v>
      </c>
      <c r="C1753">
        <v>47</v>
      </c>
    </row>
    <row r="1754" spans="1:3">
      <c r="A1754" s="119">
        <v>1754</v>
      </c>
      <c r="B1754" s="119">
        <v>0.97759487882944662</v>
      </c>
      <c r="C1754">
        <v>90</v>
      </c>
    </row>
    <row r="1755" spans="1:3">
      <c r="A1755" s="119">
        <v>1755</v>
      </c>
      <c r="B1755" s="119">
        <v>2.6977594878829444E-2</v>
      </c>
      <c r="C1755">
        <v>7</v>
      </c>
    </row>
    <row r="1756" spans="1:3">
      <c r="A1756" s="119">
        <v>1756</v>
      </c>
      <c r="B1756" s="119">
        <v>0.36031092821216276</v>
      </c>
      <c r="C1756">
        <v>31</v>
      </c>
    </row>
    <row r="1757" spans="1:3">
      <c r="A1757" s="119">
        <v>1757</v>
      </c>
      <c r="B1757" s="119">
        <v>0.69364426154549608</v>
      </c>
      <c r="C1757">
        <v>50</v>
      </c>
    </row>
    <row r="1758" spans="1:3">
      <c r="A1758" s="119">
        <v>1758</v>
      </c>
      <c r="B1758" s="119">
        <v>0.13808870598994055</v>
      </c>
      <c r="C1758">
        <v>17</v>
      </c>
    </row>
    <row r="1759" spans="1:3">
      <c r="A1759" s="119">
        <v>1759</v>
      </c>
      <c r="B1759" s="119">
        <v>0.47142203932327387</v>
      </c>
      <c r="C1759">
        <v>37</v>
      </c>
    </row>
    <row r="1760" spans="1:3">
      <c r="A1760" s="119">
        <v>1760</v>
      </c>
      <c r="B1760" s="119">
        <v>0.80475537265660713</v>
      </c>
      <c r="C1760">
        <v>59</v>
      </c>
    </row>
    <row r="1761" spans="1:3">
      <c r="A1761" s="119">
        <v>1761</v>
      </c>
      <c r="B1761" s="119">
        <v>0.24919981710105166</v>
      </c>
      <c r="C1761">
        <v>24</v>
      </c>
    </row>
    <row r="1762" spans="1:3">
      <c r="A1762" s="119">
        <v>1762</v>
      </c>
      <c r="B1762" s="119">
        <v>0.58253315043438503</v>
      </c>
      <c r="C1762">
        <v>43</v>
      </c>
    </row>
    <row r="1763" spans="1:3">
      <c r="A1763" s="119">
        <v>1763</v>
      </c>
      <c r="B1763" s="119">
        <v>0.91586648376771829</v>
      </c>
      <c r="C1763">
        <v>73</v>
      </c>
    </row>
    <row r="1764" spans="1:3">
      <c r="A1764" s="119">
        <v>1764</v>
      </c>
      <c r="B1764" s="119">
        <v>6.4014631915866482E-2</v>
      </c>
      <c r="C1764">
        <v>11</v>
      </c>
    </row>
    <row r="1765" spans="1:3">
      <c r="A1765" s="119">
        <v>1765</v>
      </c>
      <c r="B1765" s="119">
        <v>0.3973479652491998</v>
      </c>
      <c r="C1765">
        <v>33</v>
      </c>
    </row>
    <row r="1766" spans="1:3">
      <c r="A1766" s="119">
        <v>1766</v>
      </c>
      <c r="B1766" s="119">
        <v>0.73068129858253317</v>
      </c>
      <c r="C1766">
        <v>53</v>
      </c>
    </row>
    <row r="1767" spans="1:3">
      <c r="A1767" s="119">
        <v>1767</v>
      </c>
      <c r="B1767" s="119">
        <v>0.17512574302697759</v>
      </c>
      <c r="C1767">
        <v>20</v>
      </c>
    </row>
    <row r="1768" spans="1:3">
      <c r="A1768" s="119">
        <v>1768</v>
      </c>
      <c r="B1768" s="119">
        <v>0.50845907636031096</v>
      </c>
      <c r="C1768">
        <v>39</v>
      </c>
    </row>
    <row r="1769" spans="1:3">
      <c r="A1769" s="119">
        <v>1769</v>
      </c>
      <c r="B1769" s="119">
        <v>0.84179240969364411</v>
      </c>
      <c r="C1769">
        <v>63</v>
      </c>
    </row>
    <row r="1770" spans="1:3">
      <c r="A1770" s="119">
        <v>1770</v>
      </c>
      <c r="B1770" s="119">
        <v>0.28623685413808869</v>
      </c>
      <c r="C1770">
        <v>27</v>
      </c>
    </row>
    <row r="1771" spans="1:3">
      <c r="A1771" s="119">
        <v>1771</v>
      </c>
      <c r="B1771" s="119">
        <v>0.61957018747142201</v>
      </c>
      <c r="C1771">
        <v>45</v>
      </c>
    </row>
    <row r="1772" spans="1:3">
      <c r="A1772" s="119">
        <v>1772</v>
      </c>
      <c r="B1772" s="119">
        <v>0.95290352080475527</v>
      </c>
      <c r="C1772">
        <v>81</v>
      </c>
    </row>
    <row r="1773" spans="1:3">
      <c r="A1773" s="119">
        <v>1773</v>
      </c>
      <c r="B1773" s="119">
        <v>0.10105166895290352</v>
      </c>
      <c r="C1773">
        <v>15</v>
      </c>
    </row>
    <row r="1774" spans="1:3">
      <c r="A1774" s="119">
        <v>1774</v>
      </c>
      <c r="B1774" s="119">
        <v>0.43438500228623683</v>
      </c>
      <c r="C1774">
        <v>35</v>
      </c>
    </row>
    <row r="1775" spans="1:3">
      <c r="A1775" s="119">
        <v>1775</v>
      </c>
      <c r="B1775" s="119">
        <v>0.76771833561957015</v>
      </c>
      <c r="C1775">
        <v>56</v>
      </c>
    </row>
    <row r="1776" spans="1:3">
      <c r="A1776" s="119">
        <v>1776</v>
      </c>
      <c r="B1776" s="119">
        <v>0.21216278006401462</v>
      </c>
      <c r="C1776">
        <v>22</v>
      </c>
    </row>
    <row r="1777" spans="1:3">
      <c r="A1777" s="119">
        <v>1777</v>
      </c>
      <c r="B1777" s="119">
        <v>0.54549611339734794</v>
      </c>
      <c r="C1777">
        <v>41</v>
      </c>
    </row>
    <row r="1778" spans="1:3">
      <c r="A1778" s="119">
        <v>1778</v>
      </c>
      <c r="B1778" s="119">
        <v>0.8788294467306812</v>
      </c>
      <c r="C1778">
        <v>67</v>
      </c>
    </row>
    <row r="1779" spans="1:3">
      <c r="A1779" s="119">
        <v>1779</v>
      </c>
      <c r="B1779" s="119">
        <v>0.32327389117512573</v>
      </c>
      <c r="C1779">
        <v>29</v>
      </c>
    </row>
    <row r="1780" spans="1:3">
      <c r="A1780" s="119">
        <v>1780</v>
      </c>
      <c r="B1780" s="119">
        <v>0.6566072245084591</v>
      </c>
      <c r="C1780">
        <v>48</v>
      </c>
    </row>
    <row r="1781" spans="1:3">
      <c r="A1781" s="119">
        <v>1781</v>
      </c>
      <c r="B1781" s="119">
        <v>0.98994055784179236</v>
      </c>
      <c r="C1781">
        <v>99</v>
      </c>
    </row>
    <row r="1782" spans="1:3">
      <c r="A1782" s="119">
        <v>1782</v>
      </c>
      <c r="B1782" s="119">
        <v>6.4014631915866489E-3</v>
      </c>
      <c r="C1782">
        <v>3</v>
      </c>
    </row>
    <row r="1783" spans="1:3">
      <c r="A1783" s="119">
        <v>1783</v>
      </c>
      <c r="B1783" s="119">
        <v>0.33973479652491995</v>
      </c>
      <c r="C1783">
        <v>30</v>
      </c>
    </row>
    <row r="1784" spans="1:3">
      <c r="A1784" s="119">
        <v>1784</v>
      </c>
      <c r="B1784" s="119">
        <v>0.67306812985825326</v>
      </c>
      <c r="C1784">
        <v>49</v>
      </c>
    </row>
    <row r="1785" spans="1:3">
      <c r="A1785" s="119">
        <v>1785</v>
      </c>
      <c r="B1785" s="119">
        <v>0.11751257430269775</v>
      </c>
      <c r="C1785">
        <v>16</v>
      </c>
    </row>
    <row r="1786" spans="1:3">
      <c r="A1786" s="119">
        <v>1786</v>
      </c>
      <c r="B1786" s="119">
        <v>0.45084590763603105</v>
      </c>
      <c r="C1786">
        <v>36</v>
      </c>
    </row>
    <row r="1787" spans="1:3">
      <c r="A1787" s="119">
        <v>1787</v>
      </c>
      <c r="B1787" s="119">
        <v>0.78417924096936431</v>
      </c>
      <c r="C1787">
        <v>57</v>
      </c>
    </row>
    <row r="1788" spans="1:3">
      <c r="A1788" s="119">
        <v>1788</v>
      </c>
      <c r="B1788" s="119">
        <v>0.22862368541380887</v>
      </c>
      <c r="C1788">
        <v>23</v>
      </c>
    </row>
    <row r="1789" spans="1:3">
      <c r="A1789" s="119">
        <v>1789</v>
      </c>
      <c r="B1789" s="119">
        <v>0.56195701874714221</v>
      </c>
      <c r="C1789">
        <v>42</v>
      </c>
    </row>
    <row r="1790" spans="1:3">
      <c r="A1790" s="119">
        <v>1790</v>
      </c>
      <c r="B1790" s="119">
        <v>0.89529035208047547</v>
      </c>
      <c r="C1790">
        <v>70</v>
      </c>
    </row>
    <row r="1791" spans="1:3">
      <c r="A1791" s="119">
        <v>1791</v>
      </c>
      <c r="B1791" s="119">
        <v>4.343850022862368E-2</v>
      </c>
      <c r="C1791">
        <v>9</v>
      </c>
    </row>
    <row r="1792" spans="1:3">
      <c r="A1792" s="119">
        <v>1792</v>
      </c>
      <c r="B1792" s="119">
        <v>0.37677183356195698</v>
      </c>
      <c r="C1792">
        <v>32</v>
      </c>
    </row>
    <row r="1793" spans="1:3">
      <c r="A1793" s="119">
        <v>1793</v>
      </c>
      <c r="B1793" s="119">
        <v>0.71010516689529035</v>
      </c>
      <c r="C1793">
        <v>51</v>
      </c>
    </row>
    <row r="1794" spans="1:3">
      <c r="A1794" s="119">
        <v>1794</v>
      </c>
      <c r="B1794" s="119">
        <v>0.1545496113397348</v>
      </c>
      <c r="C1794">
        <v>19</v>
      </c>
    </row>
    <row r="1795" spans="1:3">
      <c r="A1795" s="119">
        <v>1795</v>
      </c>
      <c r="B1795" s="119">
        <v>0.48788294467306809</v>
      </c>
      <c r="C1795">
        <v>38</v>
      </c>
    </row>
    <row r="1796" spans="1:3">
      <c r="A1796" s="119">
        <v>1796</v>
      </c>
      <c r="B1796" s="119">
        <v>0.82121627800640129</v>
      </c>
      <c r="C1796">
        <v>61</v>
      </c>
    </row>
    <row r="1797" spans="1:3">
      <c r="A1797" s="119">
        <v>1797</v>
      </c>
      <c r="B1797" s="119">
        <v>0.26566072245084588</v>
      </c>
      <c r="C1797">
        <v>25</v>
      </c>
    </row>
    <row r="1798" spans="1:3">
      <c r="A1798" s="119">
        <v>1798</v>
      </c>
      <c r="B1798" s="119">
        <v>0.59899405578417919</v>
      </c>
      <c r="C1798">
        <v>44</v>
      </c>
    </row>
    <row r="1799" spans="1:3">
      <c r="A1799" s="119">
        <v>1799</v>
      </c>
      <c r="B1799" s="119">
        <v>0.93232738911751245</v>
      </c>
      <c r="C1799">
        <v>76</v>
      </c>
    </row>
    <row r="1800" spans="1:3">
      <c r="A1800" s="119">
        <v>1800</v>
      </c>
      <c r="B1800" s="119">
        <v>8.0475537265660715E-2</v>
      </c>
      <c r="C1800">
        <v>13</v>
      </c>
    </row>
    <row r="1801" spans="1:3">
      <c r="A1801" s="119">
        <v>1801</v>
      </c>
      <c r="B1801" s="119">
        <v>0.41380887059899402</v>
      </c>
      <c r="C1801">
        <v>34</v>
      </c>
    </row>
    <row r="1802" spans="1:3">
      <c r="A1802" s="119">
        <v>1802</v>
      </c>
      <c r="B1802" s="119">
        <v>0.74714220393232733</v>
      </c>
      <c r="C1802">
        <v>54</v>
      </c>
    </row>
    <row r="1803" spans="1:3">
      <c r="A1803" s="119">
        <v>1803</v>
      </c>
      <c r="B1803" s="119">
        <v>0.19158664837677183</v>
      </c>
      <c r="C1803">
        <v>21</v>
      </c>
    </row>
    <row r="1804" spans="1:3">
      <c r="A1804" s="119">
        <v>1804</v>
      </c>
      <c r="B1804" s="119">
        <v>0.52491998171010512</v>
      </c>
      <c r="C1804">
        <v>40</v>
      </c>
    </row>
    <row r="1805" spans="1:3">
      <c r="A1805" s="119">
        <v>1805</v>
      </c>
      <c r="B1805" s="119">
        <v>0.85825331504343838</v>
      </c>
      <c r="C1805">
        <v>65</v>
      </c>
    </row>
    <row r="1806" spans="1:3">
      <c r="A1806" s="119">
        <v>1806</v>
      </c>
      <c r="B1806" s="119">
        <v>0.30269775948788291</v>
      </c>
      <c r="C1806">
        <v>27</v>
      </c>
    </row>
    <row r="1807" spans="1:3">
      <c r="A1807" s="119">
        <v>1807</v>
      </c>
      <c r="B1807" s="119">
        <v>0.63603109282121628</v>
      </c>
      <c r="C1807">
        <v>46</v>
      </c>
    </row>
    <row r="1808" spans="1:3">
      <c r="A1808" s="119">
        <v>1808</v>
      </c>
      <c r="B1808" s="119">
        <v>0.96936442615454954</v>
      </c>
      <c r="C1808">
        <v>87</v>
      </c>
    </row>
    <row r="1809" spans="1:3">
      <c r="A1809" s="119">
        <v>1809</v>
      </c>
      <c r="B1809" s="119">
        <v>1.8747142203932327E-2</v>
      </c>
      <c r="C1809">
        <v>6</v>
      </c>
    </row>
    <row r="1810" spans="1:3">
      <c r="A1810" s="119">
        <v>1810</v>
      </c>
      <c r="B1810" s="119">
        <v>0.35208047553726562</v>
      </c>
      <c r="C1810">
        <v>30</v>
      </c>
    </row>
    <row r="1811" spans="1:3">
      <c r="A1811" s="119">
        <v>1811</v>
      </c>
      <c r="B1811" s="119">
        <v>0.68541380887059888</v>
      </c>
      <c r="C1811">
        <v>50</v>
      </c>
    </row>
    <row r="1812" spans="1:3">
      <c r="A1812" s="119">
        <v>1812</v>
      </c>
      <c r="B1812" s="119">
        <v>0.12985825331504344</v>
      </c>
      <c r="C1812">
        <v>17</v>
      </c>
    </row>
    <row r="1813" spans="1:3">
      <c r="A1813" s="119">
        <v>1813</v>
      </c>
      <c r="B1813" s="119">
        <v>0.46319158664837673</v>
      </c>
      <c r="C1813">
        <v>36</v>
      </c>
    </row>
    <row r="1814" spans="1:3">
      <c r="A1814" s="119">
        <v>1814</v>
      </c>
      <c r="B1814" s="119">
        <v>0.79652491998171004</v>
      </c>
      <c r="C1814">
        <v>58</v>
      </c>
    </row>
    <row r="1815" spans="1:3">
      <c r="A1815" s="119">
        <v>1815</v>
      </c>
      <c r="B1815" s="119">
        <v>0.24096936442615455</v>
      </c>
      <c r="C1815">
        <v>24</v>
      </c>
    </row>
    <row r="1816" spans="1:3">
      <c r="A1816" s="119">
        <v>1816</v>
      </c>
      <c r="B1816" s="119">
        <v>0.57430269775948795</v>
      </c>
      <c r="C1816">
        <v>43</v>
      </c>
    </row>
    <row r="1817" spans="1:3">
      <c r="A1817" s="119">
        <v>1817</v>
      </c>
      <c r="B1817" s="119">
        <v>0.9076360310928212</v>
      </c>
      <c r="C1817">
        <v>71</v>
      </c>
    </row>
    <row r="1818" spans="1:3">
      <c r="A1818" s="119">
        <v>1818</v>
      </c>
      <c r="B1818" s="119">
        <v>5.5784179240969359E-2</v>
      </c>
      <c r="C1818">
        <v>11</v>
      </c>
    </row>
    <row r="1819" spans="1:3">
      <c r="A1819" s="119">
        <v>1819</v>
      </c>
      <c r="B1819" s="119">
        <v>0.38911751257430266</v>
      </c>
      <c r="C1819">
        <v>32</v>
      </c>
    </row>
    <row r="1820" spans="1:3">
      <c r="A1820" s="119">
        <v>1820</v>
      </c>
      <c r="B1820" s="119">
        <v>0.72245084590763609</v>
      </c>
      <c r="C1820">
        <v>52</v>
      </c>
    </row>
    <row r="1821" spans="1:3">
      <c r="A1821" s="119">
        <v>1821</v>
      </c>
      <c r="B1821" s="119">
        <v>0.16689529035208048</v>
      </c>
      <c r="C1821">
        <v>19</v>
      </c>
    </row>
    <row r="1822" spans="1:3">
      <c r="A1822" s="119">
        <v>1822</v>
      </c>
      <c r="B1822" s="119">
        <v>0.50022862368541376</v>
      </c>
      <c r="C1822">
        <v>38</v>
      </c>
    </row>
    <row r="1823" spans="1:3">
      <c r="A1823" s="119">
        <v>1823</v>
      </c>
      <c r="B1823" s="119">
        <v>0.83356195701874702</v>
      </c>
      <c r="C1823">
        <v>62</v>
      </c>
    </row>
    <row r="1824" spans="1:3">
      <c r="A1824" s="119">
        <v>1824</v>
      </c>
      <c r="B1824" s="119">
        <v>0.27800640146319155</v>
      </c>
      <c r="C1824">
        <v>26</v>
      </c>
    </row>
    <row r="1825" spans="1:3">
      <c r="A1825" s="119">
        <v>1825</v>
      </c>
      <c r="B1825" s="119">
        <v>0.61133973479652493</v>
      </c>
      <c r="C1825">
        <v>45</v>
      </c>
    </row>
    <row r="1826" spans="1:3">
      <c r="A1826" s="119">
        <v>1826</v>
      </c>
      <c r="B1826" s="119">
        <v>0.94467306812985818</v>
      </c>
      <c r="C1826">
        <v>79</v>
      </c>
    </row>
    <row r="1827" spans="1:3">
      <c r="A1827" s="119">
        <v>1827</v>
      </c>
      <c r="B1827" s="119">
        <v>9.2821216278006394E-2</v>
      </c>
      <c r="C1827">
        <v>14</v>
      </c>
    </row>
    <row r="1828" spans="1:3">
      <c r="A1828" s="119">
        <v>1828</v>
      </c>
      <c r="B1828" s="119">
        <v>0.42615454961133969</v>
      </c>
      <c r="C1828">
        <v>34</v>
      </c>
    </row>
    <row r="1829" spans="1:3">
      <c r="A1829" s="119">
        <v>1829</v>
      </c>
      <c r="B1829" s="119">
        <v>0.75948788294467307</v>
      </c>
      <c r="C1829">
        <v>55</v>
      </c>
    </row>
    <row r="1830" spans="1:3">
      <c r="A1830" s="119">
        <v>1830</v>
      </c>
      <c r="B1830" s="119">
        <v>0.20393232738911751</v>
      </c>
      <c r="C1830">
        <v>22</v>
      </c>
    </row>
    <row r="1831" spans="1:3">
      <c r="A1831" s="119">
        <v>1831</v>
      </c>
      <c r="B1831" s="119">
        <v>0.53726566072245074</v>
      </c>
      <c r="C1831">
        <v>40</v>
      </c>
    </row>
    <row r="1832" spans="1:3">
      <c r="A1832" s="119">
        <v>1832</v>
      </c>
      <c r="B1832" s="119">
        <v>0.870598994055784</v>
      </c>
      <c r="C1832">
        <v>66</v>
      </c>
    </row>
    <row r="1833" spans="1:3">
      <c r="A1833" s="119">
        <v>1833</v>
      </c>
      <c r="B1833" s="119">
        <v>0.31504343850022859</v>
      </c>
      <c r="C1833">
        <v>28</v>
      </c>
    </row>
    <row r="1834" spans="1:3">
      <c r="A1834" s="119">
        <v>1834</v>
      </c>
      <c r="B1834" s="119">
        <v>0.6483767718335619</v>
      </c>
      <c r="C1834">
        <v>47</v>
      </c>
    </row>
    <row r="1835" spans="1:3">
      <c r="A1835" s="119">
        <v>1835</v>
      </c>
      <c r="B1835" s="119">
        <v>0.98171010516689516</v>
      </c>
      <c r="C1835">
        <v>93</v>
      </c>
    </row>
    <row r="1836" spans="1:3">
      <c r="A1836" s="119">
        <v>1836</v>
      </c>
      <c r="B1836" s="119">
        <v>3.1092821216278006E-2</v>
      </c>
      <c r="C1836">
        <v>8</v>
      </c>
    </row>
    <row r="1837" spans="1:3">
      <c r="A1837" s="119">
        <v>1837</v>
      </c>
      <c r="B1837" s="119">
        <v>0.3644261545496113</v>
      </c>
      <c r="C1837">
        <v>31</v>
      </c>
    </row>
    <row r="1838" spans="1:3">
      <c r="A1838" s="119">
        <v>1838</v>
      </c>
      <c r="B1838" s="119">
        <v>0.69775948788294462</v>
      </c>
      <c r="C1838">
        <v>51</v>
      </c>
    </row>
    <row r="1839" spans="1:3">
      <c r="A1839" s="119">
        <v>1839</v>
      </c>
      <c r="B1839" s="119">
        <v>0.14220393232738912</v>
      </c>
      <c r="C1839">
        <v>18</v>
      </c>
    </row>
    <row r="1840" spans="1:3">
      <c r="A1840" s="119">
        <v>1840</v>
      </c>
      <c r="B1840" s="119">
        <v>0.47553726566072241</v>
      </c>
      <c r="C1840">
        <v>37</v>
      </c>
    </row>
    <row r="1841" spans="1:3">
      <c r="A1841" s="119">
        <v>1841</v>
      </c>
      <c r="B1841" s="119">
        <v>0.80887059899405567</v>
      </c>
      <c r="C1841">
        <v>59</v>
      </c>
    </row>
    <row r="1842" spans="1:3">
      <c r="A1842" s="119">
        <v>1842</v>
      </c>
      <c r="B1842" s="119">
        <v>0.2533150434385002</v>
      </c>
      <c r="C1842">
        <v>25</v>
      </c>
    </row>
    <row r="1843" spans="1:3">
      <c r="A1843" s="119">
        <v>1843</v>
      </c>
      <c r="B1843" s="119">
        <v>0.58664837677183357</v>
      </c>
      <c r="C1843">
        <v>43</v>
      </c>
    </row>
    <row r="1844" spans="1:3">
      <c r="A1844" s="119">
        <v>1844</v>
      </c>
      <c r="B1844" s="119">
        <v>0.91998171010516683</v>
      </c>
      <c r="C1844">
        <v>74</v>
      </c>
    </row>
    <row r="1845" spans="1:3">
      <c r="A1845" s="119">
        <v>1845</v>
      </c>
      <c r="B1845" s="119">
        <v>6.8129858253315037E-2</v>
      </c>
      <c r="C1845">
        <v>12</v>
      </c>
    </row>
    <row r="1846" spans="1:3">
      <c r="A1846" s="119">
        <v>1846</v>
      </c>
      <c r="B1846" s="119">
        <v>0.40146319158664834</v>
      </c>
      <c r="C1846">
        <v>33</v>
      </c>
    </row>
    <row r="1847" spans="1:3">
      <c r="A1847" s="119">
        <v>1847</v>
      </c>
      <c r="B1847" s="119">
        <v>0.73479652491998171</v>
      </c>
      <c r="C1847">
        <v>53</v>
      </c>
    </row>
    <row r="1848" spans="1:3">
      <c r="A1848" s="119">
        <v>1848</v>
      </c>
      <c r="B1848" s="119">
        <v>0.17924096936442616</v>
      </c>
      <c r="C1848">
        <v>20</v>
      </c>
    </row>
    <row r="1849" spans="1:3">
      <c r="A1849" s="119">
        <v>1849</v>
      </c>
      <c r="B1849" s="119">
        <v>0.5125743026977595</v>
      </c>
      <c r="C1849">
        <v>39</v>
      </c>
    </row>
    <row r="1850" spans="1:3">
      <c r="A1850" s="119">
        <v>1850</v>
      </c>
      <c r="B1850" s="119">
        <v>0.84590763603109265</v>
      </c>
      <c r="C1850">
        <v>63</v>
      </c>
    </row>
    <row r="1851" spans="1:3">
      <c r="A1851" s="119">
        <v>1851</v>
      </c>
      <c r="B1851" s="119">
        <v>0.29035208047553723</v>
      </c>
      <c r="C1851">
        <v>27</v>
      </c>
    </row>
    <row r="1852" spans="1:3">
      <c r="A1852" s="119">
        <v>1852</v>
      </c>
      <c r="B1852" s="119">
        <v>0.62368541380887055</v>
      </c>
      <c r="C1852">
        <v>46</v>
      </c>
    </row>
    <row r="1853" spans="1:3">
      <c r="A1853" s="119">
        <v>1853</v>
      </c>
      <c r="B1853" s="119">
        <v>0.95701874714220381</v>
      </c>
      <c r="C1853">
        <v>82</v>
      </c>
    </row>
    <row r="1854" spans="1:3">
      <c r="A1854" s="119">
        <v>1854</v>
      </c>
      <c r="B1854" s="119">
        <v>0.10516689529035207</v>
      </c>
      <c r="C1854">
        <v>15</v>
      </c>
    </row>
    <row r="1855" spans="1:3">
      <c r="A1855" s="119">
        <v>1855</v>
      </c>
      <c r="B1855" s="119">
        <v>0.43850022862368537</v>
      </c>
      <c r="C1855">
        <v>35</v>
      </c>
    </row>
    <row r="1856" spans="1:3">
      <c r="A1856" s="119">
        <v>1856</v>
      </c>
      <c r="B1856" s="119">
        <v>0.77183356195701869</v>
      </c>
      <c r="C1856">
        <v>56</v>
      </c>
    </row>
    <row r="1857" spans="1:3">
      <c r="A1857" s="119">
        <v>1857</v>
      </c>
      <c r="B1857" s="119">
        <v>0.21627800640146319</v>
      </c>
      <c r="C1857">
        <v>23</v>
      </c>
    </row>
    <row r="1858" spans="1:3">
      <c r="A1858" s="119">
        <v>1858</v>
      </c>
      <c r="B1858" s="119">
        <v>0.54961133973479648</v>
      </c>
      <c r="C1858">
        <v>41</v>
      </c>
    </row>
    <row r="1859" spans="1:3">
      <c r="A1859" s="119">
        <v>1859</v>
      </c>
      <c r="B1859" s="119">
        <v>0.88294467306812974</v>
      </c>
      <c r="C1859">
        <v>68</v>
      </c>
    </row>
    <row r="1860" spans="1:3">
      <c r="A1860" s="119">
        <v>1860</v>
      </c>
      <c r="B1860" s="119">
        <v>0.32738911751257427</v>
      </c>
      <c r="C1860">
        <v>29</v>
      </c>
    </row>
    <row r="1861" spans="1:3">
      <c r="A1861" s="119">
        <v>1861</v>
      </c>
      <c r="B1861" s="119">
        <v>0.66072245084590764</v>
      </c>
      <c r="C1861">
        <v>48</v>
      </c>
    </row>
    <row r="1862" spans="1:3">
      <c r="A1862" s="119">
        <v>1862</v>
      </c>
      <c r="B1862" s="119">
        <v>0.9940557841792409</v>
      </c>
      <c r="C1862">
        <v>105</v>
      </c>
    </row>
    <row r="1863" spans="1:3">
      <c r="A1863" s="119">
        <v>1863</v>
      </c>
      <c r="B1863" s="119">
        <v>1.0516689529035209E-2</v>
      </c>
      <c r="C1863">
        <v>4</v>
      </c>
    </row>
    <row r="1864" spans="1:3">
      <c r="A1864" s="119">
        <v>1864</v>
      </c>
      <c r="B1864" s="119">
        <v>0.34385002286236854</v>
      </c>
      <c r="C1864">
        <v>30</v>
      </c>
    </row>
    <row r="1865" spans="1:3">
      <c r="A1865" s="119">
        <v>1865</v>
      </c>
      <c r="B1865" s="119">
        <v>0.6771833561957018</v>
      </c>
      <c r="C1865">
        <v>49</v>
      </c>
    </row>
    <row r="1866" spans="1:3">
      <c r="A1866" s="119">
        <v>1866</v>
      </c>
      <c r="B1866" s="119">
        <v>0.12162780064014632</v>
      </c>
      <c r="C1866">
        <v>16</v>
      </c>
    </row>
    <row r="1867" spans="1:3">
      <c r="A1867" s="119">
        <v>1867</v>
      </c>
      <c r="B1867" s="119">
        <v>0.45496113397347965</v>
      </c>
      <c r="C1867">
        <v>36</v>
      </c>
    </row>
    <row r="1868" spans="1:3">
      <c r="A1868" s="119">
        <v>1868</v>
      </c>
      <c r="B1868" s="119">
        <v>0.78829446730681285</v>
      </c>
      <c r="C1868">
        <v>58</v>
      </c>
    </row>
    <row r="1869" spans="1:3">
      <c r="A1869" s="119">
        <v>1869</v>
      </c>
      <c r="B1869" s="119">
        <v>0.23273891175125741</v>
      </c>
      <c r="C1869">
        <v>23</v>
      </c>
    </row>
    <row r="1870" spans="1:3">
      <c r="A1870" s="119">
        <v>1870</v>
      </c>
      <c r="B1870" s="119">
        <v>0.56607224508459075</v>
      </c>
      <c r="C1870">
        <v>42</v>
      </c>
    </row>
    <row r="1871" spans="1:3">
      <c r="A1871" s="119">
        <v>1871</v>
      </c>
      <c r="B1871" s="119">
        <v>0.89940557841792401</v>
      </c>
      <c r="C1871">
        <v>70</v>
      </c>
    </row>
    <row r="1872" spans="1:3">
      <c r="A1872" s="119">
        <v>1872</v>
      </c>
      <c r="B1872" s="119">
        <v>4.7553726566072242E-2</v>
      </c>
      <c r="C1872">
        <v>10</v>
      </c>
    </row>
    <row r="1873" spans="1:3">
      <c r="A1873" s="119">
        <v>1873</v>
      </c>
      <c r="B1873" s="119">
        <v>0.38088705989940558</v>
      </c>
      <c r="C1873">
        <v>32</v>
      </c>
    </row>
    <row r="1874" spans="1:3">
      <c r="A1874" s="119">
        <v>1874</v>
      </c>
      <c r="B1874" s="119">
        <v>0.71422039323273889</v>
      </c>
      <c r="C1874">
        <v>52</v>
      </c>
    </row>
    <row r="1875" spans="1:3">
      <c r="A1875" s="119">
        <v>1875</v>
      </c>
      <c r="B1875" s="119">
        <v>0.15866483767718334</v>
      </c>
      <c r="C1875">
        <v>19</v>
      </c>
    </row>
    <row r="1876" spans="1:3">
      <c r="A1876" s="119">
        <v>1876</v>
      </c>
      <c r="B1876" s="119">
        <v>0.49199817101051668</v>
      </c>
      <c r="C1876">
        <v>38</v>
      </c>
    </row>
    <row r="1877" spans="1:3">
      <c r="A1877" s="119">
        <v>1877</v>
      </c>
      <c r="B1877" s="119">
        <v>0.82533150434384983</v>
      </c>
      <c r="C1877">
        <v>61</v>
      </c>
    </row>
    <row r="1878" spans="1:3">
      <c r="A1878" s="119">
        <v>1878</v>
      </c>
      <c r="B1878" s="119">
        <v>0.26977594878829447</v>
      </c>
      <c r="C1878">
        <v>26</v>
      </c>
    </row>
    <row r="1879" spans="1:3">
      <c r="A1879" s="119">
        <v>1879</v>
      </c>
      <c r="B1879" s="119">
        <v>0.60310928212162773</v>
      </c>
      <c r="C1879">
        <v>44</v>
      </c>
    </row>
    <row r="1880" spans="1:3">
      <c r="A1880" s="119">
        <v>1880</v>
      </c>
      <c r="B1880" s="119">
        <v>0.93644261545496099</v>
      </c>
      <c r="C1880">
        <v>77</v>
      </c>
    </row>
    <row r="1881" spans="1:3">
      <c r="A1881" s="119">
        <v>1881</v>
      </c>
      <c r="B1881" s="119">
        <v>8.4590763603109284E-2</v>
      </c>
      <c r="C1881">
        <v>13</v>
      </c>
    </row>
    <row r="1882" spans="1:3">
      <c r="A1882" s="119">
        <v>1882</v>
      </c>
      <c r="B1882" s="119">
        <v>0.41792409693644261</v>
      </c>
      <c r="C1882">
        <v>34</v>
      </c>
    </row>
    <row r="1883" spans="1:3">
      <c r="A1883" s="119">
        <v>1883</v>
      </c>
      <c r="B1883" s="119">
        <v>0.75125743026977587</v>
      </c>
      <c r="C1883">
        <v>54</v>
      </c>
    </row>
    <row r="1884" spans="1:3">
      <c r="A1884" s="119">
        <v>1884</v>
      </c>
      <c r="B1884" s="119">
        <v>0.19570187471422038</v>
      </c>
      <c r="C1884">
        <v>21</v>
      </c>
    </row>
    <row r="1885" spans="1:3">
      <c r="A1885" s="119">
        <v>1885</v>
      </c>
      <c r="B1885" s="119">
        <v>0.52903520804755366</v>
      </c>
      <c r="C1885">
        <v>40</v>
      </c>
    </row>
    <row r="1886" spans="1:3">
      <c r="A1886" s="119">
        <v>1886</v>
      </c>
      <c r="B1886" s="119">
        <v>0.86236854138088692</v>
      </c>
      <c r="C1886">
        <v>65</v>
      </c>
    </row>
    <row r="1887" spans="1:3">
      <c r="A1887" s="119">
        <v>1887</v>
      </c>
      <c r="B1887" s="119">
        <v>0.30681298582533151</v>
      </c>
      <c r="C1887">
        <v>28</v>
      </c>
    </row>
    <row r="1888" spans="1:3">
      <c r="A1888" s="119">
        <v>1888</v>
      </c>
      <c r="B1888" s="119">
        <v>0.64014631915866482</v>
      </c>
      <c r="C1888">
        <v>47</v>
      </c>
    </row>
    <row r="1889" spans="1:3">
      <c r="A1889" s="119">
        <v>1889</v>
      </c>
      <c r="B1889" s="119">
        <v>0.97347965249199808</v>
      </c>
      <c r="C1889">
        <v>88</v>
      </c>
    </row>
    <row r="1890" spans="1:3">
      <c r="A1890" s="119">
        <v>1890</v>
      </c>
      <c r="B1890" s="119">
        <v>2.2862368541380886E-2</v>
      </c>
      <c r="C1890">
        <v>7</v>
      </c>
    </row>
    <row r="1891" spans="1:3">
      <c r="A1891" s="119">
        <v>1891</v>
      </c>
      <c r="B1891" s="119">
        <v>0.35619570187471422</v>
      </c>
      <c r="C1891">
        <v>30</v>
      </c>
    </row>
    <row r="1892" spans="1:3">
      <c r="A1892" s="119">
        <v>1892</v>
      </c>
      <c r="B1892" s="119">
        <v>0.68952903520804742</v>
      </c>
      <c r="C1892">
        <v>50</v>
      </c>
    </row>
    <row r="1893" spans="1:3">
      <c r="A1893" s="119">
        <v>1893</v>
      </c>
      <c r="B1893" s="119">
        <v>0.13397347965249198</v>
      </c>
      <c r="C1893">
        <v>17</v>
      </c>
    </row>
    <row r="1894" spans="1:3">
      <c r="A1894" s="119">
        <v>1894</v>
      </c>
      <c r="B1894" s="119">
        <v>0.46730681298582533</v>
      </c>
      <c r="C1894">
        <v>37</v>
      </c>
    </row>
    <row r="1895" spans="1:3">
      <c r="A1895" s="119">
        <v>1895</v>
      </c>
      <c r="B1895" s="119">
        <v>0.80064014631915859</v>
      </c>
      <c r="C1895">
        <v>59</v>
      </c>
    </row>
    <row r="1896" spans="1:3">
      <c r="A1896" s="119">
        <v>1896</v>
      </c>
      <c r="B1896" s="119">
        <v>0.24508459076360309</v>
      </c>
      <c r="C1896">
        <v>24</v>
      </c>
    </row>
    <row r="1897" spans="1:3">
      <c r="A1897" s="119">
        <v>1897</v>
      </c>
      <c r="B1897" s="119">
        <v>0.57841792409693649</v>
      </c>
      <c r="C1897">
        <v>43</v>
      </c>
    </row>
    <row r="1898" spans="1:3">
      <c r="A1898" s="119">
        <v>1898</v>
      </c>
      <c r="B1898" s="119">
        <v>0.91175125743026975</v>
      </c>
      <c r="C1898">
        <v>72</v>
      </c>
    </row>
    <row r="1899" spans="1:3">
      <c r="A1899" s="119">
        <v>1899</v>
      </c>
      <c r="B1899" s="119">
        <v>5.9899405578417921E-2</v>
      </c>
      <c r="C1899">
        <v>11</v>
      </c>
    </row>
    <row r="1900" spans="1:3">
      <c r="A1900" s="119">
        <v>1900</v>
      </c>
      <c r="B1900" s="119">
        <v>0.39323273891175126</v>
      </c>
      <c r="C1900">
        <v>32</v>
      </c>
    </row>
    <row r="1901" spans="1:3">
      <c r="A1901" s="119">
        <v>1901</v>
      </c>
      <c r="B1901" s="119">
        <v>0.72656607224508463</v>
      </c>
      <c r="C1901">
        <v>53</v>
      </c>
    </row>
    <row r="1902" spans="1:3">
      <c r="A1902" s="119">
        <v>1902</v>
      </c>
      <c r="B1902" s="119">
        <v>0.17101051668952902</v>
      </c>
      <c r="C1902">
        <v>20</v>
      </c>
    </row>
    <row r="1903" spans="1:3">
      <c r="A1903" s="119">
        <v>1903</v>
      </c>
      <c r="B1903" s="119">
        <v>0.50434385002286231</v>
      </c>
      <c r="C1903">
        <v>39</v>
      </c>
    </row>
    <row r="1904" spans="1:3">
      <c r="A1904" s="119">
        <v>1904</v>
      </c>
      <c r="B1904" s="119">
        <v>0.83767718335619556</v>
      </c>
      <c r="C1904">
        <v>62</v>
      </c>
    </row>
    <row r="1905" spans="1:3">
      <c r="A1905" s="119">
        <v>1905</v>
      </c>
      <c r="B1905" s="119">
        <v>0.28212162780064015</v>
      </c>
      <c r="C1905">
        <v>26</v>
      </c>
    </row>
    <row r="1906" spans="1:3">
      <c r="A1906" s="119">
        <v>1906</v>
      </c>
      <c r="B1906" s="119">
        <v>0.61545496113397347</v>
      </c>
      <c r="C1906">
        <v>45</v>
      </c>
    </row>
    <row r="1907" spans="1:3">
      <c r="A1907" s="119">
        <v>1907</v>
      </c>
      <c r="B1907" s="119">
        <v>0.94878829446730673</v>
      </c>
      <c r="C1907">
        <v>80</v>
      </c>
    </row>
    <row r="1908" spans="1:3">
      <c r="A1908" s="119">
        <v>1908</v>
      </c>
      <c r="B1908" s="119">
        <v>9.6936442615454962E-2</v>
      </c>
      <c r="C1908">
        <v>14</v>
      </c>
    </row>
    <row r="1909" spans="1:3">
      <c r="A1909" s="119">
        <v>1909</v>
      </c>
      <c r="B1909" s="119">
        <v>0.43026977594878829</v>
      </c>
      <c r="C1909">
        <v>34</v>
      </c>
    </row>
    <row r="1910" spans="1:3">
      <c r="A1910" s="119">
        <v>1910</v>
      </c>
      <c r="B1910" s="119">
        <v>0.76360310928212161</v>
      </c>
      <c r="C1910">
        <v>55</v>
      </c>
    </row>
    <row r="1911" spans="1:3">
      <c r="A1911" s="119">
        <v>1911</v>
      </c>
      <c r="B1911" s="119">
        <v>0.20804755372656605</v>
      </c>
      <c r="C1911">
        <v>22</v>
      </c>
    </row>
    <row r="1912" spans="1:3">
      <c r="A1912" s="119">
        <v>1912</v>
      </c>
      <c r="B1912" s="119">
        <v>0.54138088705989929</v>
      </c>
      <c r="C1912">
        <v>41</v>
      </c>
    </row>
    <row r="1913" spans="1:3">
      <c r="A1913" s="119">
        <v>1913</v>
      </c>
      <c r="B1913" s="119">
        <v>0.87471422039323254</v>
      </c>
      <c r="C1913">
        <v>67</v>
      </c>
    </row>
    <row r="1914" spans="1:3">
      <c r="A1914" s="119">
        <v>1914</v>
      </c>
      <c r="B1914" s="119">
        <v>0.31915866483767719</v>
      </c>
      <c r="C1914">
        <v>28</v>
      </c>
    </row>
    <row r="1915" spans="1:3">
      <c r="A1915" s="119">
        <v>1915</v>
      </c>
      <c r="B1915" s="119">
        <v>0.65249199817101045</v>
      </c>
      <c r="C1915">
        <v>47</v>
      </c>
    </row>
    <row r="1916" spans="1:3">
      <c r="A1916" s="119">
        <v>1916</v>
      </c>
      <c r="B1916" s="119">
        <v>0.9858253315043437</v>
      </c>
      <c r="C1916">
        <v>96</v>
      </c>
    </row>
    <row r="1917" spans="1:3">
      <c r="A1917" s="119">
        <v>1917</v>
      </c>
      <c r="B1917" s="119">
        <v>3.5208047553726564E-2</v>
      </c>
      <c r="C1917">
        <v>8</v>
      </c>
    </row>
    <row r="1918" spans="1:3">
      <c r="A1918" s="119">
        <v>1918</v>
      </c>
      <c r="B1918" s="119">
        <v>0.3685413808870599</v>
      </c>
      <c r="C1918">
        <v>31</v>
      </c>
    </row>
    <row r="1919" spans="1:3">
      <c r="A1919" s="119">
        <v>1919</v>
      </c>
      <c r="B1919" s="119">
        <v>0.70187471422039316</v>
      </c>
      <c r="C1919">
        <v>51</v>
      </c>
    </row>
    <row r="1920" spans="1:3">
      <c r="A1920" s="119">
        <v>1920</v>
      </c>
      <c r="B1920" s="119">
        <v>0.14631915866483766</v>
      </c>
      <c r="C1920">
        <v>18</v>
      </c>
    </row>
    <row r="1921" spans="1:3">
      <c r="A1921" s="119">
        <v>1921</v>
      </c>
      <c r="B1921" s="119">
        <v>0.479652491998171</v>
      </c>
      <c r="C1921">
        <v>37</v>
      </c>
    </row>
    <row r="1922" spans="1:3">
      <c r="A1922" s="119">
        <v>1922</v>
      </c>
      <c r="B1922" s="119">
        <v>0.81298582533150421</v>
      </c>
      <c r="C1922">
        <v>60</v>
      </c>
    </row>
    <row r="1923" spans="1:3">
      <c r="A1923" s="119">
        <v>1923</v>
      </c>
      <c r="B1923" s="119">
        <v>0.25743026977594879</v>
      </c>
      <c r="C1923">
        <v>25</v>
      </c>
    </row>
    <row r="1924" spans="1:3">
      <c r="A1924" s="119">
        <v>1924</v>
      </c>
      <c r="B1924" s="119">
        <v>0.59076360310928211</v>
      </c>
      <c r="C1924">
        <v>44</v>
      </c>
    </row>
    <row r="1925" spans="1:3">
      <c r="A1925" s="119">
        <v>1925</v>
      </c>
      <c r="B1925" s="119">
        <v>0.92409693644261537</v>
      </c>
      <c r="C1925">
        <v>74</v>
      </c>
    </row>
    <row r="1926" spans="1:3">
      <c r="A1926" s="119">
        <v>1926</v>
      </c>
      <c r="B1926" s="119">
        <v>7.2245084590763606E-2</v>
      </c>
      <c r="C1926">
        <v>12</v>
      </c>
    </row>
    <row r="1927" spans="1:3">
      <c r="A1927" s="119">
        <v>1927</v>
      </c>
      <c r="B1927" s="119">
        <v>0.40557841792409693</v>
      </c>
      <c r="C1927">
        <v>33</v>
      </c>
    </row>
    <row r="1928" spans="1:3">
      <c r="A1928" s="119">
        <v>1928</v>
      </c>
      <c r="B1928" s="119">
        <v>0.73891175125743025</v>
      </c>
      <c r="C1928">
        <v>54</v>
      </c>
    </row>
    <row r="1929" spans="1:3">
      <c r="A1929" s="119">
        <v>1929</v>
      </c>
      <c r="B1929" s="119">
        <v>0.1833561957018747</v>
      </c>
      <c r="C1929">
        <v>20</v>
      </c>
    </row>
    <row r="1930" spans="1:3">
      <c r="A1930" s="119">
        <v>1930</v>
      </c>
      <c r="B1930" s="119">
        <v>0.51668952903520804</v>
      </c>
      <c r="C1930">
        <v>39</v>
      </c>
    </row>
    <row r="1931" spans="1:3">
      <c r="A1931" s="119">
        <v>1931</v>
      </c>
      <c r="B1931" s="119">
        <v>0.85002286236854119</v>
      </c>
      <c r="C1931">
        <v>64</v>
      </c>
    </row>
    <row r="1932" spans="1:3">
      <c r="A1932" s="119">
        <v>1932</v>
      </c>
      <c r="B1932" s="119">
        <v>0.29446730681298583</v>
      </c>
      <c r="C1932">
        <v>27</v>
      </c>
    </row>
    <row r="1933" spans="1:3">
      <c r="A1933" s="119">
        <v>1933</v>
      </c>
      <c r="B1933" s="119">
        <v>0.62780064014631909</v>
      </c>
      <c r="C1933">
        <v>46</v>
      </c>
    </row>
    <row r="1934" spans="1:3">
      <c r="A1934" s="119">
        <v>1934</v>
      </c>
      <c r="B1934" s="119">
        <v>0.96113397347965235</v>
      </c>
      <c r="C1934">
        <v>84</v>
      </c>
    </row>
    <row r="1935" spans="1:3">
      <c r="A1935" s="119">
        <v>1935</v>
      </c>
      <c r="B1935" s="119">
        <v>0.10928212162780064</v>
      </c>
      <c r="C1935">
        <v>15</v>
      </c>
    </row>
    <row r="1936" spans="1:3">
      <c r="A1936" s="119">
        <v>1936</v>
      </c>
      <c r="B1936" s="119">
        <v>0.44261545496113397</v>
      </c>
      <c r="C1936">
        <v>35</v>
      </c>
    </row>
    <row r="1937" spans="1:3">
      <c r="A1937" s="119">
        <v>1937</v>
      </c>
      <c r="B1937" s="119">
        <v>0.77594878829446723</v>
      </c>
      <c r="C1937">
        <v>57</v>
      </c>
    </row>
    <row r="1938" spans="1:3">
      <c r="A1938" s="119">
        <v>1938</v>
      </c>
      <c r="B1938" s="119">
        <v>0.22039323273891173</v>
      </c>
      <c r="C1938">
        <v>23</v>
      </c>
    </row>
    <row r="1939" spans="1:3">
      <c r="A1939" s="119">
        <v>1939</v>
      </c>
      <c r="B1939" s="119">
        <v>0.55372656607224502</v>
      </c>
      <c r="C1939">
        <v>41</v>
      </c>
    </row>
    <row r="1940" spans="1:3">
      <c r="A1940" s="119">
        <v>1940</v>
      </c>
      <c r="B1940" s="119">
        <v>0.88705989940557828</v>
      </c>
      <c r="C1940">
        <v>68</v>
      </c>
    </row>
    <row r="1941" spans="1:3">
      <c r="A1941" s="119">
        <v>1941</v>
      </c>
      <c r="B1941" s="119">
        <v>0.33150434385002286</v>
      </c>
      <c r="C1941">
        <v>29</v>
      </c>
    </row>
    <row r="1942" spans="1:3">
      <c r="A1942" s="119">
        <v>1942</v>
      </c>
      <c r="B1942" s="119">
        <v>0.66483767718335618</v>
      </c>
      <c r="C1942">
        <v>48</v>
      </c>
    </row>
    <row r="1943" spans="1:3">
      <c r="A1943" s="119">
        <v>1943</v>
      </c>
      <c r="B1943" s="119">
        <v>0.99817101051668944</v>
      </c>
      <c r="C1943">
        <v>105</v>
      </c>
    </row>
    <row r="1944" spans="1:3">
      <c r="A1944" s="119">
        <v>1944</v>
      </c>
      <c r="B1944" s="119">
        <v>3.6579789666209418E-3</v>
      </c>
      <c r="C1944">
        <v>2</v>
      </c>
    </row>
    <row r="1945" spans="1:3">
      <c r="A1945" s="119">
        <v>1945</v>
      </c>
      <c r="B1945" s="119">
        <v>0.33699131229995427</v>
      </c>
      <c r="C1945">
        <v>29</v>
      </c>
    </row>
    <row r="1946" spans="1:3">
      <c r="A1946" s="119">
        <v>1946</v>
      </c>
      <c r="B1946" s="119">
        <v>0.67032464563328764</v>
      </c>
      <c r="C1946">
        <v>49</v>
      </c>
    </row>
    <row r="1947" spans="1:3">
      <c r="A1947" s="119">
        <v>1947</v>
      </c>
      <c r="B1947" s="119">
        <v>0.11476909007773205</v>
      </c>
      <c r="C1947">
        <v>16</v>
      </c>
    </row>
    <row r="1948" spans="1:3">
      <c r="A1948" s="119">
        <v>1948</v>
      </c>
      <c r="B1948" s="119">
        <v>0.44810242341106538</v>
      </c>
      <c r="C1948">
        <v>35</v>
      </c>
    </row>
    <row r="1949" spans="1:3">
      <c r="A1949" s="119">
        <v>1949</v>
      </c>
      <c r="B1949" s="119">
        <v>0.78143575674439869</v>
      </c>
      <c r="C1949">
        <v>57</v>
      </c>
    </row>
    <row r="1950" spans="1:3">
      <c r="A1950" s="119">
        <v>1950</v>
      </c>
      <c r="B1950" s="119">
        <v>0.22588020118884314</v>
      </c>
      <c r="C1950">
        <v>23</v>
      </c>
    </row>
    <row r="1951" spans="1:3">
      <c r="A1951" s="119">
        <v>1951</v>
      </c>
      <c r="B1951" s="119">
        <v>0.55921353452217659</v>
      </c>
      <c r="C1951">
        <v>42</v>
      </c>
    </row>
    <row r="1952" spans="1:3">
      <c r="A1952" s="119">
        <v>1952</v>
      </c>
      <c r="B1952" s="119">
        <v>0.89254686785550985</v>
      </c>
      <c r="C1952">
        <v>69</v>
      </c>
    </row>
    <row r="1953" spans="1:3">
      <c r="A1953" s="119">
        <v>1953</v>
      </c>
      <c r="B1953" s="119">
        <v>4.069501600365797E-2</v>
      </c>
      <c r="C1953">
        <v>9</v>
      </c>
    </row>
    <row r="1954" spans="1:3">
      <c r="A1954" s="119">
        <v>1954</v>
      </c>
      <c r="B1954" s="119">
        <v>0.37402834933699131</v>
      </c>
      <c r="C1954">
        <v>31</v>
      </c>
    </row>
    <row r="1955" spans="1:3">
      <c r="A1955" s="119">
        <v>1955</v>
      </c>
      <c r="B1955" s="119">
        <v>0.70736168267032473</v>
      </c>
      <c r="C1955">
        <v>51</v>
      </c>
    </row>
    <row r="1956" spans="1:3">
      <c r="A1956" s="119">
        <v>1956</v>
      </c>
      <c r="B1956" s="119">
        <v>0.15180612711476907</v>
      </c>
      <c r="C1956">
        <v>18</v>
      </c>
    </row>
    <row r="1957" spans="1:3">
      <c r="A1957" s="119">
        <v>1957</v>
      </c>
      <c r="B1957" s="119">
        <v>0.48513946044810241</v>
      </c>
      <c r="C1957">
        <v>37</v>
      </c>
    </row>
    <row r="1958" spans="1:3">
      <c r="A1958" s="119">
        <v>1958</v>
      </c>
      <c r="B1958" s="119">
        <v>0.81847279378143567</v>
      </c>
      <c r="C1958">
        <v>60</v>
      </c>
    </row>
    <row r="1959" spans="1:3">
      <c r="A1959" s="119">
        <v>1959</v>
      </c>
      <c r="B1959" s="119">
        <v>0.2629172382258802</v>
      </c>
      <c r="C1959">
        <v>25</v>
      </c>
    </row>
    <row r="1960" spans="1:3">
      <c r="A1960" s="119">
        <v>1960</v>
      </c>
      <c r="B1960" s="119">
        <v>0.59625057155921357</v>
      </c>
      <c r="C1960">
        <v>44</v>
      </c>
    </row>
    <row r="1961" spans="1:3">
      <c r="A1961" s="119">
        <v>1961</v>
      </c>
      <c r="B1961" s="119">
        <v>0.92958390489254683</v>
      </c>
      <c r="C1961">
        <v>75</v>
      </c>
    </row>
    <row r="1962" spans="1:3">
      <c r="A1962" s="119">
        <v>1962</v>
      </c>
      <c r="B1962" s="119">
        <v>7.7732053040695012E-2</v>
      </c>
      <c r="C1962">
        <v>13</v>
      </c>
    </row>
    <row r="1963" spans="1:3">
      <c r="A1963" s="119">
        <v>1963</v>
      </c>
      <c r="B1963" s="119">
        <v>0.41106538637402834</v>
      </c>
      <c r="C1963">
        <v>33</v>
      </c>
    </row>
    <row r="1964" spans="1:3">
      <c r="A1964" s="119">
        <v>1964</v>
      </c>
      <c r="B1964" s="119">
        <v>0.74439871970736171</v>
      </c>
      <c r="C1964">
        <v>54</v>
      </c>
    </row>
    <row r="1965" spans="1:3">
      <c r="A1965" s="119">
        <v>1965</v>
      </c>
      <c r="B1965" s="119">
        <v>0.1888431641518061</v>
      </c>
      <c r="C1965">
        <v>21</v>
      </c>
    </row>
    <row r="1966" spans="1:3">
      <c r="A1966" s="119">
        <v>1966</v>
      </c>
      <c r="B1966" s="119">
        <v>0.5221764974851395</v>
      </c>
      <c r="C1966">
        <v>40</v>
      </c>
    </row>
    <row r="1967" spans="1:3">
      <c r="A1967" s="119">
        <v>1967</v>
      </c>
      <c r="B1967" s="119">
        <v>0.85550983081847276</v>
      </c>
      <c r="C1967">
        <v>64</v>
      </c>
    </row>
    <row r="1968" spans="1:3">
      <c r="A1968" s="119">
        <v>1968</v>
      </c>
      <c r="B1968" s="119">
        <v>0.29995427526291724</v>
      </c>
      <c r="C1968">
        <v>27</v>
      </c>
    </row>
    <row r="1969" spans="1:3">
      <c r="A1969" s="119">
        <v>1969</v>
      </c>
      <c r="B1969" s="119">
        <v>0.63328760859625066</v>
      </c>
      <c r="C1969">
        <v>46</v>
      </c>
    </row>
    <row r="1970" spans="1:3">
      <c r="A1970" s="119">
        <v>1970</v>
      </c>
      <c r="B1970" s="119">
        <v>0.96662094192958392</v>
      </c>
      <c r="C1970">
        <v>85</v>
      </c>
    </row>
    <row r="1971" spans="1:3">
      <c r="A1971" s="119">
        <v>1971</v>
      </c>
      <c r="B1971" s="119">
        <v>1.6003657978966621E-2</v>
      </c>
      <c r="C1971">
        <v>5</v>
      </c>
    </row>
    <row r="1972" spans="1:3">
      <c r="A1972" s="119">
        <v>1972</v>
      </c>
      <c r="B1972" s="119">
        <v>0.34933699131229995</v>
      </c>
      <c r="C1972">
        <v>30</v>
      </c>
    </row>
    <row r="1973" spans="1:3">
      <c r="A1973" s="119">
        <v>1973</v>
      </c>
      <c r="B1973" s="119">
        <v>0.68267032464563326</v>
      </c>
      <c r="C1973">
        <v>49</v>
      </c>
    </row>
    <row r="1974" spans="1:3">
      <c r="A1974" s="119">
        <v>1974</v>
      </c>
      <c r="B1974" s="119">
        <v>0.12711476909007771</v>
      </c>
      <c r="C1974">
        <v>17</v>
      </c>
    </row>
    <row r="1975" spans="1:3">
      <c r="A1975" s="119">
        <v>1975</v>
      </c>
      <c r="B1975" s="119">
        <v>0.46044810242341105</v>
      </c>
      <c r="C1975">
        <v>36</v>
      </c>
    </row>
    <row r="1976" spans="1:3">
      <c r="A1976" s="119">
        <v>1976</v>
      </c>
      <c r="B1976" s="119">
        <v>0.79378143575674442</v>
      </c>
      <c r="C1976">
        <v>58</v>
      </c>
    </row>
    <row r="1977" spans="1:3">
      <c r="A1977" s="119">
        <v>1977</v>
      </c>
      <c r="B1977" s="119">
        <v>0.23822588020118882</v>
      </c>
      <c r="C1977">
        <v>24</v>
      </c>
    </row>
    <row r="1978" spans="1:3">
      <c r="A1978" s="119">
        <v>1978</v>
      </c>
      <c r="B1978" s="119">
        <v>0.57155921353452233</v>
      </c>
      <c r="C1978">
        <v>42</v>
      </c>
    </row>
    <row r="1979" spans="1:3">
      <c r="A1979" s="119">
        <v>1979</v>
      </c>
      <c r="B1979" s="119">
        <v>0.90489254686785559</v>
      </c>
      <c r="C1979">
        <v>71</v>
      </c>
    </row>
    <row r="1980" spans="1:3">
      <c r="A1980" s="119">
        <v>1980</v>
      </c>
      <c r="B1980" s="119">
        <v>5.3040695016003649E-2</v>
      </c>
      <c r="C1980">
        <v>10</v>
      </c>
    </row>
    <row r="1981" spans="1:3">
      <c r="A1981" s="119">
        <v>1981</v>
      </c>
      <c r="B1981" s="119">
        <v>0.38637402834933698</v>
      </c>
      <c r="C1981">
        <v>32</v>
      </c>
    </row>
    <row r="1982" spans="1:3">
      <c r="A1982" s="119">
        <v>1982</v>
      </c>
      <c r="B1982" s="119">
        <v>0.71970736168267047</v>
      </c>
      <c r="C1982">
        <v>52</v>
      </c>
    </row>
    <row r="1983" spans="1:3">
      <c r="A1983" s="119">
        <v>1983</v>
      </c>
      <c r="B1983" s="119">
        <v>0.16415180612711475</v>
      </c>
      <c r="C1983">
        <v>19</v>
      </c>
    </row>
    <row r="1984" spans="1:3">
      <c r="A1984" s="119">
        <v>1984</v>
      </c>
      <c r="B1984" s="119">
        <v>0.49748513946044809</v>
      </c>
      <c r="C1984">
        <v>38</v>
      </c>
    </row>
    <row r="1985" spans="1:3">
      <c r="A1985" s="119">
        <v>1985</v>
      </c>
      <c r="B1985" s="119">
        <v>0.8308184727937814</v>
      </c>
      <c r="C1985">
        <v>62</v>
      </c>
    </row>
    <row r="1986" spans="1:3">
      <c r="A1986" s="119">
        <v>1986</v>
      </c>
      <c r="B1986" s="119">
        <v>0.27526291723822588</v>
      </c>
      <c r="C1986">
        <v>26</v>
      </c>
    </row>
    <row r="1987" spans="1:3">
      <c r="A1987" s="119">
        <v>1987</v>
      </c>
      <c r="B1987" s="119">
        <v>0.60859625057155931</v>
      </c>
      <c r="C1987">
        <v>45</v>
      </c>
    </row>
    <row r="1988" spans="1:3">
      <c r="A1988" s="119">
        <v>1988</v>
      </c>
      <c r="B1988" s="119">
        <v>0.94192958390489256</v>
      </c>
      <c r="C1988">
        <v>78</v>
      </c>
    </row>
    <row r="1989" spans="1:3">
      <c r="A1989" s="119">
        <v>1989</v>
      </c>
      <c r="B1989" s="119">
        <v>9.0077732053040691E-2</v>
      </c>
      <c r="C1989">
        <v>14</v>
      </c>
    </row>
    <row r="1990" spans="1:3">
      <c r="A1990" s="119">
        <v>1990</v>
      </c>
      <c r="B1990" s="119">
        <v>0.42341106538637402</v>
      </c>
      <c r="C1990">
        <v>34</v>
      </c>
    </row>
    <row r="1991" spans="1:3">
      <c r="A1991" s="119">
        <v>1991</v>
      </c>
      <c r="B1991" s="119">
        <v>0.75674439871970745</v>
      </c>
      <c r="C1991">
        <v>55</v>
      </c>
    </row>
    <row r="1992" spans="1:3">
      <c r="A1992" s="119">
        <v>1992</v>
      </c>
      <c r="B1992" s="119">
        <v>0.20118884316415178</v>
      </c>
      <c r="C1992">
        <v>22</v>
      </c>
    </row>
    <row r="1993" spans="1:3">
      <c r="A1993" s="119">
        <v>1993</v>
      </c>
      <c r="B1993" s="119">
        <v>0.53452217649748512</v>
      </c>
      <c r="C1993">
        <v>40</v>
      </c>
    </row>
    <row r="1994" spans="1:3">
      <c r="A1994" s="119">
        <v>1994</v>
      </c>
      <c r="B1994" s="119">
        <v>0.86785550983081838</v>
      </c>
      <c r="C1994">
        <v>66</v>
      </c>
    </row>
    <row r="1995" spans="1:3">
      <c r="A1995" s="119">
        <v>1995</v>
      </c>
      <c r="B1995" s="119">
        <v>0.31229995427526291</v>
      </c>
      <c r="C1995">
        <v>28</v>
      </c>
    </row>
    <row r="1996" spans="1:3">
      <c r="A1996" s="119">
        <v>1996</v>
      </c>
      <c r="B1996" s="119">
        <v>0.64563328760859628</v>
      </c>
      <c r="C1996">
        <v>47</v>
      </c>
    </row>
    <row r="1997" spans="1:3">
      <c r="A1997" s="119">
        <v>1997</v>
      </c>
      <c r="B1997" s="119">
        <v>0.97896662094192954</v>
      </c>
      <c r="C1997">
        <v>91</v>
      </c>
    </row>
    <row r="1998" spans="1:3">
      <c r="A1998" s="119">
        <v>1998</v>
      </c>
      <c r="B1998" s="119">
        <v>2.8349336991312299E-2</v>
      </c>
      <c r="C1998">
        <v>7</v>
      </c>
    </row>
    <row r="1999" spans="1:3">
      <c r="A1999" s="119">
        <v>1999</v>
      </c>
      <c r="B1999" s="119">
        <v>0.36168267032464563</v>
      </c>
      <c r="C1999">
        <v>31</v>
      </c>
    </row>
    <row r="2000" spans="1:3">
      <c r="A2000" s="119">
        <v>2000</v>
      </c>
      <c r="B2000" s="119">
        <v>0.695016003657979</v>
      </c>
      <c r="C2000">
        <v>50</v>
      </c>
    </row>
    <row r="2001" spans="1:2">
      <c r="A2001" s="119"/>
      <c r="B2001" s="119"/>
    </row>
    <row r="2002" spans="1:2">
      <c r="A2002" s="119"/>
      <c r="B2002" s="119"/>
    </row>
    <row r="2003" spans="1:2">
      <c r="A2003" s="119"/>
      <c r="B2003" s="11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AV112"/>
  <sheetViews>
    <sheetView zoomScale="75" workbookViewId="0">
      <selection activeCell="AJ11" sqref="AJ11"/>
    </sheetView>
  </sheetViews>
  <sheetFormatPr defaultColWidth="10" defaultRowHeight="15"/>
  <cols>
    <col min="1" max="1" width="10.125" style="31" bestFit="1" customWidth="1"/>
    <col min="2" max="9" width="10" style="31" customWidth="1"/>
    <col min="10" max="11" width="10" style="31" hidden="1" customWidth="1"/>
    <col min="12" max="12" width="9.125" style="31" hidden="1" customWidth="1"/>
    <col min="13" max="14" width="15.5" style="31" hidden="1" customWidth="1"/>
    <col min="15" max="15" width="16.125" style="31" hidden="1" customWidth="1"/>
    <col min="16" max="35" width="0" style="31" hidden="1" customWidth="1"/>
    <col min="36" max="16384" width="10" style="31"/>
  </cols>
  <sheetData>
    <row r="1" spans="1:48" ht="15.75">
      <c r="A1" s="47" t="s">
        <v>0</v>
      </c>
    </row>
    <row r="2" spans="1:48" ht="15.75">
      <c r="B2" s="1"/>
      <c r="C2" s="1"/>
      <c r="D2" s="1"/>
      <c r="E2" s="1"/>
      <c r="F2" s="1"/>
      <c r="G2" s="1"/>
    </row>
    <row r="3" spans="1:48" ht="15.75">
      <c r="A3" s="1"/>
      <c r="B3" s="1"/>
      <c r="C3" s="1"/>
      <c r="D3" s="1"/>
      <c r="E3" s="1"/>
      <c r="F3" s="1"/>
      <c r="G3" s="1"/>
      <c r="L3" s="31">
        <v>1000</v>
      </c>
    </row>
    <row r="4" spans="1:48" ht="15.75">
      <c r="A4" s="10"/>
      <c r="B4" s="13" t="s">
        <v>1</v>
      </c>
      <c r="C4" s="13"/>
      <c r="D4" s="14"/>
      <c r="E4" s="131" t="s">
        <v>22</v>
      </c>
      <c r="F4" s="132"/>
      <c r="G4" s="133"/>
    </row>
    <row r="5" spans="1:48" ht="15.75">
      <c r="A5" s="15"/>
      <c r="B5" s="16" t="s">
        <v>2</v>
      </c>
      <c r="C5" s="16" t="s">
        <v>3</v>
      </c>
      <c r="D5" s="17" t="s">
        <v>4</v>
      </c>
      <c r="E5" s="16" t="s">
        <v>5</v>
      </c>
      <c r="F5" s="16" t="s">
        <v>6</v>
      </c>
      <c r="G5" s="17" t="s">
        <v>7</v>
      </c>
      <c r="J5" s="111" t="s">
        <v>66</v>
      </c>
      <c r="K5" s="111"/>
      <c r="L5" s="111"/>
    </row>
    <row r="6" spans="1:48" ht="15.75">
      <c r="A6" s="18" t="s">
        <v>8</v>
      </c>
      <c r="B6" s="16" t="s">
        <v>9</v>
      </c>
      <c r="C6" s="16" t="s">
        <v>10</v>
      </c>
      <c r="D6" s="17" t="s">
        <v>11</v>
      </c>
      <c r="E6" s="16" t="s">
        <v>9</v>
      </c>
      <c r="F6" s="16" t="s">
        <v>10</v>
      </c>
      <c r="G6" s="17" t="s">
        <v>11</v>
      </c>
      <c r="J6" s="111">
        <v>0</v>
      </c>
      <c r="K6" s="111">
        <f>J6^2</f>
        <v>0</v>
      </c>
      <c r="L6" s="112">
        <v>3.0370000000000002E-3</v>
      </c>
      <c r="M6" s="31">
        <f>1</f>
        <v>1</v>
      </c>
      <c r="N6" s="31">
        <f>1-M6</f>
        <v>0</v>
      </c>
      <c r="O6" s="31">
        <f>LN(M6)</f>
        <v>0</v>
      </c>
      <c r="P6" s="31">
        <f>-O6</f>
        <v>0</v>
      </c>
      <c r="R6" s="31">
        <f>LINEST(P6:P111,K6:K111)</f>
        <v>4.5862657456587725E-4</v>
      </c>
      <c r="T6" s="31">
        <f>$R$6*K6</f>
        <v>0</v>
      </c>
    </row>
    <row r="7" spans="1:48" ht="15.75">
      <c r="A7" s="15">
        <v>0</v>
      </c>
      <c r="B7" s="19">
        <v>3.0370000000000004</v>
      </c>
      <c r="C7" s="19">
        <v>2.7650000000000001</v>
      </c>
      <c r="D7" s="20">
        <v>2.9090000000000003</v>
      </c>
      <c r="E7" s="19">
        <v>2.7330000000000001</v>
      </c>
      <c r="F7" s="19">
        <v>2.4889999999999999</v>
      </c>
      <c r="G7" s="23">
        <v>2.6179999999999999</v>
      </c>
      <c r="J7" s="111">
        <v>1</v>
      </c>
      <c r="K7" s="111">
        <f t="shared" ref="K7:K70" si="0">J7^2</f>
        <v>1</v>
      </c>
      <c r="L7" s="112">
        <v>2.1570000000000001E-3</v>
      </c>
      <c r="M7" s="31">
        <f>M6*(1-L6)</f>
        <v>0.99696300000000004</v>
      </c>
      <c r="N7" s="31">
        <f t="shared" ref="N7:N70" si="1">1-M7</f>
        <v>3.0369999999999564E-3</v>
      </c>
      <c r="O7" s="31">
        <f t="shared" ref="O7:O70" si="2">LN(M7)</f>
        <v>-3.0416210429432774E-3</v>
      </c>
      <c r="P7" s="31">
        <f t="shared" ref="P7:P70" si="3">-O7</f>
        <v>3.0416210429432774E-3</v>
      </c>
      <c r="T7" s="31">
        <f t="shared" ref="T7:T70" si="4">$R$6*K7</f>
        <v>4.5862657456587725E-4</v>
      </c>
    </row>
    <row r="8" spans="1:48" ht="15.75">
      <c r="A8" s="15">
        <v>1</v>
      </c>
      <c r="B8" s="19">
        <v>2.157</v>
      </c>
      <c r="C8" s="19">
        <v>1.859</v>
      </c>
      <c r="D8" s="20">
        <v>2.016</v>
      </c>
      <c r="E8" s="19">
        <v>1.9410000000000001</v>
      </c>
      <c r="F8" s="19">
        <v>1.673</v>
      </c>
      <c r="G8" s="20">
        <v>1.8140000000000001</v>
      </c>
      <c r="J8" s="111">
        <v>2</v>
      </c>
      <c r="K8" s="111">
        <f t="shared" si="0"/>
        <v>4</v>
      </c>
      <c r="L8" s="112">
        <v>1.611E-3</v>
      </c>
      <c r="M8" s="31">
        <f t="shared" ref="M8:M71" si="5">M7*(1-L7)</f>
        <v>0.99481255080900011</v>
      </c>
      <c r="N8" s="31">
        <f t="shared" si="1"/>
        <v>5.1874491909998932E-3</v>
      </c>
      <c r="O8" s="31">
        <f t="shared" si="2"/>
        <v>-5.2009507181189863E-3</v>
      </c>
      <c r="P8" s="31">
        <f t="shared" si="3"/>
        <v>5.2009507181189863E-3</v>
      </c>
      <c r="T8" s="31">
        <f t="shared" si="4"/>
        <v>1.834506298263509E-3</v>
      </c>
      <c r="AU8" s="31" t="e">
        <f t="array" ref="AU8:AV8">LINEST(AS8:AS12,AQ8:AR12,FALSE)</f>
        <v>#VALUE!</v>
      </c>
      <c r="AV8" s="31" t="e">
        <v>#VALUE!</v>
      </c>
    </row>
    <row r="9" spans="1:48" ht="15.75">
      <c r="A9" s="15">
        <v>2</v>
      </c>
      <c r="B9" s="19">
        <v>1.611</v>
      </c>
      <c r="C9" s="19">
        <v>1.3140000000000001</v>
      </c>
      <c r="D9" s="20">
        <v>1.47</v>
      </c>
      <c r="E9" s="19">
        <v>1.45</v>
      </c>
      <c r="F9" s="19">
        <v>1.1830000000000001</v>
      </c>
      <c r="G9" s="20">
        <v>1.323</v>
      </c>
      <c r="J9" s="111">
        <v>3</v>
      </c>
      <c r="K9" s="111">
        <f t="shared" si="0"/>
        <v>9</v>
      </c>
      <c r="L9" s="112">
        <v>1.25E-3</v>
      </c>
      <c r="M9" s="31">
        <f t="shared" si="5"/>
        <v>0.9932099077896468</v>
      </c>
      <c r="N9" s="31">
        <f t="shared" si="1"/>
        <v>6.7900922103532046E-3</v>
      </c>
      <c r="O9" s="31">
        <f t="shared" si="2"/>
        <v>-6.8132497739924712E-3</v>
      </c>
      <c r="P9" s="31">
        <f t="shared" si="3"/>
        <v>6.8132497739924712E-3</v>
      </c>
      <c r="T9" s="31">
        <f t="shared" si="4"/>
        <v>4.1276391710928957E-3</v>
      </c>
    </row>
    <row r="10" spans="1:48" ht="15.75">
      <c r="A10" s="15">
        <v>3</v>
      </c>
      <c r="B10" s="19">
        <v>1.25</v>
      </c>
      <c r="C10" s="19">
        <v>0.96599999999999997</v>
      </c>
      <c r="D10" s="20">
        <v>1.1139999999999999</v>
      </c>
      <c r="E10" s="19">
        <v>1.125</v>
      </c>
      <c r="F10" s="19">
        <v>0.86899999999999999</v>
      </c>
      <c r="G10" s="20">
        <v>1.0029999999999999</v>
      </c>
      <c r="J10" s="111">
        <v>4</v>
      </c>
      <c r="K10" s="111">
        <f t="shared" si="0"/>
        <v>16</v>
      </c>
      <c r="L10" s="112">
        <v>1E-3</v>
      </c>
      <c r="M10" s="31">
        <f t="shared" si="5"/>
        <v>0.99196839540490978</v>
      </c>
      <c r="N10" s="31">
        <f t="shared" si="1"/>
        <v>8.0316045950902248E-3</v>
      </c>
      <c r="O10" s="31">
        <f t="shared" si="2"/>
        <v>-8.0640316756450618E-3</v>
      </c>
      <c r="P10" s="31">
        <f t="shared" si="3"/>
        <v>8.0640316756450618E-3</v>
      </c>
      <c r="T10" s="31">
        <f t="shared" si="4"/>
        <v>7.3380251930540361E-3</v>
      </c>
    </row>
    <row r="11" spans="1:48" ht="15.75">
      <c r="A11" s="15">
        <v>4</v>
      </c>
      <c r="B11" s="19">
        <v>1</v>
      </c>
      <c r="C11" s="19">
        <v>0.73399999999999999</v>
      </c>
      <c r="D11" s="20">
        <v>0.87200000000000011</v>
      </c>
      <c r="E11" s="19">
        <v>0.9</v>
      </c>
      <c r="F11" s="19">
        <v>0.66100000000000003</v>
      </c>
      <c r="G11" s="20">
        <v>0.78500000000000003</v>
      </c>
      <c r="J11" s="111">
        <v>5</v>
      </c>
      <c r="K11" s="111">
        <f t="shared" si="0"/>
        <v>25</v>
      </c>
      <c r="L11" s="112">
        <v>8.209999999999999E-4</v>
      </c>
      <c r="M11" s="31">
        <f t="shared" si="5"/>
        <v>0.99097642700950483</v>
      </c>
      <c r="N11" s="31">
        <f t="shared" si="1"/>
        <v>9.0235729904951656E-3</v>
      </c>
      <c r="O11" s="31">
        <f t="shared" si="2"/>
        <v>-9.0645320092286267E-3</v>
      </c>
      <c r="P11" s="31">
        <f t="shared" si="3"/>
        <v>9.0645320092286267E-3</v>
      </c>
      <c r="T11" s="31">
        <f t="shared" si="4"/>
        <v>1.1465664364146932E-2</v>
      </c>
    </row>
    <row r="12" spans="1:48" ht="15.75">
      <c r="A12" s="15">
        <v>5</v>
      </c>
      <c r="B12" s="19">
        <v>0.82099999999999995</v>
      </c>
      <c r="C12" s="19">
        <v>0.57300000000000006</v>
      </c>
      <c r="D12" s="20">
        <v>0.70200000000000007</v>
      </c>
      <c r="E12" s="19">
        <v>0.73899999999999999</v>
      </c>
      <c r="F12" s="19">
        <v>0.51600000000000001</v>
      </c>
      <c r="G12" s="20">
        <v>0.63200000000000001</v>
      </c>
      <c r="J12" s="111">
        <v>6</v>
      </c>
      <c r="K12" s="111">
        <f t="shared" si="0"/>
        <v>36</v>
      </c>
      <c r="L12" s="112">
        <v>6.8999999999999997E-4</v>
      </c>
      <c r="M12" s="31">
        <f t="shared" si="5"/>
        <v>0.99016283536293004</v>
      </c>
      <c r="N12" s="31">
        <f t="shared" si="1"/>
        <v>9.8371646370699617E-3</v>
      </c>
      <c r="O12" s="31">
        <f t="shared" si="2"/>
        <v>-9.8858692143048311E-3</v>
      </c>
      <c r="P12" s="31">
        <f t="shared" si="3"/>
        <v>9.8858692143048311E-3</v>
      </c>
      <c r="T12" s="31">
        <f t="shared" si="4"/>
        <v>1.6510556684371583E-2</v>
      </c>
    </row>
    <row r="13" spans="1:48" ht="15.75">
      <c r="A13" s="15">
        <v>6</v>
      </c>
      <c r="B13" s="19">
        <v>0.69</v>
      </c>
      <c r="C13" s="19">
        <v>0.45800000000000002</v>
      </c>
      <c r="D13" s="20">
        <v>0.57899999999999996</v>
      </c>
      <c r="E13" s="19">
        <v>0.621</v>
      </c>
      <c r="F13" s="19">
        <v>0.41199999999999998</v>
      </c>
      <c r="G13" s="20">
        <v>0.52100000000000002</v>
      </c>
      <c r="J13" s="111">
        <v>7</v>
      </c>
      <c r="K13" s="111">
        <f t="shared" si="0"/>
        <v>49</v>
      </c>
      <c r="L13" s="112">
        <v>5.9299999999999999E-4</v>
      </c>
      <c r="M13" s="31">
        <f t="shared" si="5"/>
        <v>0.9894796230065297</v>
      </c>
      <c r="N13" s="31">
        <f t="shared" si="1"/>
        <v>1.0520376993470304E-2</v>
      </c>
      <c r="O13" s="31">
        <f t="shared" si="2"/>
        <v>-1.0576107373864449E-2</v>
      </c>
      <c r="P13" s="31">
        <f t="shared" si="3"/>
        <v>1.0576107373864449E-2</v>
      </c>
      <c r="T13" s="31">
        <f t="shared" si="4"/>
        <v>2.2472702153727986E-2</v>
      </c>
    </row>
    <row r="14" spans="1:48" ht="15.75">
      <c r="A14" s="15">
        <v>7</v>
      </c>
      <c r="B14" s="19">
        <v>0.59299999999999997</v>
      </c>
      <c r="C14" s="19">
        <v>0.375</v>
      </c>
      <c r="D14" s="20">
        <v>0.48899999999999993</v>
      </c>
      <c r="E14" s="19">
        <v>0.53399999999999992</v>
      </c>
      <c r="F14" s="19">
        <v>0.33799999999999997</v>
      </c>
      <c r="G14" s="20">
        <v>0.44</v>
      </c>
      <c r="J14" s="111">
        <v>8</v>
      </c>
      <c r="K14" s="111">
        <f t="shared" si="0"/>
        <v>64</v>
      </c>
      <c r="L14" s="112">
        <v>5.2000000000000006E-4</v>
      </c>
      <c r="M14" s="31">
        <f t="shared" si="5"/>
        <v>0.98889286159008682</v>
      </c>
      <c r="N14" s="31">
        <f t="shared" si="1"/>
        <v>1.1107138409913175E-2</v>
      </c>
      <c r="O14" s="31">
        <f t="shared" si="2"/>
        <v>-1.1169283267904662E-2</v>
      </c>
      <c r="P14" s="31">
        <f t="shared" si="3"/>
        <v>1.1169283267904662E-2</v>
      </c>
      <c r="T14" s="31">
        <f t="shared" si="4"/>
        <v>2.9352100772216144E-2</v>
      </c>
    </row>
    <row r="15" spans="1:48" ht="15.75">
      <c r="A15" s="15">
        <v>8</v>
      </c>
      <c r="B15" s="19">
        <v>0.52</v>
      </c>
      <c r="C15" s="19">
        <v>0.315</v>
      </c>
      <c r="D15" s="20">
        <v>0.42099999999999999</v>
      </c>
      <c r="E15" s="19">
        <v>0.46799999999999997</v>
      </c>
      <c r="F15" s="19">
        <v>0.28400000000000003</v>
      </c>
      <c r="G15" s="20">
        <v>0.379</v>
      </c>
      <c r="J15" s="111">
        <v>9</v>
      </c>
      <c r="K15" s="111">
        <f t="shared" si="0"/>
        <v>81</v>
      </c>
      <c r="L15" s="112">
        <v>4.6799999999999999E-4</v>
      </c>
      <c r="M15" s="31">
        <f t="shared" si="5"/>
        <v>0.98837863730205999</v>
      </c>
      <c r="N15" s="31">
        <f t="shared" si="1"/>
        <v>1.1621362697940008E-2</v>
      </c>
      <c r="O15" s="31">
        <f t="shared" si="2"/>
        <v>-1.168941851479227E-2</v>
      </c>
      <c r="P15" s="31">
        <f t="shared" si="3"/>
        <v>1.168941851479227E-2</v>
      </c>
      <c r="T15" s="31">
        <f t="shared" si="4"/>
        <v>3.7148752539836058E-2</v>
      </c>
    </row>
    <row r="16" spans="1:48" ht="15.75">
      <c r="A16" s="15">
        <v>9</v>
      </c>
      <c r="B16" s="19">
        <v>0.46799999999999997</v>
      </c>
      <c r="C16" s="19">
        <v>0.27399999999999997</v>
      </c>
      <c r="D16" s="20">
        <v>0.374</v>
      </c>
      <c r="E16" s="19">
        <v>0.42099999999999999</v>
      </c>
      <c r="F16" s="19">
        <v>0.247</v>
      </c>
      <c r="G16" s="20">
        <v>0.33700000000000002</v>
      </c>
      <c r="J16" s="111">
        <v>10</v>
      </c>
      <c r="K16" s="111">
        <f t="shared" si="0"/>
        <v>100</v>
      </c>
      <c r="L16" s="112">
        <v>4.37E-4</v>
      </c>
      <c r="M16" s="31">
        <f t="shared" si="5"/>
        <v>0.98791607609980259</v>
      </c>
      <c r="N16" s="31">
        <f t="shared" si="1"/>
        <v>1.2083923900197413E-2</v>
      </c>
      <c r="O16" s="31">
        <f t="shared" si="2"/>
        <v>-1.2157528060972053E-2</v>
      </c>
      <c r="P16" s="31">
        <f t="shared" si="3"/>
        <v>1.2157528060972053E-2</v>
      </c>
      <c r="T16" s="31">
        <f t="shared" si="4"/>
        <v>4.5862657456587727E-2</v>
      </c>
    </row>
    <row r="17" spans="1:20" ht="15.75">
      <c r="A17" s="15">
        <v>10</v>
      </c>
      <c r="B17" s="19">
        <v>0.437</v>
      </c>
      <c r="C17" s="19">
        <v>0.24899999999999997</v>
      </c>
      <c r="D17" s="20">
        <v>0.34600000000000003</v>
      </c>
      <c r="E17" s="19">
        <v>0.39300000000000002</v>
      </c>
      <c r="F17" s="19">
        <v>0.224</v>
      </c>
      <c r="G17" s="20">
        <v>0.311</v>
      </c>
      <c r="J17" s="111">
        <v>11</v>
      </c>
      <c r="K17" s="111">
        <f t="shared" si="0"/>
        <v>121</v>
      </c>
      <c r="L17" s="112">
        <v>4.3199999999999998E-4</v>
      </c>
      <c r="M17" s="31">
        <f t="shared" si="5"/>
        <v>0.98748435677454693</v>
      </c>
      <c r="N17" s="31">
        <f t="shared" si="1"/>
        <v>1.2515643225453066E-2</v>
      </c>
      <c r="O17" s="31">
        <f t="shared" si="2"/>
        <v>-1.2594623573299031E-2</v>
      </c>
      <c r="P17" s="31">
        <f t="shared" si="3"/>
        <v>1.2594623573299031E-2</v>
      </c>
      <c r="T17" s="31">
        <f t="shared" si="4"/>
        <v>5.5493815522471145E-2</v>
      </c>
    </row>
    <row r="18" spans="1:20" ht="15.75">
      <c r="A18" s="15">
        <v>11</v>
      </c>
      <c r="B18" s="19">
        <v>0.432</v>
      </c>
      <c r="C18" s="19">
        <v>0.24</v>
      </c>
      <c r="D18" s="20">
        <v>0.33900000000000002</v>
      </c>
      <c r="E18" s="19">
        <v>0.38900000000000001</v>
      </c>
      <c r="F18" s="19">
        <v>0.216</v>
      </c>
      <c r="G18" s="20">
        <v>0.30499999999999999</v>
      </c>
      <c r="J18" s="111">
        <v>12</v>
      </c>
      <c r="K18" s="111">
        <f t="shared" si="0"/>
        <v>144</v>
      </c>
      <c r="L18" s="112">
        <v>4.5800000000000002E-4</v>
      </c>
      <c r="M18" s="31">
        <f t="shared" si="5"/>
        <v>0.98705776353242036</v>
      </c>
      <c r="N18" s="31">
        <f t="shared" si="1"/>
        <v>1.2942236467579638E-2</v>
      </c>
      <c r="O18" s="31">
        <f t="shared" si="2"/>
        <v>-1.3026716912181564E-2</v>
      </c>
      <c r="P18" s="31">
        <f t="shared" si="3"/>
        <v>1.3026716912181564E-2</v>
      </c>
      <c r="T18" s="31">
        <f t="shared" si="4"/>
        <v>6.6042226737486331E-2</v>
      </c>
    </row>
    <row r="19" spans="1:20" ht="15.75">
      <c r="A19" s="15">
        <v>12</v>
      </c>
      <c r="B19" s="19">
        <v>0.45800000000000002</v>
      </c>
      <c r="C19" s="19">
        <v>0.248</v>
      </c>
      <c r="D19" s="20">
        <v>0.35599999999999998</v>
      </c>
      <c r="E19" s="19">
        <v>0.41199999999999998</v>
      </c>
      <c r="F19" s="19">
        <v>0.223</v>
      </c>
      <c r="G19" s="20">
        <v>0.32</v>
      </c>
      <c r="J19" s="111">
        <v>13</v>
      </c>
      <c r="K19" s="111">
        <f t="shared" si="0"/>
        <v>169</v>
      </c>
      <c r="L19" s="112">
        <v>5.1599999999999997E-4</v>
      </c>
      <c r="M19" s="31">
        <f t="shared" si="5"/>
        <v>0.98660569107672258</v>
      </c>
      <c r="N19" s="31">
        <f t="shared" si="1"/>
        <v>1.339430892327742E-2</v>
      </c>
      <c r="O19" s="31">
        <f t="shared" si="2"/>
        <v>-1.3484821826216473E-2</v>
      </c>
      <c r="P19" s="31">
        <f t="shared" si="3"/>
        <v>1.3484821826216473E-2</v>
      </c>
      <c r="T19" s="31">
        <f t="shared" si="4"/>
        <v>7.7507891101633253E-2</v>
      </c>
    </row>
    <row r="20" spans="1:20" ht="15.75">
      <c r="A20" s="15">
        <v>13</v>
      </c>
      <c r="B20" s="19">
        <v>0.51600000000000001</v>
      </c>
      <c r="C20" s="19">
        <v>0.26899999999999996</v>
      </c>
      <c r="D20" s="20">
        <v>0.39599999999999996</v>
      </c>
      <c r="E20" s="19">
        <v>0.46400000000000002</v>
      </c>
      <c r="F20" s="19">
        <v>0.24199999999999999</v>
      </c>
      <c r="G20" s="20">
        <v>0.35599999999999998</v>
      </c>
      <c r="J20" s="111">
        <v>14</v>
      </c>
      <c r="K20" s="111">
        <f t="shared" si="0"/>
        <v>196</v>
      </c>
      <c r="L20" s="112">
        <v>6.0300000000000002E-4</v>
      </c>
      <c r="M20" s="31">
        <f t="shared" si="5"/>
        <v>0.98609660254012699</v>
      </c>
      <c r="N20" s="31">
        <f t="shared" si="1"/>
        <v>1.3903397459873013E-2</v>
      </c>
      <c r="O20" s="31">
        <f t="shared" si="2"/>
        <v>-1.4000955000030239E-2</v>
      </c>
      <c r="P20" s="31">
        <f t="shared" si="3"/>
        <v>1.4000955000030239E-2</v>
      </c>
      <c r="T20" s="31">
        <f t="shared" si="4"/>
        <v>8.9890808614911943E-2</v>
      </c>
    </row>
    <row r="21" spans="1:20" ht="15.75">
      <c r="A21" s="15">
        <v>14</v>
      </c>
      <c r="B21" s="19">
        <v>0.60299999999999998</v>
      </c>
      <c r="C21" s="19">
        <v>0.30200000000000005</v>
      </c>
      <c r="D21" s="20">
        <v>0.45700000000000002</v>
      </c>
      <c r="E21" s="19">
        <v>0.54299999999999993</v>
      </c>
      <c r="F21" s="19">
        <v>0.27200000000000002</v>
      </c>
      <c r="G21" s="20">
        <v>0.41100000000000003</v>
      </c>
      <c r="J21" s="111">
        <v>15</v>
      </c>
      <c r="K21" s="111">
        <f t="shared" si="0"/>
        <v>225</v>
      </c>
      <c r="L21" s="112">
        <v>7.0600000000000003E-4</v>
      </c>
      <c r="M21" s="31">
        <f t="shared" si="5"/>
        <v>0.98550198628879526</v>
      </c>
      <c r="N21" s="31">
        <f t="shared" si="1"/>
        <v>1.4498013711204738E-2</v>
      </c>
      <c r="O21" s="31">
        <f t="shared" si="2"/>
        <v>-1.4604136877648746E-2</v>
      </c>
      <c r="P21" s="31">
        <f t="shared" si="3"/>
        <v>1.4604136877648746E-2</v>
      </c>
      <c r="T21" s="31">
        <f t="shared" si="4"/>
        <v>0.10319097927732238</v>
      </c>
    </row>
    <row r="22" spans="1:20" ht="15.75">
      <c r="A22" s="15">
        <v>15</v>
      </c>
      <c r="B22" s="19">
        <v>0.70600000000000007</v>
      </c>
      <c r="C22" s="19">
        <v>0.34099999999999997</v>
      </c>
      <c r="D22" s="20">
        <v>0.52899999999999991</v>
      </c>
      <c r="E22" s="19">
        <v>0.63500000000000001</v>
      </c>
      <c r="F22" s="19">
        <v>0.307</v>
      </c>
      <c r="G22" s="20">
        <v>0.47600000000000003</v>
      </c>
      <c r="J22" s="111">
        <v>16</v>
      </c>
      <c r="K22" s="111">
        <f t="shared" si="0"/>
        <v>256</v>
      </c>
      <c r="L22" s="112">
        <v>8.12E-4</v>
      </c>
      <c r="M22" s="31">
        <f t="shared" si="5"/>
        <v>0.98480622188647537</v>
      </c>
      <c r="N22" s="31">
        <f t="shared" si="1"/>
        <v>1.5193778113524625E-2</v>
      </c>
      <c r="O22" s="31">
        <f t="shared" si="2"/>
        <v>-1.5310386213009492E-2</v>
      </c>
      <c r="P22" s="31">
        <f t="shared" si="3"/>
        <v>1.5310386213009492E-2</v>
      </c>
      <c r="T22" s="31">
        <f t="shared" si="4"/>
        <v>0.11740840308886458</v>
      </c>
    </row>
    <row r="23" spans="1:20" ht="15.75">
      <c r="A23" s="15">
        <v>16</v>
      </c>
      <c r="B23" s="19">
        <v>0.81200000000000006</v>
      </c>
      <c r="C23" s="19">
        <v>0.38200000000000001</v>
      </c>
      <c r="D23" s="20">
        <v>0.60199999999999998</v>
      </c>
      <c r="E23" s="19">
        <v>0.73099999999999998</v>
      </c>
      <c r="F23" s="19">
        <v>0.34400000000000003</v>
      </c>
      <c r="G23" s="20">
        <v>0.54199999999999993</v>
      </c>
      <c r="J23" s="111">
        <v>17</v>
      </c>
      <c r="K23" s="111">
        <f t="shared" si="0"/>
        <v>289</v>
      </c>
      <c r="L23" s="112">
        <v>9.0700000000000004E-4</v>
      </c>
      <c r="M23" s="31">
        <f t="shared" si="5"/>
        <v>0.98400655923430347</v>
      </c>
      <c r="N23" s="31">
        <f t="shared" si="1"/>
        <v>1.5993440765696532E-2</v>
      </c>
      <c r="O23" s="31">
        <f t="shared" si="2"/>
        <v>-1.6122716063580778E-2</v>
      </c>
      <c r="P23" s="31">
        <f t="shared" si="3"/>
        <v>1.6122716063580778E-2</v>
      </c>
      <c r="T23" s="31">
        <f t="shared" si="4"/>
        <v>0.13254308004953852</v>
      </c>
    </row>
    <row r="24" spans="1:20" ht="15.75">
      <c r="A24" s="15">
        <v>17</v>
      </c>
      <c r="B24" s="19">
        <v>0.90700000000000003</v>
      </c>
      <c r="C24" s="19">
        <v>0.42099999999999999</v>
      </c>
      <c r="D24" s="20">
        <v>0.67</v>
      </c>
      <c r="E24" s="19">
        <v>0.81599999999999995</v>
      </c>
      <c r="F24" s="19">
        <v>0.379</v>
      </c>
      <c r="G24" s="20">
        <v>0.60299999999999998</v>
      </c>
      <c r="J24" s="111">
        <v>18</v>
      </c>
      <c r="K24" s="111">
        <f t="shared" si="0"/>
        <v>324</v>
      </c>
      <c r="L24" s="112">
        <v>9.810000000000001E-4</v>
      </c>
      <c r="M24" s="31">
        <f t="shared" si="5"/>
        <v>0.98311406528507794</v>
      </c>
      <c r="N24" s="31">
        <f t="shared" si="1"/>
        <v>1.6885934714922057E-2</v>
      </c>
      <c r="O24" s="31">
        <f t="shared" si="2"/>
        <v>-1.7030127636964317E-2</v>
      </c>
      <c r="P24" s="31">
        <f t="shared" si="3"/>
        <v>1.7030127636964317E-2</v>
      </c>
      <c r="T24" s="31">
        <f t="shared" si="4"/>
        <v>0.14859501015934423</v>
      </c>
    </row>
    <row r="25" spans="1:20" ht="15.75">
      <c r="A25" s="15">
        <v>18</v>
      </c>
      <c r="B25" s="19">
        <v>0.98100000000000009</v>
      </c>
      <c r="C25" s="19">
        <v>0.45399999999999996</v>
      </c>
      <c r="D25" s="20">
        <v>0.72400000000000009</v>
      </c>
      <c r="E25" s="19">
        <v>0.88300000000000001</v>
      </c>
      <c r="F25" s="19">
        <v>0.40900000000000003</v>
      </c>
      <c r="G25" s="20">
        <v>0.65200000000000002</v>
      </c>
      <c r="J25" s="111">
        <v>19</v>
      </c>
      <c r="K25" s="111">
        <f t="shared" si="0"/>
        <v>361</v>
      </c>
      <c r="L25" s="112">
        <v>1.0280000000000001E-3</v>
      </c>
      <c r="M25" s="31">
        <f t="shared" si="5"/>
        <v>0.98214963038703329</v>
      </c>
      <c r="N25" s="31">
        <f t="shared" si="1"/>
        <v>1.785036961296671E-2</v>
      </c>
      <c r="O25" s="31">
        <f t="shared" si="2"/>
        <v>-1.8011609132388071E-2</v>
      </c>
      <c r="P25" s="31">
        <f t="shared" si="3"/>
        <v>1.8011609132388071E-2</v>
      </c>
      <c r="T25" s="31">
        <f t="shared" si="4"/>
        <v>0.16556419341828169</v>
      </c>
    </row>
    <row r="26" spans="1:20" ht="15.75">
      <c r="A26" s="15">
        <v>19</v>
      </c>
      <c r="B26" s="19">
        <v>1.028</v>
      </c>
      <c r="C26" s="19">
        <v>0.48099999999999998</v>
      </c>
      <c r="D26" s="20">
        <v>0.76200000000000001</v>
      </c>
      <c r="E26" s="19">
        <v>0.92500000000000004</v>
      </c>
      <c r="F26" s="19">
        <v>0.433</v>
      </c>
      <c r="G26" s="20">
        <v>0.68599999999999994</v>
      </c>
      <c r="J26" s="111">
        <v>20</v>
      </c>
      <c r="K26" s="111">
        <f t="shared" si="0"/>
        <v>400</v>
      </c>
      <c r="L26" s="112">
        <v>1.049E-3</v>
      </c>
      <c r="M26" s="31">
        <f t="shared" si="5"/>
        <v>0.98113998056699536</v>
      </c>
      <c r="N26" s="31">
        <f t="shared" si="1"/>
        <v>1.8860019433004638E-2</v>
      </c>
      <c r="O26" s="31">
        <f t="shared" si="2"/>
        <v>-1.9040137886792208E-2</v>
      </c>
      <c r="P26" s="31">
        <f t="shared" si="3"/>
        <v>1.9040137886792208E-2</v>
      </c>
      <c r="T26" s="31">
        <f t="shared" si="4"/>
        <v>0.18345062982635091</v>
      </c>
    </row>
    <row r="27" spans="1:20" ht="15.75">
      <c r="A27" s="15">
        <v>20</v>
      </c>
      <c r="B27" s="19">
        <v>1.0489999999999999</v>
      </c>
      <c r="C27" s="19">
        <v>0.5</v>
      </c>
      <c r="D27" s="20">
        <v>0.77800000000000002</v>
      </c>
      <c r="E27" s="19">
        <v>0.94399999999999995</v>
      </c>
      <c r="F27" s="19">
        <v>0.45</v>
      </c>
      <c r="G27" s="20">
        <v>0.7</v>
      </c>
      <c r="J27" s="111">
        <v>21</v>
      </c>
      <c r="K27" s="111">
        <f t="shared" si="0"/>
        <v>441</v>
      </c>
      <c r="L27" s="112">
        <v>1.0480000000000001E-3</v>
      </c>
      <c r="M27" s="31">
        <f t="shared" si="5"/>
        <v>0.98011076472738057</v>
      </c>
      <c r="N27" s="31">
        <f t="shared" si="1"/>
        <v>1.9889235272619432E-2</v>
      </c>
      <c r="O27" s="31">
        <f t="shared" si="2"/>
        <v>-2.008968847236875E-2</v>
      </c>
      <c r="P27" s="31">
        <f t="shared" si="3"/>
        <v>2.008968847236875E-2</v>
      </c>
      <c r="T27" s="31">
        <f t="shared" si="4"/>
        <v>0.20225431938355187</v>
      </c>
    </row>
    <row r="28" spans="1:20" ht="15.75">
      <c r="A28" s="15">
        <v>21</v>
      </c>
      <c r="B28" s="19">
        <v>1.048</v>
      </c>
      <c r="C28" s="19">
        <v>0.5109999999999999</v>
      </c>
      <c r="D28" s="20">
        <v>0.78400000000000003</v>
      </c>
      <c r="E28" s="19">
        <v>0.94300000000000006</v>
      </c>
      <c r="F28" s="19">
        <v>0.46</v>
      </c>
      <c r="G28" s="20">
        <v>0.70600000000000007</v>
      </c>
      <c r="J28" s="111">
        <v>22</v>
      </c>
      <c r="K28" s="111">
        <f t="shared" si="0"/>
        <v>484</v>
      </c>
      <c r="L28" s="112">
        <v>1.0300000000000001E-3</v>
      </c>
      <c r="M28" s="31">
        <f t="shared" si="5"/>
        <v>0.97908360864594624</v>
      </c>
      <c r="N28" s="31">
        <f t="shared" si="1"/>
        <v>2.0916391354053765E-2</v>
      </c>
      <c r="O28" s="31">
        <f t="shared" si="2"/>
        <v>-2.1138238008344808E-2</v>
      </c>
      <c r="P28" s="31">
        <f t="shared" si="3"/>
        <v>2.1138238008344808E-2</v>
      </c>
      <c r="T28" s="31">
        <f t="shared" si="4"/>
        <v>0.22197526208988458</v>
      </c>
    </row>
    <row r="29" spans="1:20" ht="15.75">
      <c r="A29" s="15">
        <v>22</v>
      </c>
      <c r="B29" s="19">
        <v>1.03</v>
      </c>
      <c r="C29" s="19">
        <v>0.51700000000000002</v>
      </c>
      <c r="D29" s="20">
        <v>0.78</v>
      </c>
      <c r="E29" s="19">
        <v>0.92699999999999994</v>
      </c>
      <c r="F29" s="19">
        <v>0.46500000000000002</v>
      </c>
      <c r="G29" s="20">
        <v>0.70200000000000007</v>
      </c>
      <c r="J29" s="111">
        <v>23</v>
      </c>
      <c r="K29" s="111">
        <f t="shared" si="0"/>
        <v>529</v>
      </c>
      <c r="L29" s="112">
        <v>1.003E-3</v>
      </c>
      <c r="M29" s="31">
        <f t="shared" si="5"/>
        <v>0.97807515252904098</v>
      </c>
      <c r="N29" s="31">
        <f t="shared" si="1"/>
        <v>2.1924847470959019E-2</v>
      </c>
      <c r="O29" s="31">
        <f t="shared" si="2"/>
        <v>-2.2168768822868678E-2</v>
      </c>
      <c r="P29" s="31">
        <f t="shared" si="3"/>
        <v>2.2168768822868678E-2</v>
      </c>
      <c r="T29" s="31">
        <f t="shared" si="4"/>
        <v>0.24261345794534905</v>
      </c>
    </row>
    <row r="30" spans="1:20" ht="15.75">
      <c r="A30" s="15">
        <v>23</v>
      </c>
      <c r="B30" s="19">
        <v>1.0029999999999999</v>
      </c>
      <c r="C30" s="19">
        <v>0.51900000000000002</v>
      </c>
      <c r="D30" s="20">
        <v>0.76700000000000002</v>
      </c>
      <c r="E30" s="19">
        <v>0.90300000000000002</v>
      </c>
      <c r="F30" s="19">
        <v>0.46700000000000003</v>
      </c>
      <c r="G30" s="20">
        <v>0.69</v>
      </c>
      <c r="J30" s="111">
        <v>24</v>
      </c>
      <c r="K30" s="111">
        <f t="shared" si="0"/>
        <v>576</v>
      </c>
      <c r="L30" s="112">
        <v>9.7199999999999999E-4</v>
      </c>
      <c r="M30" s="31">
        <f t="shared" si="5"/>
        <v>0.97709414315105436</v>
      </c>
      <c r="N30" s="31">
        <f t="shared" si="1"/>
        <v>2.2905856848945638E-2</v>
      </c>
      <c r="O30" s="31">
        <f t="shared" si="2"/>
        <v>-2.3172272163964228E-2</v>
      </c>
      <c r="P30" s="31">
        <f t="shared" si="3"/>
        <v>2.3172272163964228E-2</v>
      </c>
      <c r="T30" s="31">
        <f t="shared" si="4"/>
        <v>0.26416890694994533</v>
      </c>
    </row>
    <row r="31" spans="1:20" ht="15.75">
      <c r="A31" s="15">
        <v>24</v>
      </c>
      <c r="B31" s="19">
        <v>0.97199999999999998</v>
      </c>
      <c r="C31" s="19">
        <v>0.51900000000000002</v>
      </c>
      <c r="D31" s="20">
        <v>0.752</v>
      </c>
      <c r="E31" s="19">
        <v>0.875</v>
      </c>
      <c r="F31" s="19">
        <v>0.46700000000000003</v>
      </c>
      <c r="G31" s="20">
        <v>0.67699999999999994</v>
      </c>
      <c r="J31" s="111">
        <v>25</v>
      </c>
      <c r="K31" s="111">
        <f t="shared" si="0"/>
        <v>625</v>
      </c>
      <c r="L31" s="112">
        <v>9.4499999999999998E-4</v>
      </c>
      <c r="M31" s="31">
        <f t="shared" si="5"/>
        <v>0.97614440764391153</v>
      </c>
      <c r="N31" s="31">
        <f t="shared" si="1"/>
        <v>2.3855592356088473E-2</v>
      </c>
      <c r="O31" s="31">
        <f t="shared" si="2"/>
        <v>-2.4144744862297583E-2</v>
      </c>
      <c r="P31" s="31">
        <f t="shared" si="3"/>
        <v>2.4144744862297583E-2</v>
      </c>
      <c r="T31" s="31">
        <f t="shared" si="4"/>
        <v>0.28664160910367326</v>
      </c>
    </row>
    <row r="32" spans="1:20" ht="15.75">
      <c r="A32" s="15">
        <v>25</v>
      </c>
      <c r="B32" s="19">
        <v>0.94499999999999995</v>
      </c>
      <c r="C32" s="19">
        <v>0.51900000000000002</v>
      </c>
      <c r="D32" s="20">
        <v>0.7380000000000001</v>
      </c>
      <c r="E32" s="19">
        <v>0.85099999999999998</v>
      </c>
      <c r="F32" s="19">
        <v>0.46700000000000003</v>
      </c>
      <c r="G32" s="20">
        <v>0.66400000000000003</v>
      </c>
      <c r="J32" s="111">
        <v>26</v>
      </c>
      <c r="K32" s="111">
        <f t="shared" si="0"/>
        <v>676</v>
      </c>
      <c r="L32" s="112">
        <v>9.2500000000000004E-4</v>
      </c>
      <c r="M32" s="31">
        <f t="shared" si="5"/>
        <v>0.97522195117868804</v>
      </c>
      <c r="N32" s="31">
        <f t="shared" si="1"/>
        <v>2.477804882131196E-2</v>
      </c>
      <c r="O32" s="31">
        <f t="shared" si="2"/>
        <v>-2.5090191656299971E-2</v>
      </c>
      <c r="P32" s="31">
        <f t="shared" si="3"/>
        <v>2.5090191656299971E-2</v>
      </c>
      <c r="T32" s="31">
        <f t="shared" si="4"/>
        <v>0.31003156440653301</v>
      </c>
    </row>
    <row r="33" spans="1:20" ht="15.75">
      <c r="A33" s="15">
        <v>26</v>
      </c>
      <c r="B33" s="19">
        <v>0.92500000000000004</v>
      </c>
      <c r="C33" s="19">
        <v>0.52</v>
      </c>
      <c r="D33" s="20">
        <v>0.72799999999999998</v>
      </c>
      <c r="E33" s="19">
        <v>0.83299999999999996</v>
      </c>
      <c r="F33" s="19">
        <v>0.46799999999999997</v>
      </c>
      <c r="G33" s="20">
        <v>0.65500000000000003</v>
      </c>
      <c r="J33" s="111">
        <v>27</v>
      </c>
      <c r="K33" s="111">
        <f t="shared" si="0"/>
        <v>729</v>
      </c>
      <c r="L33" s="112">
        <v>9.1500000000000001E-4</v>
      </c>
      <c r="M33" s="31">
        <f t="shared" si="5"/>
        <v>0.97431987087384775</v>
      </c>
      <c r="N33" s="31">
        <f t="shared" si="1"/>
        <v>2.5680129126152251E-2</v>
      </c>
      <c r="O33" s="31">
        <f t="shared" si="2"/>
        <v>-2.6015619732800845E-2</v>
      </c>
      <c r="P33" s="31">
        <f t="shared" si="3"/>
        <v>2.6015619732800845E-2</v>
      </c>
      <c r="T33" s="31">
        <f t="shared" si="4"/>
        <v>0.33433877285852454</v>
      </c>
    </row>
    <row r="34" spans="1:20" ht="15.75">
      <c r="A34" s="15">
        <v>27</v>
      </c>
      <c r="B34" s="19">
        <v>0.91500000000000004</v>
      </c>
      <c r="C34" s="19">
        <v>0.52500000000000002</v>
      </c>
      <c r="D34" s="20">
        <v>0.72699999999999998</v>
      </c>
      <c r="E34" s="19">
        <v>0.82399999999999995</v>
      </c>
      <c r="F34" s="19">
        <v>0.47300000000000003</v>
      </c>
      <c r="G34" s="20">
        <v>0.65399999999999991</v>
      </c>
      <c r="J34" s="111">
        <v>28</v>
      </c>
      <c r="K34" s="111">
        <f t="shared" si="0"/>
        <v>784</v>
      </c>
      <c r="L34" s="112">
        <v>9.1799999999999998E-4</v>
      </c>
      <c r="M34" s="31">
        <f t="shared" si="5"/>
        <v>0.97342836819199818</v>
      </c>
      <c r="N34" s="31">
        <f t="shared" si="1"/>
        <v>2.6571631808001817E-2</v>
      </c>
      <c r="O34" s="31">
        <f t="shared" si="2"/>
        <v>-2.6931038600829828E-2</v>
      </c>
      <c r="P34" s="31">
        <f t="shared" si="3"/>
        <v>2.6931038600829828E-2</v>
      </c>
      <c r="T34" s="31">
        <f t="shared" si="4"/>
        <v>0.35956323445964777</v>
      </c>
    </row>
    <row r="35" spans="1:20" ht="15.75">
      <c r="A35" s="15">
        <v>28</v>
      </c>
      <c r="B35" s="19">
        <v>0.91799999999999993</v>
      </c>
      <c r="C35" s="19">
        <v>0.53300000000000003</v>
      </c>
      <c r="D35" s="20">
        <v>0.73</v>
      </c>
      <c r="E35" s="19">
        <v>0.82600000000000007</v>
      </c>
      <c r="F35" s="19">
        <v>0.48</v>
      </c>
      <c r="G35" s="20">
        <v>0.65700000000000003</v>
      </c>
      <c r="J35" s="111">
        <v>29</v>
      </c>
      <c r="K35" s="111">
        <f t="shared" si="0"/>
        <v>841</v>
      </c>
      <c r="L35" s="112">
        <v>9.3300000000000002E-4</v>
      </c>
      <c r="M35" s="31">
        <f t="shared" si="5"/>
        <v>0.97253476094999791</v>
      </c>
      <c r="N35" s="31">
        <f t="shared" si="1"/>
        <v>2.7465239050002088E-2</v>
      </c>
      <c r="O35" s="31">
        <f t="shared" si="2"/>
        <v>-2.7849460220881066E-2</v>
      </c>
      <c r="P35" s="31">
        <f t="shared" si="3"/>
        <v>2.7849460220881066E-2</v>
      </c>
      <c r="T35" s="31">
        <f t="shared" si="4"/>
        <v>0.38570494920990278</v>
      </c>
    </row>
    <row r="36" spans="1:20" ht="15.75">
      <c r="A36" s="15">
        <v>29</v>
      </c>
      <c r="B36" s="19">
        <v>0.93300000000000005</v>
      </c>
      <c r="C36" s="19">
        <v>0.54600000000000004</v>
      </c>
      <c r="D36" s="20">
        <v>0.74299999999999999</v>
      </c>
      <c r="E36" s="19">
        <v>0.84</v>
      </c>
      <c r="F36" s="19">
        <v>0.49099999999999999</v>
      </c>
      <c r="G36" s="20">
        <v>0.66900000000000004</v>
      </c>
      <c r="J36" s="111">
        <v>30</v>
      </c>
      <c r="K36" s="111">
        <f t="shared" si="0"/>
        <v>900</v>
      </c>
      <c r="L36" s="112">
        <v>9.6299999999999999E-4</v>
      </c>
      <c r="M36" s="31">
        <f t="shared" si="5"/>
        <v>0.97162738601803156</v>
      </c>
      <c r="N36" s="31">
        <f t="shared" si="1"/>
        <v>2.8372613981968442E-2</v>
      </c>
      <c r="O36" s="31">
        <f t="shared" si="2"/>
        <v>-2.8782895736292731E-2</v>
      </c>
      <c r="P36" s="31">
        <f t="shared" si="3"/>
        <v>2.8782895736292731E-2</v>
      </c>
      <c r="T36" s="31">
        <f t="shared" si="4"/>
        <v>0.4127639171092895</v>
      </c>
    </row>
    <row r="37" spans="1:20" ht="15.75">
      <c r="A37" s="15">
        <v>30</v>
      </c>
      <c r="B37" s="19">
        <v>0.96299999999999997</v>
      </c>
      <c r="C37" s="19">
        <v>0.56599999999999995</v>
      </c>
      <c r="D37" s="20">
        <v>0.77300000000000002</v>
      </c>
      <c r="E37" s="19">
        <v>0.86699999999999999</v>
      </c>
      <c r="F37" s="19">
        <v>0.50900000000000001</v>
      </c>
      <c r="G37" s="20">
        <v>0.69599999999999995</v>
      </c>
      <c r="J37" s="111">
        <v>31</v>
      </c>
      <c r="K37" s="111">
        <f t="shared" si="0"/>
        <v>961</v>
      </c>
      <c r="L37" s="112">
        <v>1.0070000000000001E-3</v>
      </c>
      <c r="M37" s="31">
        <f t="shared" si="5"/>
        <v>0.9706917088452961</v>
      </c>
      <c r="N37" s="31">
        <f t="shared" si="1"/>
        <v>2.9308291154703903E-2</v>
      </c>
      <c r="O37" s="31">
        <f t="shared" si="2"/>
        <v>-2.9746359718693448E-2</v>
      </c>
      <c r="P37" s="31">
        <f t="shared" si="3"/>
        <v>2.9746359718693448E-2</v>
      </c>
      <c r="T37" s="31">
        <f t="shared" si="4"/>
        <v>0.44074013815780805</v>
      </c>
    </row>
    <row r="38" spans="1:20" ht="15.75">
      <c r="A38" s="15">
        <v>31</v>
      </c>
      <c r="B38" s="19">
        <v>1.0070000000000001</v>
      </c>
      <c r="C38" s="19">
        <v>0.59199999999999997</v>
      </c>
      <c r="D38" s="20">
        <v>0.80900000000000005</v>
      </c>
      <c r="E38" s="19">
        <v>0.90600000000000003</v>
      </c>
      <c r="F38" s="19">
        <v>0.53300000000000003</v>
      </c>
      <c r="G38" s="20">
        <v>0.72799999999999998</v>
      </c>
      <c r="J38" s="111">
        <v>32</v>
      </c>
      <c r="K38" s="111">
        <f t="shared" si="0"/>
        <v>1024</v>
      </c>
      <c r="L38" s="112">
        <v>1.0640000000000001E-3</v>
      </c>
      <c r="M38" s="31">
        <f t="shared" si="5"/>
        <v>0.96971422229448889</v>
      </c>
      <c r="N38" s="31">
        <f t="shared" si="1"/>
        <v>3.0285777705511108E-2</v>
      </c>
      <c r="O38" s="31">
        <f t="shared" si="2"/>
        <v>-3.0753867083833167E-2</v>
      </c>
      <c r="P38" s="31">
        <f t="shared" si="3"/>
        <v>3.0753867083833167E-2</v>
      </c>
      <c r="T38" s="31">
        <f t="shared" si="4"/>
        <v>0.46963361235545831</v>
      </c>
    </row>
    <row r="39" spans="1:20" ht="15.75">
      <c r="A39" s="15">
        <v>32</v>
      </c>
      <c r="B39" s="19">
        <v>1.0640000000000001</v>
      </c>
      <c r="C39" s="19">
        <v>0.625</v>
      </c>
      <c r="D39" s="20">
        <v>0.85499999999999998</v>
      </c>
      <c r="E39" s="19">
        <v>0.95799999999999996</v>
      </c>
      <c r="F39" s="19">
        <v>0.56300000000000006</v>
      </c>
      <c r="G39" s="20">
        <v>0.77</v>
      </c>
      <c r="J39" s="111">
        <v>33</v>
      </c>
      <c r="K39" s="111">
        <f t="shared" si="0"/>
        <v>1089</v>
      </c>
      <c r="L39" s="112">
        <v>1.1360000000000001E-3</v>
      </c>
      <c r="M39" s="31">
        <f t="shared" si="5"/>
        <v>0.96868244636196765</v>
      </c>
      <c r="N39" s="31">
        <f t="shared" si="1"/>
        <v>3.1317553638032347E-2</v>
      </c>
      <c r="O39" s="31">
        <f t="shared" si="2"/>
        <v>-3.1818433533670469E-2</v>
      </c>
      <c r="P39" s="31">
        <f t="shared" si="3"/>
        <v>3.1818433533670469E-2</v>
      </c>
      <c r="T39" s="31">
        <f t="shared" si="4"/>
        <v>0.49944433970224034</v>
      </c>
    </row>
    <row r="40" spans="1:20" ht="15.75">
      <c r="A40" s="15">
        <v>33</v>
      </c>
      <c r="B40" s="19">
        <v>1.1360000000000001</v>
      </c>
      <c r="C40" s="19">
        <v>0.66600000000000004</v>
      </c>
      <c r="D40" s="20">
        <v>0.91</v>
      </c>
      <c r="E40" s="19">
        <v>1.0219999999999998</v>
      </c>
      <c r="F40" s="19">
        <v>0.59899999999999998</v>
      </c>
      <c r="G40" s="20">
        <v>0.81899999999999995</v>
      </c>
      <c r="J40" s="111">
        <v>34</v>
      </c>
      <c r="K40" s="111">
        <f t="shared" si="0"/>
        <v>1156</v>
      </c>
      <c r="L40" s="112">
        <v>1.222E-3</v>
      </c>
      <c r="M40" s="31">
        <f t="shared" si="5"/>
        <v>0.96758202310290042</v>
      </c>
      <c r="N40" s="31">
        <f t="shared" si="1"/>
        <v>3.2417976897099576E-2</v>
      </c>
      <c r="O40" s="31">
        <f t="shared" si="2"/>
        <v>-3.2955079270755042E-2</v>
      </c>
      <c r="P40" s="31">
        <f t="shared" si="3"/>
        <v>3.2955079270755042E-2</v>
      </c>
      <c r="T40" s="31">
        <f t="shared" si="4"/>
        <v>0.53017232019815408</v>
      </c>
    </row>
    <row r="41" spans="1:20" ht="15.75">
      <c r="A41" s="15">
        <v>34</v>
      </c>
      <c r="B41" s="19">
        <v>1.222</v>
      </c>
      <c r="C41" s="19">
        <v>0.71399999999999997</v>
      </c>
      <c r="D41" s="20">
        <v>0.97599999999999998</v>
      </c>
      <c r="E41" s="19">
        <v>1.1000000000000001</v>
      </c>
      <c r="F41" s="19">
        <v>0.64300000000000002</v>
      </c>
      <c r="G41" s="20">
        <v>0.878</v>
      </c>
      <c r="J41" s="111">
        <v>35</v>
      </c>
      <c r="K41" s="111">
        <f t="shared" si="0"/>
        <v>1225</v>
      </c>
      <c r="L41" s="112">
        <v>1.3209999999999999E-3</v>
      </c>
      <c r="M41" s="31">
        <f t="shared" si="5"/>
        <v>0.96639963787066874</v>
      </c>
      <c r="N41" s="31">
        <f t="shared" si="1"/>
        <v>3.3600362129331263E-2</v>
      </c>
      <c r="O41" s="31">
        <f t="shared" si="2"/>
        <v>-3.4177826521577352E-2</v>
      </c>
      <c r="P41" s="31">
        <f t="shared" si="3"/>
        <v>3.4177826521577352E-2</v>
      </c>
      <c r="T41" s="31">
        <f t="shared" si="4"/>
        <v>0.56181755384319965</v>
      </c>
    </row>
    <row r="42" spans="1:20" ht="15.75">
      <c r="A42" s="15">
        <v>35</v>
      </c>
      <c r="B42" s="19">
        <v>1.321</v>
      </c>
      <c r="C42" s="19">
        <v>0.77200000000000002</v>
      </c>
      <c r="D42" s="20">
        <v>1.0569999999999999</v>
      </c>
      <c r="E42" s="19">
        <v>1.1890000000000001</v>
      </c>
      <c r="F42" s="19">
        <v>0.69499999999999995</v>
      </c>
      <c r="G42" s="20">
        <v>0.95100000000000007</v>
      </c>
      <c r="J42" s="111">
        <v>36</v>
      </c>
      <c r="K42" s="111">
        <f t="shared" si="0"/>
        <v>1296</v>
      </c>
      <c r="L42" s="112">
        <v>1.436E-3</v>
      </c>
      <c r="M42" s="31">
        <f t="shared" si="5"/>
        <v>0.96512302394904159</v>
      </c>
      <c r="N42" s="31">
        <f t="shared" si="1"/>
        <v>3.4876976050958408E-2</v>
      </c>
      <c r="O42" s="31">
        <f t="shared" si="2"/>
        <v>-3.5499699811239162E-2</v>
      </c>
      <c r="P42" s="31">
        <f t="shared" si="3"/>
        <v>3.5499699811239162E-2</v>
      </c>
      <c r="T42" s="31">
        <f t="shared" si="4"/>
        <v>0.59438004063737693</v>
      </c>
    </row>
    <row r="43" spans="1:20" ht="15.75">
      <c r="A43" s="15">
        <v>36</v>
      </c>
      <c r="B43" s="19">
        <v>1.4359999999999999</v>
      </c>
      <c r="C43" s="19">
        <v>0.83799999999999997</v>
      </c>
      <c r="D43" s="20">
        <v>1.1460000000000001</v>
      </c>
      <c r="E43" s="19">
        <v>1.292</v>
      </c>
      <c r="F43" s="19">
        <v>0.754</v>
      </c>
      <c r="G43" s="20">
        <v>1.0309999999999999</v>
      </c>
      <c r="J43" s="111">
        <v>37</v>
      </c>
      <c r="K43" s="111">
        <f t="shared" si="0"/>
        <v>1369</v>
      </c>
      <c r="L43" s="112">
        <v>1.565E-3</v>
      </c>
      <c r="M43" s="31">
        <f t="shared" si="5"/>
        <v>0.96373710728665074</v>
      </c>
      <c r="N43" s="31">
        <f t="shared" si="1"/>
        <v>3.626289271334926E-2</v>
      </c>
      <c r="O43" s="31">
        <f t="shared" si="2"/>
        <v>-3.6936731847360092E-2</v>
      </c>
      <c r="P43" s="31">
        <f t="shared" si="3"/>
        <v>3.6936731847360092E-2</v>
      </c>
      <c r="T43" s="31">
        <f t="shared" si="4"/>
        <v>0.62785978058068592</v>
      </c>
    </row>
    <row r="44" spans="1:20" ht="15.75">
      <c r="A44" s="15">
        <v>37</v>
      </c>
      <c r="B44" s="19">
        <v>1.5649999999999999</v>
      </c>
      <c r="C44" s="19">
        <v>0.91400000000000003</v>
      </c>
      <c r="D44" s="20">
        <v>1.2489999999999999</v>
      </c>
      <c r="E44" s="19">
        <v>1.409</v>
      </c>
      <c r="F44" s="19">
        <v>0.82299999999999995</v>
      </c>
      <c r="G44" s="20">
        <v>1.1240000000000001</v>
      </c>
      <c r="J44" s="111">
        <v>38</v>
      </c>
      <c r="K44" s="111">
        <f t="shared" si="0"/>
        <v>1444</v>
      </c>
      <c r="L44" s="112">
        <v>1.7099999999999999E-3</v>
      </c>
      <c r="M44" s="31">
        <f t="shared" si="5"/>
        <v>0.96222885871374708</v>
      </c>
      <c r="N44" s="31">
        <f t="shared" si="1"/>
        <v>3.7771141286252918E-2</v>
      </c>
      <c r="O44" s="31">
        <f t="shared" si="2"/>
        <v>-3.8502957739040743E-2</v>
      </c>
      <c r="P44" s="31">
        <f t="shared" si="3"/>
        <v>3.8502957739040743E-2</v>
      </c>
      <c r="T44" s="31">
        <f t="shared" si="4"/>
        <v>0.66225677367312674</v>
      </c>
    </row>
    <row r="45" spans="1:20" ht="15.75">
      <c r="A45" s="15">
        <v>38</v>
      </c>
      <c r="B45" s="19">
        <v>1.71</v>
      </c>
      <c r="C45" s="19">
        <v>1.0009999999999999</v>
      </c>
      <c r="D45" s="20">
        <v>1.3660000000000001</v>
      </c>
      <c r="E45" s="19">
        <v>1.5389999999999999</v>
      </c>
      <c r="F45" s="19">
        <v>0.90100000000000002</v>
      </c>
      <c r="G45" s="20">
        <v>1.2290000000000001</v>
      </c>
      <c r="J45" s="111">
        <v>39</v>
      </c>
      <c r="K45" s="111">
        <f t="shared" si="0"/>
        <v>1521</v>
      </c>
      <c r="L45" s="112">
        <v>1.872E-3</v>
      </c>
      <c r="M45" s="31">
        <f t="shared" si="5"/>
        <v>0.96058344736534662</v>
      </c>
      <c r="N45" s="31">
        <f t="shared" si="1"/>
        <v>3.9416552634653379E-2</v>
      </c>
      <c r="O45" s="31">
        <f t="shared" si="2"/>
        <v>-4.021442145791821E-2</v>
      </c>
      <c r="P45" s="31">
        <f t="shared" si="3"/>
        <v>4.021442145791821E-2</v>
      </c>
      <c r="T45" s="31">
        <f t="shared" si="4"/>
        <v>0.69757101991469928</v>
      </c>
    </row>
    <row r="46" spans="1:20" ht="15.75">
      <c r="A46" s="15">
        <v>39</v>
      </c>
      <c r="B46" s="19">
        <v>1.8719999999999999</v>
      </c>
      <c r="C46" s="19">
        <v>1.0980000000000001</v>
      </c>
      <c r="D46" s="20">
        <v>1.4970000000000001</v>
      </c>
      <c r="E46" s="19">
        <v>1.6850000000000001</v>
      </c>
      <c r="F46" s="19">
        <v>0.98799999999999999</v>
      </c>
      <c r="G46" s="20">
        <v>1.3470000000000002</v>
      </c>
      <c r="J46" s="111">
        <v>40</v>
      </c>
      <c r="K46" s="111">
        <f t="shared" si="0"/>
        <v>1600</v>
      </c>
      <c r="L46" s="112">
        <v>2.0509999999999999E-3</v>
      </c>
      <c r="M46" s="31">
        <f t="shared" si="5"/>
        <v>0.95878523515187875</v>
      </c>
      <c r="N46" s="31">
        <f t="shared" si="1"/>
        <v>4.1214764848121255E-2</v>
      </c>
      <c r="O46" s="31">
        <f t="shared" si="2"/>
        <v>-4.2088175839728556E-2</v>
      </c>
      <c r="P46" s="31">
        <f t="shared" si="3"/>
        <v>4.2088175839728556E-2</v>
      </c>
      <c r="T46" s="31">
        <f t="shared" si="4"/>
        <v>0.73380251930540363</v>
      </c>
    </row>
    <row r="47" spans="1:20" ht="15.75">
      <c r="A47" s="15">
        <v>40</v>
      </c>
      <c r="B47" s="19">
        <v>2.0509999999999997</v>
      </c>
      <c r="C47" s="19">
        <v>1.2080000000000002</v>
      </c>
      <c r="D47" s="20">
        <v>1.65</v>
      </c>
      <c r="E47" s="19">
        <v>1.8460000000000001</v>
      </c>
      <c r="F47" s="19">
        <v>1.087</v>
      </c>
      <c r="G47" s="20">
        <v>1.4850000000000001</v>
      </c>
      <c r="J47" s="111">
        <v>41</v>
      </c>
      <c r="K47" s="111">
        <f t="shared" si="0"/>
        <v>1681</v>
      </c>
      <c r="L47" s="112">
        <v>2.2499999999999998E-3</v>
      </c>
      <c r="M47" s="31">
        <f t="shared" si="5"/>
        <v>0.95681876663458221</v>
      </c>
      <c r="N47" s="31">
        <f t="shared" si="1"/>
        <v>4.3181233365417793E-2</v>
      </c>
      <c r="O47" s="31">
        <f t="shared" si="2"/>
        <v>-4.4141282020572617E-2</v>
      </c>
      <c r="P47" s="31">
        <f t="shared" si="3"/>
        <v>4.4141282020572617E-2</v>
      </c>
      <c r="T47" s="31">
        <f t="shared" si="4"/>
        <v>0.77095127184523971</v>
      </c>
    </row>
    <row r="48" spans="1:20" ht="15.75">
      <c r="A48" s="15">
        <v>41</v>
      </c>
      <c r="B48" s="19">
        <v>2.25</v>
      </c>
      <c r="C48" s="19">
        <v>1.331</v>
      </c>
      <c r="D48" s="20">
        <v>1.8120000000000001</v>
      </c>
      <c r="E48" s="19">
        <v>2.0249999999999999</v>
      </c>
      <c r="F48" s="19">
        <v>1.198</v>
      </c>
      <c r="G48" s="20">
        <v>1.631</v>
      </c>
      <c r="J48" s="111">
        <v>42</v>
      </c>
      <c r="K48" s="111">
        <f t="shared" si="0"/>
        <v>1764</v>
      </c>
      <c r="L48" s="112">
        <v>2.4700000000000004E-3</v>
      </c>
      <c r="M48" s="31">
        <f t="shared" si="5"/>
        <v>0.95466592440965448</v>
      </c>
      <c r="N48" s="31">
        <f t="shared" si="1"/>
        <v>4.5334075590345524E-2</v>
      </c>
      <c r="O48" s="31">
        <f t="shared" si="2"/>
        <v>-4.639381707386632E-2</v>
      </c>
      <c r="P48" s="31">
        <f t="shared" si="3"/>
        <v>4.639381707386632E-2</v>
      </c>
      <c r="T48" s="31">
        <f t="shared" si="4"/>
        <v>0.80901727753420749</v>
      </c>
    </row>
    <row r="49" spans="1:20" ht="15.75">
      <c r="A49" s="15">
        <v>42</v>
      </c>
      <c r="B49" s="19">
        <v>2.4700000000000002</v>
      </c>
      <c r="C49" s="19">
        <v>1.468</v>
      </c>
      <c r="D49" s="20">
        <v>1.9929999999999999</v>
      </c>
      <c r="E49" s="19">
        <v>2.2230000000000003</v>
      </c>
      <c r="F49" s="19">
        <v>1.321</v>
      </c>
      <c r="G49" s="20">
        <v>1.794</v>
      </c>
      <c r="J49" s="111">
        <v>43</v>
      </c>
      <c r="K49" s="111">
        <f t="shared" si="0"/>
        <v>1849</v>
      </c>
      <c r="L49" s="112">
        <v>2.7130000000000001E-3</v>
      </c>
      <c r="M49" s="31">
        <f t="shared" si="5"/>
        <v>0.95230789957636264</v>
      </c>
      <c r="N49" s="31">
        <f t="shared" si="1"/>
        <v>4.7692100423637362E-2</v>
      </c>
      <c r="O49" s="31">
        <f t="shared" si="2"/>
        <v>-4.8866872556264311E-2</v>
      </c>
      <c r="P49" s="31">
        <f t="shared" si="3"/>
        <v>4.8866872556264311E-2</v>
      </c>
      <c r="T49" s="31">
        <f t="shared" si="4"/>
        <v>0.84800053637230699</v>
      </c>
    </row>
    <row r="50" spans="1:20" ht="15.75">
      <c r="A50" s="15">
        <v>43</v>
      </c>
      <c r="B50" s="19">
        <v>2.7130000000000001</v>
      </c>
      <c r="C50" s="19">
        <v>1.62</v>
      </c>
      <c r="D50" s="20">
        <v>2.1930000000000001</v>
      </c>
      <c r="E50" s="19">
        <v>2.4420000000000002</v>
      </c>
      <c r="F50" s="19">
        <v>1.4580000000000002</v>
      </c>
      <c r="G50" s="20">
        <v>1.974</v>
      </c>
      <c r="J50" s="111">
        <v>44</v>
      </c>
      <c r="K50" s="111">
        <f t="shared" si="0"/>
        <v>1936</v>
      </c>
      <c r="L50" s="112">
        <v>2.9810000000000001E-3</v>
      </c>
      <c r="M50" s="31">
        <f t="shared" si="5"/>
        <v>0.94972428824481203</v>
      </c>
      <c r="N50" s="31">
        <f t="shared" si="1"/>
        <v>5.0275711755187968E-2</v>
      </c>
      <c r="O50" s="31">
        <f t="shared" si="2"/>
        <v>-5.1583559410564493E-2</v>
      </c>
      <c r="P50" s="31">
        <f t="shared" si="3"/>
        <v>5.1583559410564493E-2</v>
      </c>
      <c r="T50" s="31">
        <f t="shared" si="4"/>
        <v>0.88790104835953831</v>
      </c>
    </row>
    <row r="51" spans="1:20" ht="15.75">
      <c r="A51" s="15">
        <v>44</v>
      </c>
      <c r="B51" s="19">
        <v>2.9810000000000003</v>
      </c>
      <c r="C51" s="19">
        <v>1.79</v>
      </c>
      <c r="D51" s="20">
        <v>2.4090000000000003</v>
      </c>
      <c r="E51" s="19">
        <v>2.6830000000000003</v>
      </c>
      <c r="F51" s="19">
        <v>1.611</v>
      </c>
      <c r="G51" s="20">
        <v>2.1679999999999997</v>
      </c>
      <c r="J51" s="111">
        <v>45</v>
      </c>
      <c r="K51" s="111">
        <f t="shared" si="0"/>
        <v>2025</v>
      </c>
      <c r="L51" s="112">
        <v>3.2759999999999998E-3</v>
      </c>
      <c r="M51" s="31">
        <f t="shared" si="5"/>
        <v>0.94689316014155422</v>
      </c>
      <c r="N51" s="31">
        <f t="shared" si="1"/>
        <v>5.3106839858445776E-2</v>
      </c>
      <c r="O51" s="31">
        <f t="shared" si="2"/>
        <v>-5.4569011440934283E-2</v>
      </c>
      <c r="P51" s="31">
        <f t="shared" si="3"/>
        <v>5.4569011440934283E-2</v>
      </c>
      <c r="T51" s="31">
        <f t="shared" si="4"/>
        <v>0.92871881349590146</v>
      </c>
    </row>
    <row r="52" spans="1:20" ht="15.75">
      <c r="A52" s="15">
        <v>45</v>
      </c>
      <c r="B52" s="19">
        <v>3.2759999999999998</v>
      </c>
      <c r="C52" s="19">
        <v>1.9789999999999999</v>
      </c>
      <c r="D52" s="20">
        <v>2.6580000000000004</v>
      </c>
      <c r="E52" s="19">
        <v>2.948</v>
      </c>
      <c r="F52" s="19">
        <v>1.7810000000000001</v>
      </c>
      <c r="G52" s="20">
        <v>2.3919999999999999</v>
      </c>
      <c r="J52" s="111">
        <v>46</v>
      </c>
      <c r="K52" s="111">
        <f t="shared" si="0"/>
        <v>2116</v>
      </c>
      <c r="L52" s="112">
        <v>3.601E-3</v>
      </c>
      <c r="M52" s="31">
        <f t="shared" si="5"/>
        <v>0.94379113814893056</v>
      </c>
      <c r="N52" s="31">
        <f t="shared" si="1"/>
        <v>5.6208861851069436E-2</v>
      </c>
      <c r="O52" s="31">
        <f t="shared" si="2"/>
        <v>-5.7850389277340972E-2</v>
      </c>
      <c r="P52" s="31">
        <f t="shared" si="3"/>
        <v>5.7850389277340972E-2</v>
      </c>
      <c r="T52" s="31">
        <f t="shared" si="4"/>
        <v>0.97045383178139621</v>
      </c>
    </row>
    <row r="53" spans="1:20" ht="15.75">
      <c r="A53" s="15">
        <v>46</v>
      </c>
      <c r="B53" s="19">
        <v>3.601</v>
      </c>
      <c r="C53" s="19">
        <v>2.1879999999999997</v>
      </c>
      <c r="D53" s="20">
        <v>2.9329999999999998</v>
      </c>
      <c r="E53" s="19">
        <v>3.2410000000000001</v>
      </c>
      <c r="F53" s="19">
        <v>1.9689999999999999</v>
      </c>
      <c r="G53" s="20">
        <v>2.64</v>
      </c>
      <c r="J53" s="111">
        <v>47</v>
      </c>
      <c r="K53" s="111">
        <f t="shared" si="0"/>
        <v>2209</v>
      </c>
      <c r="L53" s="112">
        <v>3.9579999999999997E-3</v>
      </c>
      <c r="M53" s="31">
        <f t="shared" si="5"/>
        <v>0.94039254626045632</v>
      </c>
      <c r="N53" s="31">
        <f t="shared" si="1"/>
        <v>5.9607453739543681E-2</v>
      </c>
      <c r="O53" s="31">
        <f t="shared" si="2"/>
        <v>-6.1457888484963058E-2</v>
      </c>
      <c r="P53" s="31">
        <f t="shared" si="3"/>
        <v>6.1457888484963058E-2</v>
      </c>
      <c r="T53" s="31">
        <f t="shared" si="4"/>
        <v>1.0131061032160229</v>
      </c>
    </row>
    <row r="54" spans="1:20" ht="15.75">
      <c r="A54" s="15">
        <v>47</v>
      </c>
      <c r="B54" s="19">
        <v>3.9579999999999997</v>
      </c>
      <c r="C54" s="19">
        <v>2.42</v>
      </c>
      <c r="D54" s="20">
        <v>3.2309999999999999</v>
      </c>
      <c r="E54" s="19">
        <v>3.5620000000000003</v>
      </c>
      <c r="F54" s="19">
        <v>2.1779999999999999</v>
      </c>
      <c r="G54" s="20">
        <v>2.9079999999999999</v>
      </c>
      <c r="J54" s="111">
        <v>48</v>
      </c>
      <c r="K54" s="111">
        <f t="shared" si="0"/>
        <v>2304</v>
      </c>
      <c r="L54" s="112">
        <v>4.352E-3</v>
      </c>
      <c r="M54" s="31">
        <f t="shared" si="5"/>
        <v>0.93667047256235747</v>
      </c>
      <c r="N54" s="31">
        <f t="shared" si="1"/>
        <v>6.332952743764253E-2</v>
      </c>
      <c r="O54" s="31">
        <f t="shared" si="2"/>
        <v>-6.5423742096876611E-2</v>
      </c>
      <c r="P54" s="31">
        <f t="shared" si="3"/>
        <v>6.5423742096876611E-2</v>
      </c>
      <c r="T54" s="31">
        <f t="shared" si="4"/>
        <v>1.0566756277997813</v>
      </c>
    </row>
    <row r="55" spans="1:20" ht="15.75">
      <c r="A55" s="15">
        <v>48</v>
      </c>
      <c r="B55" s="19">
        <v>4.3520000000000003</v>
      </c>
      <c r="C55" s="19">
        <v>2.677</v>
      </c>
      <c r="D55" s="20">
        <v>3.5579999999999998</v>
      </c>
      <c r="E55" s="19">
        <v>3.9170000000000003</v>
      </c>
      <c r="F55" s="19">
        <v>2.4090000000000003</v>
      </c>
      <c r="G55" s="20">
        <v>3.202</v>
      </c>
      <c r="J55" s="111">
        <v>49</v>
      </c>
      <c r="K55" s="111">
        <f t="shared" si="0"/>
        <v>2401</v>
      </c>
      <c r="L55" s="112">
        <v>4.7840000000000001E-3</v>
      </c>
      <c r="M55" s="31">
        <f t="shared" si="5"/>
        <v>0.93259408266576604</v>
      </c>
      <c r="N55" s="31">
        <f t="shared" si="1"/>
        <v>6.7405917334233956E-2</v>
      </c>
      <c r="O55" s="31">
        <f t="shared" si="2"/>
        <v>-6.9785239614357425E-2</v>
      </c>
      <c r="P55" s="31">
        <f t="shared" si="3"/>
        <v>6.9785239614357425E-2</v>
      </c>
      <c r="T55" s="31">
        <f t="shared" si="4"/>
        <v>1.1011624055326712</v>
      </c>
    </row>
    <row r="56" spans="1:20" ht="15.75">
      <c r="A56" s="15">
        <v>49</v>
      </c>
      <c r="B56" s="19">
        <v>4.7839999999999998</v>
      </c>
      <c r="C56" s="19">
        <v>2.9619999999999997</v>
      </c>
      <c r="D56" s="20">
        <v>3.9249999999999998</v>
      </c>
      <c r="E56" s="19">
        <v>4.306</v>
      </c>
      <c r="F56" s="19">
        <v>2.6659999999999999</v>
      </c>
      <c r="G56" s="20">
        <v>3.5329999999999999</v>
      </c>
      <c r="J56" s="111">
        <v>50</v>
      </c>
      <c r="K56" s="111">
        <f t="shared" si="0"/>
        <v>2500</v>
      </c>
      <c r="L56" s="113">
        <v>5.2599999999999999E-3</v>
      </c>
      <c r="M56" s="31">
        <f t="shared" si="5"/>
        <v>0.92813255257429306</v>
      </c>
      <c r="N56" s="31">
        <f t="shared" si="1"/>
        <v>7.1867447425706943E-2</v>
      </c>
      <c r="O56" s="31">
        <f t="shared" si="2"/>
        <v>-7.4580719570397747E-2</v>
      </c>
      <c r="P56" s="31">
        <f t="shared" si="3"/>
        <v>7.4580719570397747E-2</v>
      </c>
      <c r="T56" s="31">
        <f t="shared" si="4"/>
        <v>1.146566436414693</v>
      </c>
    </row>
    <row r="57" spans="1:20" ht="15.75">
      <c r="A57" s="18">
        <v>50</v>
      </c>
      <c r="B57" s="21">
        <v>5.26</v>
      </c>
      <c r="C57" s="21">
        <v>3.2770000000000001</v>
      </c>
      <c r="D57" s="22">
        <v>4.3220000000000001</v>
      </c>
      <c r="E57" s="21">
        <v>4.734</v>
      </c>
      <c r="F57" s="21">
        <v>2.9489999999999998</v>
      </c>
      <c r="G57" s="22">
        <v>3.89</v>
      </c>
      <c r="J57" s="111">
        <v>51</v>
      </c>
      <c r="K57" s="111">
        <f t="shared" si="0"/>
        <v>2601</v>
      </c>
      <c r="L57" s="112">
        <v>5.7829999999999999E-3</v>
      </c>
      <c r="M57" s="31">
        <f t="shared" si="5"/>
        <v>0.92325057534775223</v>
      </c>
      <c r="N57" s="31">
        <f t="shared" si="1"/>
        <v>7.6749424652247766E-2</v>
      </c>
      <c r="O57" s="31">
        <f t="shared" si="2"/>
        <v>-7.985460207310599E-2</v>
      </c>
      <c r="P57" s="31">
        <f t="shared" si="3"/>
        <v>7.985460207310599E-2</v>
      </c>
      <c r="T57" s="31">
        <f t="shared" si="4"/>
        <v>1.1928877204458468</v>
      </c>
    </row>
    <row r="58" spans="1:20" ht="15.75">
      <c r="A58" s="15">
        <v>51</v>
      </c>
      <c r="B58" s="19">
        <v>5.7830000000000004</v>
      </c>
      <c r="C58" s="19">
        <v>3.6270000000000002</v>
      </c>
      <c r="D58" s="20">
        <v>4.7699999999999996</v>
      </c>
      <c r="E58" s="19">
        <v>5.2050000000000001</v>
      </c>
      <c r="F58" s="19">
        <v>3.2639999999999998</v>
      </c>
      <c r="G58" s="20">
        <v>4.2930000000000001</v>
      </c>
      <c r="J58" s="111">
        <v>52</v>
      </c>
      <c r="K58" s="111">
        <f t="shared" si="0"/>
        <v>2704</v>
      </c>
      <c r="L58" s="112">
        <v>6.3579999999999999E-3</v>
      </c>
      <c r="M58" s="31">
        <f t="shared" si="5"/>
        <v>0.91791141727051617</v>
      </c>
      <c r="N58" s="31">
        <f t="shared" si="1"/>
        <v>8.2088582729483828E-2</v>
      </c>
      <c r="O58" s="31">
        <f t="shared" si="2"/>
        <v>-8.5654388365643805E-2</v>
      </c>
      <c r="P58" s="31">
        <f t="shared" si="3"/>
        <v>8.5654388365643805E-2</v>
      </c>
      <c r="T58" s="31">
        <f t="shared" si="4"/>
        <v>1.240126257626132</v>
      </c>
    </row>
    <row r="59" spans="1:20" ht="15.75">
      <c r="A59" s="15">
        <v>52</v>
      </c>
      <c r="B59" s="19">
        <v>6.3579999999999997</v>
      </c>
      <c r="C59" s="19">
        <v>4.0140000000000002</v>
      </c>
      <c r="D59" s="20">
        <v>5.2629999999999999</v>
      </c>
      <c r="E59" s="19">
        <v>5.7219999999999995</v>
      </c>
      <c r="F59" s="19">
        <v>3.613</v>
      </c>
      <c r="G59" s="20">
        <v>4.7370000000000001</v>
      </c>
      <c r="J59" s="111">
        <v>53</v>
      </c>
      <c r="K59" s="111">
        <f t="shared" si="0"/>
        <v>2809</v>
      </c>
      <c r="L59" s="112">
        <v>6.9909999999999998E-3</v>
      </c>
      <c r="M59" s="31">
        <f t="shared" si="5"/>
        <v>0.91207533647951022</v>
      </c>
      <c r="N59" s="31">
        <f t="shared" si="1"/>
        <v>8.7924663520489776E-2</v>
      </c>
      <c r="O59" s="31">
        <f t="shared" si="2"/>
        <v>-9.2032686530539309E-2</v>
      </c>
      <c r="P59" s="31">
        <f t="shared" si="3"/>
        <v>9.2032686530539309E-2</v>
      </c>
      <c r="T59" s="31">
        <f t="shared" si="4"/>
        <v>1.2882820479555492</v>
      </c>
    </row>
    <row r="60" spans="1:20" ht="15.75">
      <c r="A60" s="15">
        <v>53</v>
      </c>
      <c r="B60" s="19">
        <v>6.9909999999999997</v>
      </c>
      <c r="C60" s="19">
        <v>4.4420000000000002</v>
      </c>
      <c r="D60" s="20">
        <v>5.79</v>
      </c>
      <c r="E60" s="19">
        <v>6.2919999999999998</v>
      </c>
      <c r="F60" s="19">
        <v>3.9979999999999998</v>
      </c>
      <c r="G60" s="20">
        <v>5.2110000000000003</v>
      </c>
      <c r="J60" s="111">
        <v>54</v>
      </c>
      <c r="K60" s="111">
        <f t="shared" si="0"/>
        <v>2916</v>
      </c>
      <c r="L60" s="112">
        <v>7.6860000000000001E-3</v>
      </c>
      <c r="M60" s="31">
        <f t="shared" si="5"/>
        <v>0.90569901780218198</v>
      </c>
      <c r="N60" s="31">
        <f t="shared" si="1"/>
        <v>9.4300982197818017E-2</v>
      </c>
      <c r="O60" s="31">
        <f t="shared" si="2"/>
        <v>-9.9048238064467761E-2</v>
      </c>
      <c r="P60" s="31">
        <f t="shared" si="3"/>
        <v>9.9048238064467761E-2</v>
      </c>
      <c r="T60" s="31">
        <f t="shared" si="4"/>
        <v>1.3373550914340981</v>
      </c>
    </row>
    <row r="61" spans="1:20" ht="15.75">
      <c r="A61" s="15">
        <v>54</v>
      </c>
      <c r="B61" s="19">
        <v>7.6859999999999999</v>
      </c>
      <c r="C61" s="19">
        <v>4.9160000000000004</v>
      </c>
      <c r="D61" s="20">
        <v>6.367</v>
      </c>
      <c r="E61" s="19">
        <v>6.9170000000000007</v>
      </c>
      <c r="F61" s="19">
        <v>4.4240000000000004</v>
      </c>
      <c r="G61" s="20">
        <v>5.73</v>
      </c>
      <c r="J61" s="111">
        <v>55</v>
      </c>
      <c r="K61" s="111">
        <f t="shared" si="0"/>
        <v>3025</v>
      </c>
      <c r="L61" s="112">
        <v>8.4489999999999999E-3</v>
      </c>
      <c r="M61" s="31">
        <f t="shared" si="5"/>
        <v>0.89873781515135442</v>
      </c>
      <c r="N61" s="31">
        <f t="shared" si="1"/>
        <v>0.10126218484864558</v>
      </c>
      <c r="O61" s="31">
        <f t="shared" si="2"/>
        <v>-0.10676392758943379</v>
      </c>
      <c r="P61" s="31">
        <f t="shared" si="3"/>
        <v>0.10676392758943379</v>
      </c>
      <c r="T61" s="31">
        <f t="shared" si="4"/>
        <v>1.3873453880617788</v>
      </c>
    </row>
    <row r="62" spans="1:20" ht="15.75">
      <c r="A62" s="15">
        <v>55</v>
      </c>
      <c r="B62" s="19">
        <v>8.4489999999999998</v>
      </c>
      <c r="C62" s="19">
        <v>5.44</v>
      </c>
      <c r="D62" s="20">
        <v>7.0049999999999999</v>
      </c>
      <c r="E62" s="19">
        <v>7.6039999999999992</v>
      </c>
      <c r="F62" s="19">
        <v>4.8959999999999999</v>
      </c>
      <c r="G62" s="20">
        <v>6.3049999999999997</v>
      </c>
      <c r="J62" s="111">
        <v>56</v>
      </c>
      <c r="K62" s="111">
        <f t="shared" si="0"/>
        <v>3136</v>
      </c>
      <c r="L62" s="112">
        <v>9.2880000000000011E-3</v>
      </c>
      <c r="M62" s="31">
        <f t="shared" si="5"/>
        <v>0.89114437935114055</v>
      </c>
      <c r="N62" s="31">
        <f t="shared" si="1"/>
        <v>0.10885562064885945</v>
      </c>
      <c r="O62" s="31">
        <f t="shared" si="2"/>
        <v>-0.11524882271822964</v>
      </c>
      <c r="P62" s="31">
        <f t="shared" si="3"/>
        <v>0.11524882271822964</v>
      </c>
      <c r="T62" s="31">
        <f t="shared" si="4"/>
        <v>1.4382529378385911</v>
      </c>
    </row>
    <row r="63" spans="1:20" ht="15.75">
      <c r="A63" s="15">
        <v>56</v>
      </c>
      <c r="B63" s="19">
        <v>9.2880000000000003</v>
      </c>
      <c r="C63" s="19">
        <v>6.02</v>
      </c>
      <c r="D63" s="20">
        <v>7.7350000000000003</v>
      </c>
      <c r="E63" s="19">
        <v>8.359</v>
      </c>
      <c r="F63" s="19">
        <v>5.4180000000000001</v>
      </c>
      <c r="G63" s="20">
        <v>6.9620000000000006</v>
      </c>
      <c r="J63" s="111">
        <v>57</v>
      </c>
      <c r="K63" s="111">
        <f t="shared" si="0"/>
        <v>3249</v>
      </c>
      <c r="L63" s="112">
        <v>1.021E-2</v>
      </c>
      <c r="M63" s="31">
        <f t="shared" si="5"/>
        <v>0.88286743035572723</v>
      </c>
      <c r="N63" s="31">
        <f t="shared" si="1"/>
        <v>0.11713256964427277</v>
      </c>
      <c r="O63" s="31">
        <f t="shared" si="2"/>
        <v>-0.12458022514711667</v>
      </c>
      <c r="P63" s="31">
        <f t="shared" si="3"/>
        <v>0.12458022514711667</v>
      </c>
      <c r="T63" s="31">
        <f t="shared" si="4"/>
        <v>1.4900777407645351</v>
      </c>
    </row>
    <row r="64" spans="1:20" ht="15.75">
      <c r="A64" s="15">
        <v>57</v>
      </c>
      <c r="B64" s="19">
        <v>10.210000000000001</v>
      </c>
      <c r="C64" s="19">
        <v>6.6610000000000005</v>
      </c>
      <c r="D64" s="20">
        <v>8.5240000000000009</v>
      </c>
      <c r="E64" s="19">
        <v>9.1890000000000001</v>
      </c>
      <c r="F64" s="19">
        <v>5.9950000000000001</v>
      </c>
      <c r="G64" s="20">
        <v>7.6719999999999997</v>
      </c>
      <c r="J64" s="111">
        <v>58</v>
      </c>
      <c r="K64" s="111">
        <f t="shared" si="0"/>
        <v>3364</v>
      </c>
      <c r="L64" s="112">
        <v>1.1221999999999999E-2</v>
      </c>
      <c r="M64" s="31">
        <f t="shared" si="5"/>
        <v>0.87385335389179519</v>
      </c>
      <c r="N64" s="31">
        <f t="shared" si="1"/>
        <v>0.12614664610820481</v>
      </c>
      <c r="O64" s="31">
        <f t="shared" si="2"/>
        <v>-0.13484270471362572</v>
      </c>
      <c r="P64" s="31">
        <f t="shared" si="3"/>
        <v>0.13484270471362572</v>
      </c>
      <c r="T64" s="31">
        <f t="shared" si="4"/>
        <v>1.5428197968396111</v>
      </c>
    </row>
    <row r="65" spans="1:20" ht="15.75">
      <c r="A65" s="15">
        <v>58</v>
      </c>
      <c r="B65" s="19">
        <v>11.222</v>
      </c>
      <c r="C65" s="19">
        <v>7.37</v>
      </c>
      <c r="D65" s="20">
        <v>9.386000000000001</v>
      </c>
      <c r="E65" s="19">
        <v>10.1</v>
      </c>
      <c r="F65" s="19">
        <v>6.633</v>
      </c>
      <c r="G65" s="20">
        <v>8.4469999999999992</v>
      </c>
      <c r="J65" s="111">
        <v>59</v>
      </c>
      <c r="K65" s="111">
        <f t="shared" si="0"/>
        <v>3481</v>
      </c>
      <c r="L65" s="112">
        <v>1.2333E-2</v>
      </c>
      <c r="M65" s="31">
        <f t="shared" si="5"/>
        <v>0.86404697155442156</v>
      </c>
      <c r="N65" s="31">
        <f t="shared" si="1"/>
        <v>0.13595302844557844</v>
      </c>
      <c r="O65" s="31">
        <f t="shared" si="2"/>
        <v>-0.14612814643079175</v>
      </c>
      <c r="P65" s="31">
        <f t="shared" si="3"/>
        <v>0.14612814643079175</v>
      </c>
      <c r="T65" s="31">
        <f t="shared" si="4"/>
        <v>1.5964791060638188</v>
      </c>
    </row>
    <row r="66" spans="1:20" ht="15.75">
      <c r="A66" s="15">
        <v>59</v>
      </c>
      <c r="B66" s="19">
        <v>12.333</v>
      </c>
      <c r="C66" s="19">
        <v>8.1539999999999999</v>
      </c>
      <c r="D66" s="20">
        <v>10.349</v>
      </c>
      <c r="E66" s="19">
        <v>11.1</v>
      </c>
      <c r="F66" s="19">
        <v>7.3390000000000004</v>
      </c>
      <c r="G66" s="20">
        <v>9.3140000000000001</v>
      </c>
      <c r="J66" s="111">
        <v>60</v>
      </c>
      <c r="K66" s="111">
        <f t="shared" si="0"/>
        <v>3600</v>
      </c>
      <c r="L66" s="112">
        <v>1.3553000000000001E-2</v>
      </c>
      <c r="M66" s="31">
        <f t="shared" si="5"/>
        <v>0.85339068025424081</v>
      </c>
      <c r="N66" s="31">
        <f t="shared" si="1"/>
        <v>0.14660931974575919</v>
      </c>
      <c r="O66" s="31">
        <f t="shared" si="2"/>
        <v>-0.15853782901174901</v>
      </c>
      <c r="P66" s="31">
        <f t="shared" si="3"/>
        <v>0.15853782901174901</v>
      </c>
      <c r="T66" s="31">
        <f t="shared" si="4"/>
        <v>1.651055668437158</v>
      </c>
    </row>
    <row r="67" spans="1:20" ht="15.75">
      <c r="A67" s="15">
        <v>60</v>
      </c>
      <c r="B67" s="19">
        <v>13.553000000000001</v>
      </c>
      <c r="C67" s="19">
        <v>9.0220000000000002</v>
      </c>
      <c r="D67" s="20">
        <v>11.378</v>
      </c>
      <c r="E67" s="19">
        <v>12.198</v>
      </c>
      <c r="F67" s="19">
        <v>8.1199999999999992</v>
      </c>
      <c r="G67" s="20">
        <v>10.24</v>
      </c>
      <c r="J67" s="111">
        <v>61</v>
      </c>
      <c r="K67" s="111">
        <f t="shared" si="0"/>
        <v>3721</v>
      </c>
      <c r="L67" s="112">
        <v>1.4892000000000001E-2</v>
      </c>
      <c r="M67" s="31">
        <f t="shared" si="5"/>
        <v>0.841824676364755</v>
      </c>
      <c r="N67" s="31">
        <f t="shared" si="1"/>
        <v>0.158175323635245</v>
      </c>
      <c r="O67" s="31">
        <f t="shared" si="2"/>
        <v>-0.17218350926590564</v>
      </c>
      <c r="P67" s="31">
        <f t="shared" si="3"/>
        <v>0.17218350926590564</v>
      </c>
      <c r="T67" s="31">
        <f t="shared" si="4"/>
        <v>1.7065494839596294</v>
      </c>
    </row>
    <row r="68" spans="1:20" ht="15.75">
      <c r="A68" s="15">
        <v>61</v>
      </c>
      <c r="B68" s="19">
        <v>14.892000000000001</v>
      </c>
      <c r="C68" s="19">
        <v>9.98</v>
      </c>
      <c r="D68" s="20">
        <v>12.508000000000001</v>
      </c>
      <c r="E68" s="19">
        <v>13.403</v>
      </c>
      <c r="F68" s="19">
        <v>8.9820000000000011</v>
      </c>
      <c r="G68" s="20">
        <v>11.257</v>
      </c>
      <c r="J68" s="111">
        <v>62</v>
      </c>
      <c r="K68" s="111">
        <f t="shared" si="0"/>
        <v>3844</v>
      </c>
      <c r="L68" s="112">
        <v>1.6361000000000001E-2</v>
      </c>
      <c r="M68" s="31">
        <f t="shared" si="5"/>
        <v>0.82928822328433105</v>
      </c>
      <c r="N68" s="31">
        <f t="shared" si="1"/>
        <v>0.17071177671566895</v>
      </c>
      <c r="O68" s="31">
        <f t="shared" si="2"/>
        <v>-0.18718750841644055</v>
      </c>
      <c r="P68" s="31">
        <f t="shared" si="3"/>
        <v>0.18718750841644055</v>
      </c>
      <c r="T68" s="31">
        <f t="shared" si="4"/>
        <v>1.7629605526312322</v>
      </c>
    </row>
    <row r="69" spans="1:20" ht="15.75">
      <c r="A69" s="15">
        <v>62</v>
      </c>
      <c r="B69" s="19">
        <v>16.361000000000001</v>
      </c>
      <c r="C69" s="19">
        <v>11.039</v>
      </c>
      <c r="D69" s="20">
        <v>13.779</v>
      </c>
      <c r="E69" s="19">
        <v>14.725</v>
      </c>
      <c r="F69" s="19">
        <v>9.9350000000000005</v>
      </c>
      <c r="G69" s="20">
        <v>12.401</v>
      </c>
      <c r="J69" s="111">
        <v>63</v>
      </c>
      <c r="K69" s="111">
        <f t="shared" si="0"/>
        <v>3969</v>
      </c>
      <c r="L69" s="112">
        <v>1.7971999999999998E-2</v>
      </c>
      <c r="M69" s="31">
        <f t="shared" si="5"/>
        <v>0.81572023866317611</v>
      </c>
      <c r="N69" s="31">
        <f t="shared" si="1"/>
        <v>0.18427976133682389</v>
      </c>
      <c r="O69" s="31">
        <f t="shared" si="2"/>
        <v>-0.20368382757825595</v>
      </c>
      <c r="P69" s="31">
        <f t="shared" si="3"/>
        <v>0.20368382757825595</v>
      </c>
      <c r="T69" s="31">
        <f t="shared" si="4"/>
        <v>1.8202888744519667</v>
      </c>
    </row>
    <row r="70" spans="1:20" ht="15.75">
      <c r="A70" s="15">
        <v>63</v>
      </c>
      <c r="B70" s="19">
        <v>17.971999999999998</v>
      </c>
      <c r="C70" s="19">
        <v>12.209</v>
      </c>
      <c r="D70" s="20">
        <v>15.167</v>
      </c>
      <c r="E70" s="19">
        <v>16.175000000000001</v>
      </c>
      <c r="F70" s="19">
        <v>10.988</v>
      </c>
      <c r="G70" s="20">
        <v>13.65</v>
      </c>
      <c r="J70" s="111">
        <v>64</v>
      </c>
      <c r="K70" s="111">
        <f t="shared" si="0"/>
        <v>4096</v>
      </c>
      <c r="L70" s="112">
        <v>1.9739999999999997E-2</v>
      </c>
      <c r="M70" s="31">
        <f t="shared" si="5"/>
        <v>0.80106011453392156</v>
      </c>
      <c r="N70" s="31">
        <f t="shared" si="1"/>
        <v>0.19893988546607844</v>
      </c>
      <c r="O70" s="31">
        <f t="shared" si="2"/>
        <v>-0.22181928537413251</v>
      </c>
      <c r="P70" s="31">
        <f t="shared" si="3"/>
        <v>0.22181928537413251</v>
      </c>
      <c r="T70" s="31">
        <f t="shared" si="4"/>
        <v>1.8785344494218332</v>
      </c>
    </row>
    <row r="71" spans="1:20" ht="15.75">
      <c r="A71" s="15">
        <v>64</v>
      </c>
      <c r="B71" s="19">
        <v>19.739999999999998</v>
      </c>
      <c r="C71" s="19">
        <v>13.502000000000001</v>
      </c>
      <c r="D71" s="20">
        <v>16.672000000000001</v>
      </c>
      <c r="E71" s="19">
        <v>17.766000000000002</v>
      </c>
      <c r="F71" s="19">
        <v>12.151999999999999</v>
      </c>
      <c r="G71" s="20">
        <v>15.005000000000001</v>
      </c>
      <c r="J71" s="111">
        <v>65</v>
      </c>
      <c r="K71" s="111">
        <f t="shared" ref="K71:K111" si="6">J71^2</f>
        <v>4225</v>
      </c>
      <c r="L71" s="112">
        <v>2.1676999999999998E-2</v>
      </c>
      <c r="M71" s="31">
        <f t="shared" si="5"/>
        <v>0.78524718787302195</v>
      </c>
      <c r="N71" s="31">
        <f t="shared" ref="N71:N111" si="7">1-M71</f>
        <v>0.21475281212697805</v>
      </c>
      <c r="O71" s="31">
        <f t="shared" ref="O71:O111" si="8">LN(M71)</f>
        <v>-0.24175672175664881</v>
      </c>
      <c r="P71" s="31">
        <f t="shared" ref="P71:P111" si="9">-O71</f>
        <v>0.24175672175664881</v>
      </c>
      <c r="T71" s="31">
        <f t="shared" ref="T71:T112" si="10">$R$6*K71</f>
        <v>1.9376972775408314</v>
      </c>
    </row>
    <row r="72" spans="1:20" ht="15.75">
      <c r="A72" s="15">
        <v>65</v>
      </c>
      <c r="B72" s="19">
        <v>21.677</v>
      </c>
      <c r="C72" s="19">
        <v>14.929</v>
      </c>
      <c r="D72" s="20">
        <v>18.274999999999999</v>
      </c>
      <c r="E72" s="19">
        <v>19.509</v>
      </c>
      <c r="F72" s="19">
        <v>13.436</v>
      </c>
      <c r="G72" s="20">
        <v>16.448</v>
      </c>
      <c r="J72" s="111">
        <v>66</v>
      </c>
      <c r="K72" s="111">
        <f t="shared" si="6"/>
        <v>4356</v>
      </c>
      <c r="L72" s="112">
        <v>2.3800000000000002E-2</v>
      </c>
      <c r="M72" s="31">
        <f t="shared" ref="M72:M111" si="11">M71*(1-L71)</f>
        <v>0.76822538458149847</v>
      </c>
      <c r="N72" s="31">
        <f t="shared" si="7"/>
        <v>0.23177461541850153</v>
      </c>
      <c r="O72" s="31">
        <f t="shared" si="8"/>
        <v>-0.26367211938105811</v>
      </c>
      <c r="P72" s="31">
        <f t="shared" si="9"/>
        <v>0.26367211938105811</v>
      </c>
      <c r="T72" s="31">
        <f t="shared" si="10"/>
        <v>1.9977773588089613</v>
      </c>
    </row>
    <row r="73" spans="1:20" ht="15.75">
      <c r="A73" s="15">
        <v>66</v>
      </c>
      <c r="B73" s="19">
        <v>23.8</v>
      </c>
      <c r="C73" s="19">
        <v>16.504999999999999</v>
      </c>
      <c r="D73" s="20">
        <v>20.106999999999999</v>
      </c>
      <c r="E73" s="19">
        <v>21.42</v>
      </c>
      <c r="F73" s="19">
        <v>14.855</v>
      </c>
      <c r="G73" s="20">
        <v>18.096</v>
      </c>
      <c r="J73" s="111">
        <v>67</v>
      </c>
      <c r="K73" s="111">
        <f t="shared" si="6"/>
        <v>4489</v>
      </c>
      <c r="L73" s="112">
        <v>2.6124999999999999E-2</v>
      </c>
      <c r="M73" s="31">
        <f t="shared" si="11"/>
        <v>0.7499416204284588</v>
      </c>
      <c r="N73" s="31">
        <f t="shared" si="7"/>
        <v>0.2500583795715412</v>
      </c>
      <c r="O73" s="31">
        <f t="shared" si="8"/>
        <v>-0.28775991491014807</v>
      </c>
      <c r="P73" s="31">
        <f t="shared" si="9"/>
        <v>0.28775991491014807</v>
      </c>
      <c r="T73" s="31">
        <f t="shared" si="10"/>
        <v>2.0587746932262232</v>
      </c>
    </row>
    <row r="74" spans="1:20" ht="15.75">
      <c r="A74" s="15">
        <v>67</v>
      </c>
      <c r="B74" s="19">
        <v>26.125</v>
      </c>
      <c r="C74" s="19">
        <v>18.244</v>
      </c>
      <c r="D74" s="20">
        <v>22.110999999999997</v>
      </c>
      <c r="E74" s="19">
        <v>23.512999999999998</v>
      </c>
      <c r="F74" s="19">
        <v>16.420000000000002</v>
      </c>
      <c r="G74" s="20">
        <v>19.899999999999999</v>
      </c>
      <c r="J74" s="111">
        <v>68</v>
      </c>
      <c r="K74" s="111">
        <f t="shared" si="6"/>
        <v>4624</v>
      </c>
      <c r="L74" s="112">
        <v>2.8670999999999999E-2</v>
      </c>
      <c r="M74" s="31">
        <f t="shared" si="11"/>
        <v>0.7303493955947653</v>
      </c>
      <c r="N74" s="31">
        <f t="shared" si="7"/>
        <v>0.2696506044052347</v>
      </c>
      <c r="O74" s="31">
        <f t="shared" si="8"/>
        <v>-0.31423223524126292</v>
      </c>
      <c r="P74" s="31">
        <f t="shared" si="9"/>
        <v>0.31423223524126292</v>
      </c>
      <c r="T74" s="31">
        <f t="shared" si="10"/>
        <v>2.1206892807926163</v>
      </c>
    </row>
    <row r="75" spans="1:20" ht="15.75">
      <c r="A75" s="15">
        <v>68</v>
      </c>
      <c r="B75" s="19">
        <v>28.670999999999999</v>
      </c>
      <c r="C75" s="19">
        <v>20.161999999999999</v>
      </c>
      <c r="D75" s="20">
        <v>24.315000000000001</v>
      </c>
      <c r="E75" s="19">
        <v>25.804000000000002</v>
      </c>
      <c r="F75" s="19">
        <v>18.145999999999997</v>
      </c>
      <c r="G75" s="20">
        <v>21.884</v>
      </c>
      <c r="J75" s="111">
        <v>69</v>
      </c>
      <c r="K75" s="111">
        <f t="shared" si="6"/>
        <v>4761</v>
      </c>
      <c r="L75" s="112">
        <v>3.1456999999999999E-2</v>
      </c>
      <c r="M75" s="31">
        <f t="shared" si="11"/>
        <v>0.70940954807366774</v>
      </c>
      <c r="N75" s="31">
        <f t="shared" si="7"/>
        <v>0.29059045192633226</v>
      </c>
      <c r="O75" s="31">
        <f t="shared" si="8"/>
        <v>-0.34332227736799931</v>
      </c>
      <c r="P75" s="31">
        <f t="shared" si="9"/>
        <v>0.34332227736799931</v>
      </c>
      <c r="T75" s="31">
        <f t="shared" si="10"/>
        <v>2.1835211215081416</v>
      </c>
    </row>
    <row r="76" spans="1:20" ht="15.75">
      <c r="A76" s="15">
        <v>69</v>
      </c>
      <c r="B76" s="19">
        <v>31.456999999999997</v>
      </c>
      <c r="C76" s="19">
        <v>22.277999999999999</v>
      </c>
      <c r="D76" s="20">
        <v>26.701000000000001</v>
      </c>
      <c r="E76" s="19">
        <v>28.311</v>
      </c>
      <c r="F76" s="19">
        <v>20.05</v>
      </c>
      <c r="G76" s="20">
        <v>24.030999999999999</v>
      </c>
      <c r="J76" s="111">
        <v>70</v>
      </c>
      <c r="K76" s="111">
        <f t="shared" si="6"/>
        <v>4900</v>
      </c>
      <c r="L76" s="112">
        <v>3.4504E-2</v>
      </c>
      <c r="M76" s="31">
        <f t="shared" si="11"/>
        <v>0.68709365191991445</v>
      </c>
      <c r="N76" s="31">
        <f t="shared" si="7"/>
        <v>0.31290634808008555</v>
      </c>
      <c r="O76" s="31">
        <f t="shared" si="8"/>
        <v>-0.37528467593420661</v>
      </c>
      <c r="P76" s="31">
        <f t="shared" si="9"/>
        <v>0.37528467593420661</v>
      </c>
      <c r="T76" s="31">
        <f t="shared" si="10"/>
        <v>2.2472702153727986</v>
      </c>
    </row>
    <row r="77" spans="1:20" ht="15.75">
      <c r="A77" s="15">
        <v>70</v>
      </c>
      <c r="B77" s="19">
        <v>34.503999999999998</v>
      </c>
      <c r="C77" s="19">
        <v>24.61</v>
      </c>
      <c r="D77" s="20">
        <v>29.295999999999999</v>
      </c>
      <c r="E77" s="19">
        <v>31.053999999999998</v>
      </c>
      <c r="F77" s="19">
        <v>22.148999999999997</v>
      </c>
      <c r="G77" s="20">
        <v>26.366</v>
      </c>
      <c r="J77" s="111">
        <v>71</v>
      </c>
      <c r="K77" s="111">
        <f t="shared" si="6"/>
        <v>5041</v>
      </c>
      <c r="L77" s="112">
        <v>3.7835000000000001E-2</v>
      </c>
      <c r="M77" s="31">
        <f t="shared" si="11"/>
        <v>0.66338617255406973</v>
      </c>
      <c r="N77" s="31">
        <f t="shared" si="7"/>
        <v>0.33661382744593027</v>
      </c>
      <c r="O77" s="31">
        <f t="shared" si="8"/>
        <v>-0.41039799598748028</v>
      </c>
      <c r="P77" s="31">
        <f t="shared" si="9"/>
        <v>0.41039799598748028</v>
      </c>
      <c r="T77" s="31">
        <f t="shared" si="10"/>
        <v>2.3119365623865873</v>
      </c>
    </row>
    <row r="78" spans="1:20" ht="15.75">
      <c r="A78" s="15">
        <v>71</v>
      </c>
      <c r="B78" s="19">
        <v>37.835000000000001</v>
      </c>
      <c r="C78" s="19">
        <v>27.18</v>
      </c>
      <c r="D78" s="20">
        <v>32.152000000000001</v>
      </c>
      <c r="E78" s="19">
        <v>34.052</v>
      </c>
      <c r="F78" s="19">
        <v>24.462</v>
      </c>
      <c r="G78" s="20">
        <v>28.937000000000001</v>
      </c>
      <c r="J78" s="111">
        <v>72</v>
      </c>
      <c r="K78" s="111">
        <f t="shared" si="6"/>
        <v>5184</v>
      </c>
      <c r="L78" s="112">
        <v>4.1473999999999997E-2</v>
      </c>
      <c r="M78" s="31">
        <f t="shared" si="11"/>
        <v>0.63828695671548652</v>
      </c>
      <c r="N78" s="31">
        <f t="shared" si="7"/>
        <v>0.36171304328451348</v>
      </c>
      <c r="O78" s="31">
        <f t="shared" si="8"/>
        <v>-0.44896732133986728</v>
      </c>
      <c r="P78" s="31">
        <f t="shared" si="9"/>
        <v>0.44896732133986728</v>
      </c>
      <c r="T78" s="31">
        <f t="shared" si="10"/>
        <v>2.3775201625495077</v>
      </c>
    </row>
    <row r="79" spans="1:20" ht="15.75">
      <c r="A79" s="15">
        <v>72</v>
      </c>
      <c r="B79" s="19">
        <v>41.473999999999997</v>
      </c>
      <c r="C79" s="19">
        <v>30.009</v>
      </c>
      <c r="D79" s="20">
        <v>35.305</v>
      </c>
      <c r="E79" s="19">
        <v>37.326999999999998</v>
      </c>
      <c r="F79" s="19">
        <v>27.007999999999999</v>
      </c>
      <c r="G79" s="20">
        <v>31.774999999999999</v>
      </c>
      <c r="J79" s="111">
        <v>73</v>
      </c>
      <c r="K79" s="111">
        <f t="shared" si="6"/>
        <v>5329</v>
      </c>
      <c r="L79" s="112">
        <v>4.5446E-2</v>
      </c>
      <c r="M79" s="31">
        <f t="shared" si="11"/>
        <v>0.61181464347266845</v>
      </c>
      <c r="N79" s="31">
        <f t="shared" si="7"/>
        <v>0.38818535652733155</v>
      </c>
      <c r="O79" s="31">
        <f t="shared" si="8"/>
        <v>-0.49132591248693414</v>
      </c>
      <c r="P79" s="31">
        <f t="shared" si="9"/>
        <v>0.49132591248693414</v>
      </c>
      <c r="T79" s="31">
        <f t="shared" si="10"/>
        <v>2.4440210158615598</v>
      </c>
    </row>
    <row r="80" spans="1:20" ht="15.75">
      <c r="A80" s="15">
        <v>73</v>
      </c>
      <c r="B80" s="19">
        <v>45.445999999999998</v>
      </c>
      <c r="C80" s="19">
        <v>33.122999999999998</v>
      </c>
      <c r="D80" s="20">
        <v>38.746000000000002</v>
      </c>
      <c r="E80" s="19">
        <v>40.901000000000003</v>
      </c>
      <c r="F80" s="19">
        <v>29.811</v>
      </c>
      <c r="G80" s="20">
        <v>34.871000000000002</v>
      </c>
      <c r="J80" s="111">
        <v>74</v>
      </c>
      <c r="K80" s="111">
        <f t="shared" si="6"/>
        <v>5476</v>
      </c>
      <c r="L80" s="112">
        <v>4.9778999999999997E-2</v>
      </c>
      <c r="M80" s="31">
        <f t="shared" si="11"/>
        <v>0.58401011518540957</v>
      </c>
      <c r="N80" s="31">
        <f t="shared" si="7"/>
        <v>0.41598988481459043</v>
      </c>
      <c r="O80" s="31">
        <f t="shared" si="8"/>
        <v>-0.53783697578094691</v>
      </c>
      <c r="P80" s="31">
        <f t="shared" si="9"/>
        <v>0.53783697578094691</v>
      </c>
      <c r="T80" s="31">
        <f t="shared" si="10"/>
        <v>2.5114391223227437</v>
      </c>
    </row>
    <row r="81" spans="1:20" ht="15.75">
      <c r="A81" s="15">
        <v>74</v>
      </c>
      <c r="B81" s="19">
        <v>49.778999999999996</v>
      </c>
      <c r="C81" s="19">
        <v>36.548999999999999</v>
      </c>
      <c r="D81" s="20">
        <v>42.465000000000003</v>
      </c>
      <c r="E81" s="19">
        <v>44.801000000000002</v>
      </c>
      <c r="F81" s="19">
        <v>32.893999999999998</v>
      </c>
      <c r="G81" s="20">
        <v>38.219000000000001</v>
      </c>
      <c r="J81" s="111">
        <v>75</v>
      </c>
      <c r="K81" s="111">
        <f t="shared" si="6"/>
        <v>5625</v>
      </c>
      <c r="L81" s="112">
        <v>5.4501000000000001E-2</v>
      </c>
      <c r="M81" s="31">
        <f t="shared" si="11"/>
        <v>0.55493867566159505</v>
      </c>
      <c r="N81" s="31">
        <f t="shared" si="7"/>
        <v>0.44506132433840495</v>
      </c>
      <c r="O81" s="31">
        <f t="shared" si="8"/>
        <v>-0.58889766564408019</v>
      </c>
      <c r="P81" s="31">
        <f t="shared" si="9"/>
        <v>0.58889766564408019</v>
      </c>
      <c r="T81" s="31">
        <f t="shared" si="10"/>
        <v>2.5797744819330597</v>
      </c>
    </row>
    <row r="82" spans="1:20" ht="15.75">
      <c r="A82" s="15">
        <v>75</v>
      </c>
      <c r="B82" s="19">
        <v>54.500999999999998</v>
      </c>
      <c r="C82" s="19">
        <v>40.313000000000002</v>
      </c>
      <c r="D82" s="20">
        <v>46.582000000000001</v>
      </c>
      <c r="E82" s="19">
        <v>49.050999999999995</v>
      </c>
      <c r="F82" s="19">
        <v>36.282000000000004</v>
      </c>
      <c r="G82" s="20">
        <v>41.923999999999999</v>
      </c>
      <c r="J82" s="111">
        <v>76</v>
      </c>
      <c r="K82" s="111">
        <f t="shared" si="6"/>
        <v>5776</v>
      </c>
      <c r="L82" s="112">
        <v>5.9644000000000003E-2</v>
      </c>
      <c r="M82" s="31">
        <f t="shared" si="11"/>
        <v>0.52469396289936243</v>
      </c>
      <c r="N82" s="31">
        <f t="shared" si="7"/>
        <v>0.47530603710063757</v>
      </c>
      <c r="O82" s="31">
        <f t="shared" si="8"/>
        <v>-0.64494011416972385</v>
      </c>
      <c r="P82" s="31">
        <f t="shared" si="9"/>
        <v>0.64494011416972385</v>
      </c>
      <c r="T82" s="31">
        <f t="shared" si="10"/>
        <v>2.649027094692507</v>
      </c>
    </row>
    <row r="83" spans="1:20" ht="15.75">
      <c r="A83" s="15">
        <v>76</v>
      </c>
      <c r="B83" s="19">
        <v>59.644000000000005</v>
      </c>
      <c r="C83" s="19">
        <v>44.447000000000003</v>
      </c>
      <c r="D83" s="20">
        <v>51.077999999999996</v>
      </c>
      <c r="E83" s="19">
        <v>53.68</v>
      </c>
      <c r="F83" s="19">
        <v>40.002000000000002</v>
      </c>
      <c r="G83" s="20">
        <v>45.97</v>
      </c>
      <c r="J83" s="111">
        <v>77</v>
      </c>
      <c r="K83" s="111">
        <f t="shared" si="6"/>
        <v>5929</v>
      </c>
      <c r="L83" s="112">
        <v>6.5238000000000004E-2</v>
      </c>
      <c r="M83" s="31">
        <f t="shared" si="11"/>
        <v>0.49339911617619286</v>
      </c>
      <c r="N83" s="31">
        <f t="shared" si="7"/>
        <v>0.50660088382380719</v>
      </c>
      <c r="O83" s="31">
        <f t="shared" si="8"/>
        <v>-0.70643686618116275</v>
      </c>
      <c r="P83" s="31">
        <f t="shared" si="9"/>
        <v>0.70643686618116275</v>
      </c>
      <c r="T83" s="31">
        <f t="shared" si="10"/>
        <v>2.7191969606010864</v>
      </c>
    </row>
    <row r="84" spans="1:20" ht="15.75">
      <c r="A84" s="15">
        <v>77</v>
      </c>
      <c r="B84" s="19">
        <v>65.238</v>
      </c>
      <c r="C84" s="19">
        <v>48.984000000000002</v>
      </c>
      <c r="D84" s="20">
        <v>55.925999999999995</v>
      </c>
      <c r="E84" s="19">
        <v>58.714000000000006</v>
      </c>
      <c r="F84" s="19">
        <v>44.085999999999999</v>
      </c>
      <c r="G84" s="20">
        <v>50.333000000000006</v>
      </c>
      <c r="J84" s="111">
        <v>78</v>
      </c>
      <c r="K84" s="111">
        <f t="shared" si="6"/>
        <v>6084</v>
      </c>
      <c r="L84" s="112">
        <v>7.1317000000000005E-2</v>
      </c>
      <c r="M84" s="31">
        <f t="shared" si="11"/>
        <v>0.46121074463509037</v>
      </c>
      <c r="N84" s="31">
        <f t="shared" si="7"/>
        <v>0.53878925536490963</v>
      </c>
      <c r="O84" s="31">
        <f t="shared" si="8"/>
        <v>-0.7739001937313511</v>
      </c>
      <c r="P84" s="31">
        <f t="shared" si="9"/>
        <v>0.7739001937313511</v>
      </c>
      <c r="T84" s="31">
        <f t="shared" si="10"/>
        <v>2.7902840796587971</v>
      </c>
    </row>
    <row r="85" spans="1:20" ht="15.75">
      <c r="A85" s="15">
        <v>78</v>
      </c>
      <c r="B85" s="19">
        <v>71.317000000000007</v>
      </c>
      <c r="C85" s="19">
        <v>53.957999999999998</v>
      </c>
      <c r="D85" s="20">
        <v>61.235999999999997</v>
      </c>
      <c r="E85" s="19">
        <v>64.185000000000002</v>
      </c>
      <c r="F85" s="19">
        <v>48.561999999999998</v>
      </c>
      <c r="G85" s="20">
        <v>55.112000000000002</v>
      </c>
      <c r="J85" s="111">
        <v>79</v>
      </c>
      <c r="K85" s="111">
        <f t="shared" si="6"/>
        <v>6241</v>
      </c>
      <c r="L85" s="112">
        <v>7.7915999999999999E-2</v>
      </c>
      <c r="M85" s="31">
        <f t="shared" si="11"/>
        <v>0.42831857795994965</v>
      </c>
      <c r="N85" s="31">
        <f t="shared" si="7"/>
        <v>0.57168142204005035</v>
      </c>
      <c r="O85" s="31">
        <f t="shared" si="8"/>
        <v>-0.84788801925681434</v>
      </c>
      <c r="P85" s="31">
        <f t="shared" si="9"/>
        <v>0.84788801925681434</v>
      </c>
      <c r="T85" s="31">
        <f t="shared" si="10"/>
        <v>2.86228845186564</v>
      </c>
    </row>
    <row r="86" spans="1:20" ht="15.75">
      <c r="A86" s="15">
        <v>79</v>
      </c>
      <c r="B86" s="19">
        <v>77.915999999999997</v>
      </c>
      <c r="C86" s="19">
        <v>59.405000000000001</v>
      </c>
      <c r="D86" s="20">
        <v>66.957999999999998</v>
      </c>
      <c r="E86" s="19">
        <v>70.124000000000009</v>
      </c>
      <c r="F86" s="19">
        <v>53.465000000000003</v>
      </c>
      <c r="G86" s="20">
        <v>60.262</v>
      </c>
      <c r="J86" s="111">
        <v>80</v>
      </c>
      <c r="K86" s="111">
        <f t="shared" si="6"/>
        <v>6400</v>
      </c>
      <c r="L86" s="112">
        <v>8.5069000000000006E-2</v>
      </c>
      <c r="M86" s="31">
        <f t="shared" si="11"/>
        <v>0.39494570763962222</v>
      </c>
      <c r="N86" s="31">
        <f t="shared" si="7"/>
        <v>0.60505429236037778</v>
      </c>
      <c r="O86" s="31">
        <f t="shared" si="8"/>
        <v>-0.92900697254161113</v>
      </c>
      <c r="P86" s="31">
        <f t="shared" si="9"/>
        <v>0.92900697254161113</v>
      </c>
      <c r="T86" s="31">
        <f t="shared" si="10"/>
        <v>2.9352100772216145</v>
      </c>
    </row>
    <row r="87" spans="1:20" ht="15.75">
      <c r="A87" s="15">
        <v>80</v>
      </c>
      <c r="B87" s="19">
        <v>85.069000000000003</v>
      </c>
      <c r="C87" s="19">
        <v>65.364000000000004</v>
      </c>
      <c r="D87" s="20">
        <v>73.091999999999999</v>
      </c>
      <c r="E87" s="19">
        <v>76.562000000000012</v>
      </c>
      <c r="F87" s="19">
        <v>58.827999999999996</v>
      </c>
      <c r="G87" s="20">
        <v>65.783000000000001</v>
      </c>
      <c r="J87" s="111">
        <v>81</v>
      </c>
      <c r="K87" s="111">
        <f t="shared" si="6"/>
        <v>6561</v>
      </c>
      <c r="L87" s="112">
        <v>9.2813000000000007E-2</v>
      </c>
      <c r="M87" s="31">
        <f t="shared" si="11"/>
        <v>0.36134807123642715</v>
      </c>
      <c r="N87" s="31">
        <f t="shared" si="7"/>
        <v>0.6386519287635728</v>
      </c>
      <c r="O87" s="31">
        <f t="shared" si="8"/>
        <v>-1.0179135989277572</v>
      </c>
      <c r="P87" s="31">
        <f t="shared" si="9"/>
        <v>1.0179135989277572</v>
      </c>
      <c r="T87" s="31">
        <f t="shared" si="10"/>
        <v>3.0090489557267208</v>
      </c>
    </row>
    <row r="88" spans="1:20" ht="15.75">
      <c r="A88" s="15">
        <v>81</v>
      </c>
      <c r="B88" s="19">
        <v>92.813000000000002</v>
      </c>
      <c r="C88" s="19">
        <v>71.875999999999991</v>
      </c>
      <c r="D88" s="20">
        <v>79.823000000000008</v>
      </c>
      <c r="E88" s="19">
        <v>83.531999999999996</v>
      </c>
      <c r="F88" s="19">
        <v>64.688000000000002</v>
      </c>
      <c r="G88" s="20">
        <v>71.841000000000008</v>
      </c>
      <c r="J88" s="111">
        <v>82</v>
      </c>
      <c r="K88" s="111">
        <f t="shared" si="6"/>
        <v>6724</v>
      </c>
      <c r="L88" s="112">
        <v>0.101184</v>
      </c>
      <c r="M88" s="31">
        <f t="shared" si="11"/>
        <v>0.32781027270076063</v>
      </c>
      <c r="N88" s="31">
        <f t="shared" si="7"/>
        <v>0.67218972729923943</v>
      </c>
      <c r="O88" s="31">
        <f t="shared" si="8"/>
        <v>-1.1153202748450759</v>
      </c>
      <c r="P88" s="31">
        <f t="shared" si="9"/>
        <v>1.1153202748450759</v>
      </c>
      <c r="T88" s="31">
        <f t="shared" si="10"/>
        <v>3.0838050873809588</v>
      </c>
    </row>
    <row r="89" spans="1:20" ht="15.75">
      <c r="A89" s="15">
        <v>82</v>
      </c>
      <c r="B89" s="19">
        <v>101.184</v>
      </c>
      <c r="C89" s="19">
        <v>78.980999999999995</v>
      </c>
      <c r="D89" s="20">
        <v>87.192000000000007</v>
      </c>
      <c r="E89" s="19">
        <v>91.065999999999988</v>
      </c>
      <c r="F89" s="19">
        <v>71.082999999999998</v>
      </c>
      <c r="G89" s="20">
        <v>78.472999999999999</v>
      </c>
      <c r="J89" s="111">
        <v>83</v>
      </c>
      <c r="K89" s="111">
        <f t="shared" si="6"/>
        <v>6889</v>
      </c>
      <c r="L89" s="112">
        <v>0.11021800000000001</v>
      </c>
      <c r="M89" s="31">
        <f t="shared" si="11"/>
        <v>0.29464111806780691</v>
      </c>
      <c r="N89" s="31">
        <f t="shared" si="7"/>
        <v>0.70535888193219309</v>
      </c>
      <c r="O89" s="31">
        <f t="shared" si="8"/>
        <v>-1.2219972121613552</v>
      </c>
      <c r="P89" s="31">
        <f t="shared" si="9"/>
        <v>1.2219972121613552</v>
      </c>
      <c r="T89" s="31">
        <f t="shared" si="10"/>
        <v>3.1594784721843285</v>
      </c>
    </row>
    <row r="90" spans="1:20" ht="15.75">
      <c r="A90" s="15">
        <v>83</v>
      </c>
      <c r="B90" s="19">
        <v>110.218</v>
      </c>
      <c r="C90" s="19">
        <v>86.721999999999994</v>
      </c>
      <c r="D90" s="20">
        <v>95.102000000000004</v>
      </c>
      <c r="E90" s="19">
        <v>99.196000000000012</v>
      </c>
      <c r="F90" s="19">
        <v>78.05</v>
      </c>
      <c r="G90" s="20">
        <v>85.591999999999999</v>
      </c>
      <c r="J90" s="111">
        <v>84</v>
      </c>
      <c r="K90" s="111">
        <f t="shared" si="6"/>
        <v>7056</v>
      </c>
      <c r="L90" s="112">
        <v>0.119951</v>
      </c>
      <c r="M90" s="31">
        <f t="shared" si="11"/>
        <v>0.26216636331660936</v>
      </c>
      <c r="N90" s="31">
        <f t="shared" si="7"/>
        <v>0.73783363668339064</v>
      </c>
      <c r="O90" s="31">
        <f t="shared" si="8"/>
        <v>-1.3387760022411683</v>
      </c>
      <c r="P90" s="31">
        <f t="shared" si="9"/>
        <v>1.3387760022411683</v>
      </c>
      <c r="T90" s="31">
        <f t="shared" si="10"/>
        <v>3.23606911013683</v>
      </c>
    </row>
    <row r="91" spans="1:20" ht="15.75">
      <c r="A91" s="15">
        <v>84</v>
      </c>
      <c r="B91" s="19">
        <v>119.95100000000001</v>
      </c>
      <c r="C91" s="19">
        <v>95.144999999999996</v>
      </c>
      <c r="D91" s="20">
        <v>103.65299999999999</v>
      </c>
      <c r="E91" s="19">
        <v>107.956</v>
      </c>
      <c r="F91" s="19">
        <v>85.631</v>
      </c>
      <c r="G91" s="20">
        <v>93.287999999999997</v>
      </c>
      <c r="J91" s="111">
        <v>85</v>
      </c>
      <c r="K91" s="111">
        <f t="shared" si="6"/>
        <v>7225</v>
      </c>
      <c r="L91" s="112">
        <v>0.13041800000000001</v>
      </c>
      <c r="M91" s="31">
        <f t="shared" si="11"/>
        <v>0.23071924587041875</v>
      </c>
      <c r="N91" s="31">
        <f t="shared" si="7"/>
        <v>0.76928075412958119</v>
      </c>
      <c r="O91" s="31">
        <f t="shared" si="8"/>
        <v>-1.4665536934830463</v>
      </c>
      <c r="P91" s="31">
        <f t="shared" si="9"/>
        <v>1.4665536934830463</v>
      </c>
      <c r="T91" s="31">
        <f t="shared" si="10"/>
        <v>3.3135770012384631</v>
      </c>
    </row>
    <row r="92" spans="1:20" ht="15.75">
      <c r="A92" s="15">
        <v>85</v>
      </c>
      <c r="B92" s="19">
        <v>130.41800000000001</v>
      </c>
      <c r="C92" s="19">
        <v>104.291</v>
      </c>
      <c r="D92" s="20">
        <v>112.976</v>
      </c>
      <c r="E92" s="19">
        <v>117.37599999999999</v>
      </c>
      <c r="F92" s="19">
        <v>93.861999999999995</v>
      </c>
      <c r="G92" s="20">
        <v>101.67800000000001</v>
      </c>
      <c r="J92" s="111">
        <v>86</v>
      </c>
      <c r="K92" s="111">
        <f t="shared" si="6"/>
        <v>7396</v>
      </c>
      <c r="L92" s="112">
        <v>0.141651</v>
      </c>
      <c r="M92" s="31">
        <f t="shared" si="11"/>
        <v>0.20062930326249048</v>
      </c>
      <c r="N92" s="31">
        <f t="shared" si="7"/>
        <v>0.79937069673750949</v>
      </c>
      <c r="O92" s="31">
        <f t="shared" si="8"/>
        <v>-1.6062963360444478</v>
      </c>
      <c r="P92" s="31">
        <f t="shared" si="9"/>
        <v>1.6062963360444478</v>
      </c>
      <c r="T92" s="31">
        <f t="shared" si="10"/>
        <v>3.392002145489228</v>
      </c>
    </row>
    <row r="93" spans="1:20" ht="15.75">
      <c r="A93" s="15">
        <v>86</v>
      </c>
      <c r="B93" s="19">
        <v>141.65100000000001</v>
      </c>
      <c r="C93" s="19">
        <v>114.20700000000001</v>
      </c>
      <c r="D93" s="20">
        <v>123.047</v>
      </c>
      <c r="E93" s="19">
        <v>127.48599999999999</v>
      </c>
      <c r="F93" s="19">
        <v>102.786</v>
      </c>
      <c r="G93" s="20">
        <v>110.74199999999999</v>
      </c>
      <c r="J93" s="111">
        <v>87</v>
      </c>
      <c r="K93" s="111">
        <f t="shared" si="6"/>
        <v>7569</v>
      </c>
      <c r="L93" s="112">
        <v>0.15368100000000001</v>
      </c>
      <c r="M93" s="31">
        <f t="shared" si="11"/>
        <v>0.17220996182605544</v>
      </c>
      <c r="N93" s="31">
        <f t="shared" si="7"/>
        <v>0.82779003817394459</v>
      </c>
      <c r="O93" s="31">
        <f t="shared" si="8"/>
        <v>-1.759040838336247</v>
      </c>
      <c r="P93" s="31">
        <f t="shared" si="9"/>
        <v>1.759040838336247</v>
      </c>
      <c r="T93" s="31">
        <f t="shared" si="10"/>
        <v>3.471344542889125</v>
      </c>
    </row>
    <row r="94" spans="1:20" ht="15.75">
      <c r="A94" s="15">
        <v>87</v>
      </c>
      <c r="B94" s="19">
        <v>153.68100000000001</v>
      </c>
      <c r="C94" s="19">
        <v>124.93300000000001</v>
      </c>
      <c r="D94" s="20">
        <v>133.92699999999999</v>
      </c>
      <c r="E94" s="19">
        <v>138.31299999999999</v>
      </c>
      <c r="F94" s="19">
        <v>112.44</v>
      </c>
      <c r="G94" s="20">
        <v>120.53400000000001</v>
      </c>
      <c r="J94" s="111">
        <v>88</v>
      </c>
      <c r="K94" s="111">
        <f t="shared" si="6"/>
        <v>7744</v>
      </c>
      <c r="L94" s="112">
        <v>0.16653399999999999</v>
      </c>
      <c r="M94" s="31">
        <f t="shared" si="11"/>
        <v>0.14574456268266542</v>
      </c>
      <c r="N94" s="31">
        <f t="shared" si="7"/>
        <v>0.85425543731733455</v>
      </c>
      <c r="O94" s="31">
        <f t="shared" si="8"/>
        <v>-1.9258997602267243</v>
      </c>
      <c r="P94" s="31">
        <f t="shared" si="9"/>
        <v>1.9258997602267243</v>
      </c>
      <c r="T94" s="31">
        <f t="shared" si="10"/>
        <v>3.5516041934381533</v>
      </c>
    </row>
    <row r="95" spans="1:20" ht="15.75">
      <c r="A95" s="15">
        <v>88</v>
      </c>
      <c r="B95" s="19">
        <v>166.53399999999999</v>
      </c>
      <c r="C95" s="19">
        <v>136.511</v>
      </c>
      <c r="D95" s="20">
        <v>145.631</v>
      </c>
      <c r="E95" s="19">
        <v>149.881</v>
      </c>
      <c r="F95" s="19">
        <v>122.86</v>
      </c>
      <c r="G95" s="20">
        <v>131.06799999999998</v>
      </c>
      <c r="J95" s="111">
        <v>89</v>
      </c>
      <c r="K95" s="111">
        <f t="shared" si="6"/>
        <v>7921</v>
      </c>
      <c r="L95" s="112">
        <v>0.180233</v>
      </c>
      <c r="M95" s="31">
        <f t="shared" si="11"/>
        <v>0.12147313768087042</v>
      </c>
      <c r="N95" s="31">
        <f t="shared" si="7"/>
        <v>0.87852686231912958</v>
      </c>
      <c r="O95" s="31">
        <f t="shared" si="8"/>
        <v>-2.1080621296916542</v>
      </c>
      <c r="P95" s="31">
        <f t="shared" si="9"/>
        <v>2.1080621296916542</v>
      </c>
      <c r="T95" s="31">
        <f t="shared" si="10"/>
        <v>3.6327810971363137</v>
      </c>
    </row>
    <row r="96" spans="1:20" ht="15.75">
      <c r="A96" s="15">
        <v>89</v>
      </c>
      <c r="B96" s="19">
        <v>180.233</v>
      </c>
      <c r="C96" s="19">
        <v>148.97999999999999</v>
      </c>
      <c r="D96" s="20">
        <v>158.07900000000001</v>
      </c>
      <c r="E96" s="19">
        <v>162.21</v>
      </c>
      <c r="F96" s="19">
        <v>134.08199999999999</v>
      </c>
      <c r="G96" s="20">
        <v>142.27100000000002</v>
      </c>
      <c r="J96" s="111">
        <v>90</v>
      </c>
      <c r="K96" s="111">
        <f t="shared" si="6"/>
        <v>8100</v>
      </c>
      <c r="L96" s="112">
        <v>0.194795</v>
      </c>
      <c r="M96" s="31">
        <f t="shared" si="11"/>
        <v>9.957966965723411E-2</v>
      </c>
      <c r="N96" s="31">
        <f t="shared" si="7"/>
        <v>0.90042033034276592</v>
      </c>
      <c r="O96" s="31">
        <f t="shared" si="8"/>
        <v>-2.306797255134176</v>
      </c>
      <c r="P96" s="31">
        <f t="shared" si="9"/>
        <v>2.306797255134176</v>
      </c>
      <c r="T96" s="31">
        <f t="shared" si="10"/>
        <v>3.7148752539836059</v>
      </c>
    </row>
    <row r="97" spans="1:20" ht="15.75">
      <c r="A97" s="15">
        <v>90</v>
      </c>
      <c r="B97" s="19">
        <v>194.79499999999999</v>
      </c>
      <c r="C97" s="19">
        <v>162.374</v>
      </c>
      <c r="D97" s="20">
        <v>171.59899999999999</v>
      </c>
      <c r="E97" s="19">
        <v>175.316</v>
      </c>
      <c r="F97" s="19">
        <v>146.137</v>
      </c>
      <c r="G97" s="20">
        <v>154.43899999999999</v>
      </c>
      <c r="J97" s="111">
        <v>91</v>
      </c>
      <c r="K97" s="111">
        <f t="shared" si="6"/>
        <v>8281</v>
      </c>
      <c r="L97" s="112">
        <v>0.210233</v>
      </c>
      <c r="M97" s="31">
        <f t="shared" si="11"/>
        <v>8.0182047906353193E-2</v>
      </c>
      <c r="N97" s="31">
        <f t="shared" si="7"/>
        <v>0.91981795209364681</v>
      </c>
      <c r="O97" s="31">
        <f t="shared" si="8"/>
        <v>-2.5234556307325993</v>
      </c>
      <c r="P97" s="31">
        <f t="shared" si="9"/>
        <v>2.5234556307325993</v>
      </c>
      <c r="T97" s="31">
        <f t="shared" si="10"/>
        <v>3.7978866639800297</v>
      </c>
    </row>
    <row r="98" spans="1:20" ht="15.75">
      <c r="A98" s="15">
        <v>91</v>
      </c>
      <c r="B98" s="19">
        <v>210.233</v>
      </c>
      <c r="C98" s="19">
        <v>176.72099999999998</v>
      </c>
      <c r="D98" s="20">
        <v>185.702</v>
      </c>
      <c r="E98" s="19">
        <v>189.21</v>
      </c>
      <c r="F98" s="19">
        <v>159.04900000000001</v>
      </c>
      <c r="G98" s="20">
        <v>167.13200000000001</v>
      </c>
      <c r="J98" s="111">
        <v>92</v>
      </c>
      <c r="K98" s="111">
        <f t="shared" si="6"/>
        <v>8464</v>
      </c>
      <c r="L98" s="112">
        <v>0.22655</v>
      </c>
      <c r="M98" s="31">
        <f t="shared" si="11"/>
        <v>6.3325135428856844E-2</v>
      </c>
      <c r="N98" s="31">
        <f t="shared" si="7"/>
        <v>0.93667486457114313</v>
      </c>
      <c r="O98" s="31">
        <f t="shared" si="8"/>
        <v>-2.7594729444649149</v>
      </c>
      <c r="P98" s="31">
        <f t="shared" si="9"/>
        <v>2.7594729444649149</v>
      </c>
      <c r="T98" s="31">
        <f t="shared" si="10"/>
        <v>3.8818153271255849</v>
      </c>
    </row>
    <row r="99" spans="1:20" ht="15.75">
      <c r="A99" s="15">
        <v>92</v>
      </c>
      <c r="B99" s="19">
        <v>226.55</v>
      </c>
      <c r="C99" s="19">
        <v>192.04599999999999</v>
      </c>
      <c r="D99" s="20">
        <v>200.96700000000001</v>
      </c>
      <c r="E99" s="19">
        <v>203.89500000000001</v>
      </c>
      <c r="F99" s="19">
        <v>172.84100000000001</v>
      </c>
      <c r="G99" s="20">
        <v>180.87</v>
      </c>
      <c r="J99" s="111">
        <v>93</v>
      </c>
      <c r="K99" s="111">
        <f t="shared" si="6"/>
        <v>8649</v>
      </c>
      <c r="L99" s="112">
        <v>0.24374199999999999</v>
      </c>
      <c r="M99" s="31">
        <f t="shared" si="11"/>
        <v>4.8978825997449321E-2</v>
      </c>
      <c r="N99" s="31">
        <f t="shared" si="7"/>
        <v>0.95102117400255071</v>
      </c>
      <c r="O99" s="31">
        <f t="shared" si="8"/>
        <v>-3.0163671967643779</v>
      </c>
      <c r="P99" s="31">
        <f t="shared" si="9"/>
        <v>3.0163671967643779</v>
      </c>
      <c r="T99" s="31">
        <f t="shared" si="10"/>
        <v>3.9666612434202722</v>
      </c>
    </row>
    <row r="100" spans="1:20" ht="15.75">
      <c r="A100" s="15">
        <v>93</v>
      </c>
      <c r="B100" s="19">
        <v>243.74199999999999</v>
      </c>
      <c r="C100" s="19">
        <v>208.364</v>
      </c>
      <c r="D100" s="20">
        <v>217.25200000000001</v>
      </c>
      <c r="E100" s="19">
        <v>219.36799999999999</v>
      </c>
      <c r="F100" s="19">
        <v>187.52799999999999</v>
      </c>
      <c r="G100" s="20">
        <v>195.52700000000002</v>
      </c>
      <c r="J100" s="111">
        <v>94</v>
      </c>
      <c r="K100" s="111">
        <f t="shared" si="6"/>
        <v>8836</v>
      </c>
      <c r="L100" s="112">
        <v>0.261797</v>
      </c>
      <c r="M100" s="31">
        <f t="shared" si="11"/>
        <v>3.7040628991179027E-2</v>
      </c>
      <c r="N100" s="31">
        <f t="shared" si="7"/>
        <v>0.96295937100882101</v>
      </c>
      <c r="O100" s="31">
        <f t="shared" si="8"/>
        <v>-3.2957398879450195</v>
      </c>
      <c r="P100" s="31">
        <f t="shared" si="9"/>
        <v>3.2957398879450195</v>
      </c>
      <c r="T100" s="31">
        <f t="shared" si="10"/>
        <v>4.0524244128640916</v>
      </c>
    </row>
    <row r="101" spans="1:20" ht="15.75">
      <c r="A101" s="15">
        <v>94</v>
      </c>
      <c r="B101" s="19">
        <v>261.79700000000003</v>
      </c>
      <c r="C101" s="19">
        <v>225.68</v>
      </c>
      <c r="D101" s="20">
        <v>234.45</v>
      </c>
      <c r="E101" s="19">
        <v>235.61699999999999</v>
      </c>
      <c r="F101" s="19">
        <v>203.11199999999999</v>
      </c>
      <c r="G101" s="20">
        <v>211.005</v>
      </c>
      <c r="J101" s="111">
        <v>95</v>
      </c>
      <c r="K101" s="111">
        <f t="shared" si="6"/>
        <v>9025</v>
      </c>
      <c r="L101" s="112">
        <v>0.280694</v>
      </c>
      <c r="M101" s="31">
        <f t="shared" si="11"/>
        <v>2.7343503443175328E-2</v>
      </c>
      <c r="N101" s="31">
        <f t="shared" si="7"/>
        <v>0.97265649655682462</v>
      </c>
      <c r="O101" s="31">
        <f t="shared" si="8"/>
        <v>-3.5992763124002041</v>
      </c>
      <c r="P101" s="31">
        <f t="shared" si="9"/>
        <v>3.5992763124002041</v>
      </c>
      <c r="T101" s="31">
        <f t="shared" si="10"/>
        <v>4.1391048354570419</v>
      </c>
    </row>
    <row r="102" spans="1:20" ht="15.75">
      <c r="A102" s="15">
        <v>95</v>
      </c>
      <c r="B102" s="19">
        <v>280.69400000000002</v>
      </c>
      <c r="C102" s="19">
        <v>243.99199999999999</v>
      </c>
      <c r="D102" s="20">
        <v>253.23299999999998</v>
      </c>
      <c r="E102" s="19">
        <v>252.625</v>
      </c>
      <c r="F102" s="19">
        <v>219.59300000000002</v>
      </c>
      <c r="G102" s="20">
        <v>227.91</v>
      </c>
      <c r="J102" s="111">
        <v>96</v>
      </c>
      <c r="K102" s="111">
        <f t="shared" si="6"/>
        <v>9216</v>
      </c>
      <c r="L102" s="112">
        <v>0.30039900000000003</v>
      </c>
      <c r="M102" s="31">
        <f t="shared" si="11"/>
        <v>1.9668346087696673E-2</v>
      </c>
      <c r="N102" s="31">
        <f t="shared" si="7"/>
        <v>0.98033165391230337</v>
      </c>
      <c r="O102" s="31">
        <f t="shared" si="8"/>
        <v>-3.9287447331007508</v>
      </c>
      <c r="P102" s="31">
        <f t="shared" si="9"/>
        <v>3.9287447331007508</v>
      </c>
      <c r="T102" s="31">
        <f t="shared" si="10"/>
        <v>4.2267025111991252</v>
      </c>
    </row>
    <row r="103" spans="1:20" ht="15.75">
      <c r="A103" s="15">
        <v>96</v>
      </c>
      <c r="B103" s="19">
        <v>300.399</v>
      </c>
      <c r="C103" s="19">
        <v>263.28500000000003</v>
      </c>
      <c r="D103" s="20">
        <v>272.34399999999999</v>
      </c>
      <c r="E103" s="19">
        <v>270.35900000000004</v>
      </c>
      <c r="F103" s="19">
        <v>236.95699999999999</v>
      </c>
      <c r="G103" s="20">
        <v>245.11</v>
      </c>
      <c r="J103" s="111">
        <v>97</v>
      </c>
      <c r="K103" s="111">
        <f t="shared" si="6"/>
        <v>9409</v>
      </c>
      <c r="L103" s="112">
        <v>0.32087100000000002</v>
      </c>
      <c r="M103" s="31">
        <f t="shared" si="11"/>
        <v>1.3759994591298678E-2</v>
      </c>
      <c r="N103" s="31">
        <f t="shared" si="7"/>
        <v>0.98624000540870127</v>
      </c>
      <c r="O103" s="31">
        <f t="shared" si="8"/>
        <v>-4.2859898395512408</v>
      </c>
      <c r="P103" s="31">
        <f t="shared" si="9"/>
        <v>4.2859898395512408</v>
      </c>
      <c r="T103" s="31">
        <f t="shared" si="10"/>
        <v>4.3152174400903389</v>
      </c>
    </row>
    <row r="104" spans="1:20" ht="15.75">
      <c r="A104" s="15">
        <v>97</v>
      </c>
      <c r="B104" s="19">
        <v>320.87100000000004</v>
      </c>
      <c r="C104" s="19">
        <v>283.53099999999995</v>
      </c>
      <c r="D104" s="20">
        <v>292.66399999999999</v>
      </c>
      <c r="E104" s="19">
        <v>288.78399999999999</v>
      </c>
      <c r="F104" s="19">
        <v>255.17800000000003</v>
      </c>
      <c r="G104" s="20">
        <v>263.39800000000002</v>
      </c>
      <c r="J104" s="111">
        <v>98</v>
      </c>
      <c r="K104" s="111">
        <f t="shared" si="6"/>
        <v>9604</v>
      </c>
      <c r="L104" s="112">
        <v>0.342055</v>
      </c>
      <c r="M104" s="31">
        <f t="shared" si="11"/>
        <v>9.3448113667940792E-3</v>
      </c>
      <c r="N104" s="31">
        <f t="shared" si="7"/>
        <v>0.9906551886332059</v>
      </c>
      <c r="O104" s="31">
        <f t="shared" si="8"/>
        <v>-4.6729340237471382</v>
      </c>
      <c r="P104" s="31">
        <f t="shared" si="9"/>
        <v>4.6729340237471382</v>
      </c>
      <c r="T104" s="31">
        <f t="shared" si="10"/>
        <v>4.4046496221306848</v>
      </c>
    </row>
    <row r="105" spans="1:20" ht="15.75">
      <c r="A105" s="15">
        <v>98</v>
      </c>
      <c r="B105" s="19">
        <v>342.05500000000001</v>
      </c>
      <c r="C105" s="19">
        <v>304.69</v>
      </c>
      <c r="D105" s="20">
        <v>314.65100000000001</v>
      </c>
      <c r="E105" s="19">
        <v>307.85000000000002</v>
      </c>
      <c r="F105" s="19">
        <v>274.221</v>
      </c>
      <c r="G105" s="20">
        <v>283.18599999999998</v>
      </c>
      <c r="J105" s="111">
        <v>99</v>
      </c>
      <c r="K105" s="111">
        <f t="shared" si="6"/>
        <v>9801</v>
      </c>
      <c r="L105" s="112">
        <v>0.36388900000000002</v>
      </c>
      <c r="M105" s="31">
        <f t="shared" si="11"/>
        <v>6.1483719147253308E-3</v>
      </c>
      <c r="N105" s="31">
        <f t="shared" si="7"/>
        <v>0.99385162808527472</v>
      </c>
      <c r="O105" s="31">
        <f t="shared" si="8"/>
        <v>-5.0915679615236549</v>
      </c>
      <c r="P105" s="31">
        <f t="shared" si="9"/>
        <v>5.0915679615236549</v>
      </c>
      <c r="T105" s="31">
        <f t="shared" si="10"/>
        <v>4.4949990573201628</v>
      </c>
    </row>
    <row r="106" spans="1:20" ht="15.75">
      <c r="A106" s="15">
        <v>99</v>
      </c>
      <c r="B106" s="19">
        <v>363.88900000000001</v>
      </c>
      <c r="C106" s="19">
        <v>326.70799999999997</v>
      </c>
      <c r="D106" s="20">
        <v>336.44099999999997</v>
      </c>
      <c r="E106" s="19">
        <v>327.5</v>
      </c>
      <c r="F106" s="19">
        <v>294.03699999999998</v>
      </c>
      <c r="G106" s="20">
        <v>302.79699999999997</v>
      </c>
      <c r="J106" s="111">
        <v>100</v>
      </c>
      <c r="K106" s="111">
        <f t="shared" si="6"/>
        <v>10000</v>
      </c>
      <c r="L106" s="112">
        <v>0.386299</v>
      </c>
      <c r="M106" s="31">
        <f t="shared" si="11"/>
        <v>3.9110470070478449E-3</v>
      </c>
      <c r="N106" s="31">
        <f t="shared" si="7"/>
        <v>0.99608895299295219</v>
      </c>
      <c r="O106" s="31">
        <f t="shared" si="8"/>
        <v>-5.5439501640920756</v>
      </c>
      <c r="P106" s="31">
        <f t="shared" si="9"/>
        <v>5.5439501640920756</v>
      </c>
      <c r="T106" s="31">
        <f t="shared" si="10"/>
        <v>4.5862657456587721</v>
      </c>
    </row>
    <row r="107" spans="1:20" ht="15.75">
      <c r="A107" s="15">
        <v>100</v>
      </c>
      <c r="B107" s="19">
        <v>386.29899999999998</v>
      </c>
      <c r="C107" s="19">
        <v>349.51799999999997</v>
      </c>
      <c r="D107" s="20">
        <v>358.08</v>
      </c>
      <c r="E107" s="19">
        <v>347.66899999999998</v>
      </c>
      <c r="F107" s="19">
        <v>314.56600000000003</v>
      </c>
      <c r="G107" s="20">
        <v>322.27199999999999</v>
      </c>
      <c r="J107" s="111">
        <v>101</v>
      </c>
      <c r="K107" s="111">
        <f t="shared" si="6"/>
        <v>10201</v>
      </c>
      <c r="L107" s="112">
        <v>0.40920000000000001</v>
      </c>
      <c r="M107" s="31">
        <f t="shared" si="11"/>
        <v>2.4002134592722695E-3</v>
      </c>
      <c r="N107" s="31">
        <f t="shared" si="7"/>
        <v>0.99759978654072778</v>
      </c>
      <c r="O107" s="31">
        <f t="shared" si="8"/>
        <v>-6.0321976042198404</v>
      </c>
      <c r="P107" s="31">
        <f t="shared" si="9"/>
        <v>6.0321976042198404</v>
      </c>
      <c r="T107" s="31">
        <f t="shared" si="10"/>
        <v>4.6784496871465135</v>
      </c>
    </row>
    <row r="108" spans="1:20" ht="15.75">
      <c r="A108" s="15">
        <v>101</v>
      </c>
      <c r="B108" s="19">
        <v>409.2</v>
      </c>
      <c r="C108" s="19">
        <v>373.03700000000003</v>
      </c>
      <c r="D108" s="20">
        <v>381.45499999999998</v>
      </c>
      <c r="E108" s="19">
        <v>368.28</v>
      </c>
      <c r="F108" s="19">
        <v>335.733</v>
      </c>
      <c r="G108" s="20">
        <v>343.31</v>
      </c>
      <c r="J108" s="111">
        <v>102</v>
      </c>
      <c r="K108" s="111">
        <f t="shared" si="6"/>
        <v>10404</v>
      </c>
      <c r="L108" s="112">
        <v>0.43250300000000003</v>
      </c>
      <c r="M108" s="31">
        <f t="shared" si="11"/>
        <v>1.4180461117380568E-3</v>
      </c>
      <c r="N108" s="31">
        <f t="shared" si="7"/>
        <v>0.99858195388826199</v>
      </c>
      <c r="O108" s="31">
        <f t="shared" si="8"/>
        <v>-6.5584753325447522</v>
      </c>
      <c r="P108" s="31">
        <f t="shared" si="9"/>
        <v>6.5584753325447522</v>
      </c>
      <c r="T108" s="31">
        <f t="shared" si="10"/>
        <v>4.7715508817833872</v>
      </c>
    </row>
    <row r="109" spans="1:20" ht="15.75">
      <c r="A109" s="15">
        <v>102</v>
      </c>
      <c r="B109" s="19">
        <v>432.50300000000004</v>
      </c>
      <c r="C109" s="19">
        <v>397.173</v>
      </c>
      <c r="D109" s="20">
        <v>405.39699999999999</v>
      </c>
      <c r="E109" s="19">
        <v>389.25300000000004</v>
      </c>
      <c r="F109" s="19">
        <v>357.45600000000002</v>
      </c>
      <c r="G109" s="20">
        <v>364.85699999999997</v>
      </c>
      <c r="J109" s="111">
        <v>103</v>
      </c>
      <c r="K109" s="111">
        <f t="shared" si="6"/>
        <v>10609</v>
      </c>
      <c r="L109" s="112">
        <v>0.45610800000000001</v>
      </c>
      <c r="M109" s="31">
        <f t="shared" si="11"/>
        <v>8.0473691427301191E-4</v>
      </c>
      <c r="N109" s="31">
        <f t="shared" si="7"/>
        <v>0.99919526308572704</v>
      </c>
      <c r="O109" s="31">
        <f t="shared" si="8"/>
        <v>-7.1249951485289174</v>
      </c>
      <c r="P109" s="31">
        <f t="shared" si="9"/>
        <v>7.1249951485289174</v>
      </c>
      <c r="T109" s="31">
        <f t="shared" si="10"/>
        <v>4.865569329569392</v>
      </c>
    </row>
    <row r="110" spans="1:20" ht="15.75">
      <c r="A110" s="15">
        <v>103</v>
      </c>
      <c r="B110" s="19">
        <v>456.108</v>
      </c>
      <c r="C110" s="19">
        <v>421.82</v>
      </c>
      <c r="D110" s="20">
        <v>429.80099999999999</v>
      </c>
      <c r="E110" s="19">
        <v>410.49700000000001</v>
      </c>
      <c r="F110" s="19">
        <v>379.63799999999998</v>
      </c>
      <c r="G110" s="20">
        <v>386.62099999999998</v>
      </c>
      <c r="J110" s="111">
        <v>104</v>
      </c>
      <c r="K110" s="111">
        <f t="shared" si="6"/>
        <v>10816</v>
      </c>
      <c r="L110" s="112">
        <v>0.47991099999999998</v>
      </c>
      <c r="M110" s="31">
        <f t="shared" si="11"/>
        <v>4.3768996977777702E-4</v>
      </c>
      <c r="N110" s="31">
        <f t="shared" si="7"/>
        <v>0.99956231003022222</v>
      </c>
      <c r="O110" s="31">
        <f t="shared" si="8"/>
        <v>-7.733999729776448</v>
      </c>
      <c r="P110" s="31">
        <f t="shared" si="9"/>
        <v>7.733999729776448</v>
      </c>
      <c r="T110" s="31">
        <f t="shared" si="10"/>
        <v>4.9605050305045282</v>
      </c>
    </row>
    <row r="111" spans="1:20" ht="15.75">
      <c r="A111" s="15">
        <v>104</v>
      </c>
      <c r="B111" s="19">
        <v>479.911</v>
      </c>
      <c r="C111" s="19">
        <v>446.863</v>
      </c>
      <c r="D111" s="20">
        <v>454.55600000000004</v>
      </c>
      <c r="E111" s="19">
        <v>431.92</v>
      </c>
      <c r="F111" s="19">
        <v>402.17700000000002</v>
      </c>
      <c r="G111" s="20">
        <v>409.1</v>
      </c>
      <c r="J111" s="111">
        <v>105</v>
      </c>
      <c r="K111" s="111">
        <f t="shared" si="6"/>
        <v>11025</v>
      </c>
      <c r="L111" s="113">
        <v>1</v>
      </c>
      <c r="M111" s="31">
        <f t="shared" si="11"/>
        <v>2.2763773869175429E-4</v>
      </c>
      <c r="N111" s="31">
        <f t="shared" si="7"/>
        <v>0.99977236226130828</v>
      </c>
      <c r="O111" s="31">
        <f t="shared" si="8"/>
        <v>-8.3877550579821065</v>
      </c>
      <c r="P111" s="31">
        <f t="shared" si="9"/>
        <v>8.3877550579821065</v>
      </c>
      <c r="T111" s="31">
        <f t="shared" si="10"/>
        <v>5.0563579845887965</v>
      </c>
    </row>
    <row r="112" spans="1:20" ht="15.75">
      <c r="A112" s="18">
        <v>105</v>
      </c>
      <c r="B112" s="21">
        <v>1000</v>
      </c>
      <c r="C112" s="21">
        <v>1000</v>
      </c>
      <c r="D112" s="22">
        <v>1000</v>
      </c>
      <c r="E112" s="21">
        <v>1000</v>
      </c>
      <c r="F112" s="21">
        <v>1000</v>
      </c>
      <c r="G112" s="22">
        <v>1000</v>
      </c>
      <c r="J112" s="111"/>
      <c r="T112" s="31">
        <f t="shared" si="10"/>
        <v>0</v>
      </c>
    </row>
  </sheetData>
  <dataConsolidate/>
  <mergeCells count="1">
    <mergeCell ref="E4:G4"/>
  </mergeCells>
  <phoneticPr fontId="2" type="noConversion"/>
  <pageMargins left="0.75" right="0.75" top="0.75" bottom="0.5" header="0.5" footer="0.5"/>
  <pageSetup scale="6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N10001"/>
  <sheetViews>
    <sheetView topLeftCell="AC1" zoomScaleNormal="100" workbookViewId="0">
      <selection activeCell="AE2" sqref="AE2:AN2"/>
    </sheetView>
  </sheetViews>
  <sheetFormatPr defaultRowHeight="14.25"/>
  <cols>
    <col min="17" max="17" width="17.25" customWidth="1"/>
    <col min="19" max="19" width="9.125" customWidth="1"/>
    <col min="20" max="28" width="9.5" bestFit="1" customWidth="1"/>
    <col min="30" max="30" width="5.5" bestFit="1" customWidth="1"/>
    <col min="31" max="40" width="7.5" bestFit="1" customWidth="1"/>
  </cols>
  <sheetData>
    <row r="1" spans="1:40">
      <c r="A1" s="114" t="s">
        <v>81</v>
      </c>
      <c r="E1" s="114" t="s">
        <v>82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Q1" s="114" t="s">
        <v>83</v>
      </c>
      <c r="R1" s="114">
        <f>AVERAGE(R3:R1001)</f>
        <v>2.5</v>
      </c>
      <c r="S1" s="127">
        <f t="shared" ref="S1:AB1" si="0">AVERAGE(S3:S1001)</f>
        <v>2.4165251199844247</v>
      </c>
      <c r="T1" s="127">
        <f t="shared" si="0"/>
        <v>2.3757227572236972</v>
      </c>
      <c r="U1" s="127">
        <f t="shared" si="0"/>
        <v>2.3546340923351505</v>
      </c>
      <c r="V1" s="127">
        <f t="shared" si="0"/>
        <v>2.3443033857595021</v>
      </c>
      <c r="W1" s="127">
        <f t="shared" si="0"/>
        <v>2.3395205181419056</v>
      </c>
      <c r="X1" s="127">
        <f t="shared" si="0"/>
        <v>2.3372005884137348</v>
      </c>
      <c r="Y1" s="127">
        <f t="shared" si="0"/>
        <v>2.3351895181807896</v>
      </c>
      <c r="Z1" s="127">
        <f t="shared" si="0"/>
        <v>2.334006101071517</v>
      </c>
      <c r="AA1" s="127">
        <f t="shared" si="0"/>
        <v>2.3333180136858185</v>
      </c>
      <c r="AB1" s="127">
        <f t="shared" si="0"/>
        <v>2.3337964114375818</v>
      </c>
      <c r="AC1" s="114"/>
      <c r="AD1" s="128" t="s">
        <v>85</v>
      </c>
      <c r="AE1" s="129">
        <v>1</v>
      </c>
      <c r="AF1" s="129">
        <v>2</v>
      </c>
      <c r="AG1" s="129">
        <v>3</v>
      </c>
      <c r="AH1" s="129">
        <v>4</v>
      </c>
      <c r="AI1" s="129">
        <v>5</v>
      </c>
      <c r="AJ1" s="129">
        <v>6</v>
      </c>
      <c r="AK1" s="129">
        <v>7</v>
      </c>
      <c r="AL1" s="129">
        <v>8</v>
      </c>
      <c r="AM1" s="129">
        <v>9</v>
      </c>
      <c r="AN1" s="129">
        <v>10</v>
      </c>
    </row>
    <row r="2" spans="1:40">
      <c r="A2">
        <v>1</v>
      </c>
      <c r="B2" s="119">
        <v>0.33333333333333331</v>
      </c>
      <c r="F2">
        <v>0.33333333333333331</v>
      </c>
      <c r="G2">
        <v>0.66666666666666663</v>
      </c>
      <c r="H2">
        <v>0.1111111111111111</v>
      </c>
      <c r="I2">
        <v>0.44444444444444442</v>
      </c>
      <c r="J2">
        <v>0.77777777777777768</v>
      </c>
      <c r="K2">
        <v>0.22222222222222221</v>
      </c>
      <c r="L2">
        <v>0.55555555555555558</v>
      </c>
      <c r="M2">
        <v>0.88888888888888884</v>
      </c>
      <c r="N2">
        <v>3.7037037037037035E-2</v>
      </c>
      <c r="O2">
        <v>0.37037037037037035</v>
      </c>
      <c r="Q2" s="114" t="s">
        <v>82</v>
      </c>
      <c r="R2" s="114">
        <v>0</v>
      </c>
      <c r="S2">
        <v>1</v>
      </c>
      <c r="T2">
        <v>2</v>
      </c>
      <c r="U2">
        <v>3</v>
      </c>
      <c r="V2">
        <v>4</v>
      </c>
      <c r="W2">
        <v>5</v>
      </c>
      <c r="X2">
        <v>6</v>
      </c>
      <c r="Y2">
        <v>7</v>
      </c>
      <c r="Z2">
        <v>8</v>
      </c>
      <c r="AA2">
        <v>9</v>
      </c>
      <c r="AB2">
        <v>10</v>
      </c>
      <c r="AD2" s="128" t="s">
        <v>84</v>
      </c>
      <c r="AE2" s="130">
        <v>2.4165251199844247</v>
      </c>
      <c r="AF2" s="130">
        <v>2.3757227572236972</v>
      </c>
      <c r="AG2" s="130">
        <v>2.3546340923351505</v>
      </c>
      <c r="AH2" s="130">
        <v>2.3443033857595021</v>
      </c>
      <c r="AI2" s="130">
        <v>2.3395205181419056</v>
      </c>
      <c r="AJ2" s="130">
        <v>2.3372005884137348</v>
      </c>
      <c r="AK2" s="130">
        <v>2.3351895181807896</v>
      </c>
      <c r="AL2" s="130">
        <v>2.334006101071517</v>
      </c>
      <c r="AM2" s="130">
        <v>2.3333180136858185</v>
      </c>
      <c r="AN2" s="130">
        <v>2.3337964114375818</v>
      </c>
    </row>
    <row r="3" spans="1:40">
      <c r="A3">
        <v>2</v>
      </c>
      <c r="B3" s="119">
        <v>0.66666666666666663</v>
      </c>
      <c r="F3">
        <v>0.70370370370370372</v>
      </c>
      <c r="G3">
        <v>0.14814814814814814</v>
      </c>
      <c r="H3">
        <v>0.48148148148148145</v>
      </c>
      <c r="I3">
        <v>0.81481481481481466</v>
      </c>
      <c r="J3">
        <v>0.25925925925925924</v>
      </c>
      <c r="K3">
        <v>0.59259259259259256</v>
      </c>
      <c r="L3">
        <v>0.92592592592592582</v>
      </c>
      <c r="M3">
        <v>7.407407407407407E-2</v>
      </c>
      <c r="N3">
        <v>0.40740740740740738</v>
      </c>
      <c r="O3">
        <v>0.7407407407407407</v>
      </c>
      <c r="R3">
        <v>2.5</v>
      </c>
      <c r="S3" s="126">
        <f>NORMINV(F3,0,1)*0.8248+0.4974*(2.3356-R3)+R3</f>
        <v>2.8595637458831984</v>
      </c>
      <c r="T3" s="126">
        <f t="shared" ref="T3:T42" si="1">NORMINV(G3,0,1)*0.8248+0.4974*(2.3356-S3)+S3</f>
        <v>1.7375158046699779</v>
      </c>
      <c r="U3" s="126">
        <f t="shared" ref="U3:U42" si="2">NORMINV(H3,0,1)*0.8248+0.4974*(2.3356-T3)+T3</f>
        <v>1.9967026976364002</v>
      </c>
      <c r="V3" s="126">
        <f t="shared" ref="V3:V42" si="3">NORMINV(I3,0,1)*0.8248+0.4974*(2.3356-U3)+U3</f>
        <v>2.9041094104472385</v>
      </c>
      <c r="W3" s="126">
        <f t="shared" ref="W3:W42" si="4">NORMINV(J3,0,1)*0.8248+0.4974*(2.3356-V3)+V3</f>
        <v>2.0888165876879521</v>
      </c>
      <c r="X3" s="126">
        <f t="shared" ref="X3:X42" si="5">NORMINV(K3,0,1)*0.8248+0.4974*(2.3356-W3)+W3</f>
        <v>2.404750648112743</v>
      </c>
      <c r="Y3" s="126">
        <f t="shared" ref="Y3:Y42" si="6">NORMINV(L3,0,1)*0.8248+0.4974*(2.3356-X3)+X3</f>
        <v>3.563101359180374</v>
      </c>
      <c r="Z3" s="126">
        <f t="shared" ref="Z3:Z42" si="7">NORMINV(M3,0,1)*0.8248+0.4974*(2.3356-Y3)+Y3</f>
        <v>1.7597959396851446</v>
      </c>
      <c r="AA3" s="126">
        <f t="shared" ref="AA3:AA42" si="8">NORMINV(N3,0,1)*0.8248+0.4974*(2.3356-Z3)+Z3</f>
        <v>1.8530168881449753</v>
      </c>
      <c r="AB3" s="126">
        <f t="shared" ref="AB3:AB42" si="9">NORMINV(O3,0,1)*0.8248+0.4974*(2.3356-AA3)+AA3</f>
        <v>2.6255699699844941</v>
      </c>
    </row>
    <row r="4" spans="1:40">
      <c r="A4">
        <v>3</v>
      </c>
      <c r="B4" s="119">
        <v>0.1111111111111111</v>
      </c>
      <c r="F4">
        <v>0.18518518518518517</v>
      </c>
      <c r="G4">
        <v>0.51851851851851849</v>
      </c>
      <c r="H4">
        <v>0.85185185185185175</v>
      </c>
      <c r="I4">
        <v>0.29629629629629628</v>
      </c>
      <c r="J4">
        <v>0.62962962962962965</v>
      </c>
      <c r="K4">
        <v>0.96296296296296291</v>
      </c>
      <c r="L4">
        <v>1.2345679012345678E-2</v>
      </c>
      <c r="M4">
        <v>0.34567901234567899</v>
      </c>
      <c r="N4">
        <v>0.67901234567901225</v>
      </c>
      <c r="O4">
        <v>0.12345679012345678</v>
      </c>
      <c r="R4">
        <v>2.5</v>
      </c>
      <c r="S4" s="126">
        <f t="shared" ref="S4:S42" si="10">NORMINV(F4,0,1)*0.8248+0.4974*(2.3356-R4)+R4</f>
        <v>1.6793882453848155</v>
      </c>
      <c r="T4" s="126">
        <f t="shared" si="1"/>
        <v>2.0440881579211387</v>
      </c>
      <c r="U4" s="126">
        <f t="shared" si="2"/>
        <v>3.0505145221820804</v>
      </c>
      <c r="V4" s="126">
        <f t="shared" si="3"/>
        <v>2.2535797329655147</v>
      </c>
      <c r="W4" s="126">
        <f t="shared" si="4"/>
        <v>2.5672803109484179</v>
      </c>
      <c r="X4" s="126">
        <f t="shared" si="5"/>
        <v>3.9252636312108109</v>
      </c>
      <c r="Y4" s="126">
        <f t="shared" si="6"/>
        <v>1.2819012136500065</v>
      </c>
      <c r="Z4" s="126">
        <f t="shared" si="7"/>
        <v>1.47855483595617</v>
      </c>
      <c r="AA4" s="126">
        <f t="shared" si="8"/>
        <v>2.2883305943220154</v>
      </c>
      <c r="AB4" s="126">
        <f t="shared" si="9"/>
        <v>1.3568241244198287</v>
      </c>
    </row>
    <row r="5" spans="1:40">
      <c r="A5">
        <v>4</v>
      </c>
      <c r="B5" s="119">
        <v>0.44444444444444442</v>
      </c>
      <c r="F5">
        <v>0.4567901234567901</v>
      </c>
      <c r="G5">
        <v>0.79012345679012341</v>
      </c>
      <c r="H5">
        <v>0.23456790123456789</v>
      </c>
      <c r="I5">
        <v>0.56790123456790131</v>
      </c>
      <c r="J5">
        <v>0.90123456790123457</v>
      </c>
      <c r="K5">
        <v>4.9382716049382713E-2</v>
      </c>
      <c r="L5">
        <v>0.38271604938271603</v>
      </c>
      <c r="M5">
        <v>0.71604938271604945</v>
      </c>
      <c r="N5">
        <v>0.16049382716049382</v>
      </c>
      <c r="O5">
        <v>0.49382716049382713</v>
      </c>
      <c r="R5">
        <v>2.5</v>
      </c>
      <c r="S5" s="126">
        <f t="shared" si="10"/>
        <v>2.3287170561151873</v>
      </c>
      <c r="T5" s="126">
        <f t="shared" si="1"/>
        <v>2.9976302575914131</v>
      </c>
      <c r="U5" s="126">
        <f t="shared" si="2"/>
        <v>2.0712753378869841</v>
      </c>
      <c r="V5" s="126">
        <f t="shared" si="3"/>
        <v>2.3438187440373719</v>
      </c>
      <c r="W5" s="126">
        <f t="shared" si="4"/>
        <v>3.4025830054853907</v>
      </c>
      <c r="X5" s="126">
        <f t="shared" si="5"/>
        <v>1.5102293317382185</v>
      </c>
      <c r="Y5" s="126">
        <f t="shared" si="6"/>
        <v>1.6746853556112355</v>
      </c>
      <c r="Z5" s="126">
        <f t="shared" si="7"/>
        <v>2.4745048446556881</v>
      </c>
      <c r="AA5" s="126">
        <f t="shared" si="8"/>
        <v>1.5868570465597043</v>
      </c>
      <c r="AB5" s="126">
        <f t="shared" si="9"/>
        <v>1.9465191403376791</v>
      </c>
    </row>
    <row r="6" spans="1:40">
      <c r="A6">
        <v>5</v>
      </c>
      <c r="B6" s="119">
        <v>0.77777777777777768</v>
      </c>
      <c r="F6">
        <v>0.82716049382716039</v>
      </c>
      <c r="G6">
        <v>0.27160493827160492</v>
      </c>
      <c r="H6">
        <v>0.60493827160493829</v>
      </c>
      <c r="I6">
        <v>0.93827160493827155</v>
      </c>
      <c r="J6">
        <v>8.6419753086419748E-2</v>
      </c>
      <c r="K6">
        <v>0.41975308641975306</v>
      </c>
      <c r="L6">
        <v>0.75308641975308643</v>
      </c>
      <c r="M6">
        <v>0.19753086419753085</v>
      </c>
      <c r="N6">
        <v>0.53086419753086411</v>
      </c>
      <c r="O6">
        <v>0.86419753086419737</v>
      </c>
      <c r="R6">
        <v>2.5</v>
      </c>
      <c r="S6" s="126">
        <f t="shared" si="10"/>
        <v>3.1960168886093507</v>
      </c>
      <c r="T6" s="126">
        <f t="shared" si="1"/>
        <v>2.2665949878231251</v>
      </c>
      <c r="U6" s="126">
        <f t="shared" si="2"/>
        <v>2.5204388493153322</v>
      </c>
      <c r="V6" s="126">
        <f t="shared" si="3"/>
        <v>3.6990425500377158</v>
      </c>
      <c r="W6" s="126">
        <f t="shared" si="4"/>
        <v>1.8965512688636257</v>
      </c>
      <c r="X6" s="126">
        <f t="shared" si="5"/>
        <v>1.9478913365067332</v>
      </c>
      <c r="Y6" s="126">
        <f t="shared" si="6"/>
        <v>2.7050941624375566</v>
      </c>
      <c r="Z6" s="126">
        <f t="shared" si="7"/>
        <v>1.8198369870534756</v>
      </c>
      <c r="AA6" s="126">
        <f t="shared" si="8"/>
        <v>2.1402520082416334</v>
      </c>
      <c r="AB6" s="126">
        <f t="shared" si="9"/>
        <v>3.144181828378223</v>
      </c>
    </row>
    <row r="7" spans="1:40">
      <c r="A7">
        <v>6</v>
      </c>
      <c r="B7" s="119">
        <v>0.22222222222222221</v>
      </c>
      <c r="F7">
        <v>0.30864197530864196</v>
      </c>
      <c r="G7">
        <v>0.64197530864197527</v>
      </c>
      <c r="H7">
        <v>0.97530864197530853</v>
      </c>
      <c r="I7">
        <v>2.4691358024691357E-2</v>
      </c>
      <c r="J7">
        <v>0.35802469135802467</v>
      </c>
      <c r="K7">
        <v>0.69135802469135799</v>
      </c>
      <c r="L7">
        <v>0.13580246913580246</v>
      </c>
      <c r="M7">
        <v>0.46913580246913578</v>
      </c>
      <c r="N7">
        <v>0.80246913580246904</v>
      </c>
      <c r="O7">
        <v>0.24691358024691357</v>
      </c>
      <c r="R7">
        <v>2.5</v>
      </c>
      <c r="S7" s="126">
        <f t="shared" si="10"/>
        <v>2.00607209035502</v>
      </c>
      <c r="T7" s="126">
        <f t="shared" si="1"/>
        <v>2.4699951038005459</v>
      </c>
      <c r="U7" s="126">
        <f t="shared" si="2"/>
        <v>4.0241036703380715</v>
      </c>
      <c r="V7" s="126">
        <f t="shared" si="3"/>
        <v>1.5632852535439947</v>
      </c>
      <c r="W7" s="126">
        <f t="shared" si="4"/>
        <v>1.6474187772430986</v>
      </c>
      <c r="X7" s="126">
        <f t="shared" si="5"/>
        <v>2.4018754670873612</v>
      </c>
      <c r="Y7" s="126">
        <f t="shared" si="6"/>
        <v>1.462146320722129</v>
      </c>
      <c r="Z7" s="126">
        <f t="shared" si="7"/>
        <v>1.8327276822463849</v>
      </c>
      <c r="AA7" s="126">
        <f t="shared" si="8"/>
        <v>2.7843271520846731</v>
      </c>
      <c r="AB7" s="126">
        <f t="shared" si="9"/>
        <v>1.996773729928484</v>
      </c>
    </row>
    <row r="8" spans="1:40">
      <c r="A8">
        <v>7</v>
      </c>
      <c r="B8" s="119">
        <v>0.55555555555555558</v>
      </c>
      <c r="F8">
        <v>0.58024691358024694</v>
      </c>
      <c r="G8">
        <v>0.9135802469135802</v>
      </c>
      <c r="H8">
        <v>6.1728395061728392E-2</v>
      </c>
      <c r="I8">
        <v>0.39506172839506171</v>
      </c>
      <c r="J8">
        <v>0.72839506172839508</v>
      </c>
      <c r="K8">
        <v>0.1728395061728395</v>
      </c>
      <c r="L8">
        <v>0.50617283950617287</v>
      </c>
      <c r="M8">
        <v>0.83950617283950602</v>
      </c>
      <c r="N8">
        <v>0.2839506172839506</v>
      </c>
      <c r="O8">
        <v>0.61728395061728392</v>
      </c>
      <c r="R8">
        <v>2.5</v>
      </c>
      <c r="S8" s="126">
        <f t="shared" si="10"/>
        <v>2.5852702112241248</v>
      </c>
      <c r="T8" s="126">
        <f t="shared" si="1"/>
        <v>3.5853992049465755</v>
      </c>
      <c r="U8" s="126">
        <f t="shared" si="2"/>
        <v>1.6932065360343178</v>
      </c>
      <c r="V8" s="126">
        <f t="shared" si="3"/>
        <v>1.7932122765754182</v>
      </c>
      <c r="W8" s="126">
        <f t="shared" si="4"/>
        <v>2.5644464705987398</v>
      </c>
      <c r="X8" s="126">
        <f t="shared" si="5"/>
        <v>1.6728287875135748</v>
      </c>
      <c r="Y8" s="126">
        <f t="shared" si="6"/>
        <v>2.0152538398675506</v>
      </c>
      <c r="Z8" s="126">
        <f t="shared" si="7"/>
        <v>2.9931505482816743</v>
      </c>
      <c r="AA8" s="126">
        <f t="shared" si="8"/>
        <v>2.1950043606408882</v>
      </c>
      <c r="AB8" s="126">
        <f t="shared" si="9"/>
        <v>2.5110199781785032</v>
      </c>
    </row>
    <row r="9" spans="1:40">
      <c r="A9">
        <v>8</v>
      </c>
      <c r="B9" s="119">
        <v>0.88888888888888884</v>
      </c>
      <c r="F9">
        <v>0.95061728395061718</v>
      </c>
      <c r="G9">
        <v>9.8765432098765427E-2</v>
      </c>
      <c r="H9">
        <v>0.43209876543209874</v>
      </c>
      <c r="I9">
        <v>0.76543209876543206</v>
      </c>
      <c r="J9">
        <v>0.20987654320987653</v>
      </c>
      <c r="K9">
        <v>0.54320987654320985</v>
      </c>
      <c r="L9">
        <v>0.87654320987654311</v>
      </c>
      <c r="M9">
        <v>0.32098765432098764</v>
      </c>
      <c r="N9">
        <v>0.65432098765432101</v>
      </c>
      <c r="O9">
        <v>0.98765432098765427</v>
      </c>
      <c r="R9">
        <v>2.5</v>
      </c>
      <c r="S9" s="126">
        <f t="shared" si="10"/>
        <v>3.7798637668187371</v>
      </c>
      <c r="T9" s="126">
        <f t="shared" si="1"/>
        <v>1.9986347044708883</v>
      </c>
      <c r="U9" s="126">
        <f t="shared" si="2"/>
        <v>2.0251729232516946</v>
      </c>
      <c r="V9" s="126">
        <f t="shared" si="3"/>
        <v>2.7766404208047617</v>
      </c>
      <c r="W9" s="126">
        <f t="shared" si="4"/>
        <v>1.8917772903085526</v>
      </c>
      <c r="X9" s="126">
        <f t="shared" si="5"/>
        <v>2.2020450899938906</v>
      </c>
      <c r="Y9" s="126">
        <f t="shared" si="6"/>
        <v>3.2234935745173443</v>
      </c>
      <c r="Z9" s="126">
        <f t="shared" si="7"/>
        <v>2.3983738167819726</v>
      </c>
      <c r="AA9" s="126">
        <f t="shared" si="8"/>
        <v>2.6946062743389425</v>
      </c>
      <c r="AB9" s="126">
        <f t="shared" si="9"/>
        <v>4.3687002808792963</v>
      </c>
    </row>
    <row r="10" spans="1:40">
      <c r="A10">
        <v>9</v>
      </c>
      <c r="B10" s="119">
        <v>3.7037037037037035E-2</v>
      </c>
      <c r="F10">
        <v>4.11522633744856E-3</v>
      </c>
      <c r="G10">
        <v>0.33744855967078186</v>
      </c>
      <c r="H10">
        <v>0.67078189300411517</v>
      </c>
      <c r="I10">
        <v>0.11522633744855966</v>
      </c>
      <c r="J10">
        <v>0.44855967078189296</v>
      </c>
      <c r="K10">
        <v>0.78189300411522622</v>
      </c>
      <c r="L10">
        <v>0.22633744855967078</v>
      </c>
      <c r="M10">
        <v>0.55967078189300412</v>
      </c>
      <c r="N10">
        <v>0.89300411522633738</v>
      </c>
      <c r="O10">
        <v>4.1152263374485597E-2</v>
      </c>
      <c r="R10">
        <v>2.5</v>
      </c>
      <c r="S10" s="126">
        <f t="shared" si="10"/>
        <v>0.23872079895116238</v>
      </c>
      <c r="T10" s="126">
        <f t="shared" si="1"/>
        <v>0.93575724988192654</v>
      </c>
      <c r="U10" s="126">
        <f t="shared" si="2"/>
        <v>1.9966610353504612</v>
      </c>
      <c r="V10" s="126">
        <f t="shared" si="3"/>
        <v>1.1761543943205999</v>
      </c>
      <c r="W10" s="126">
        <f t="shared" si="4"/>
        <v>1.6462150292781761</v>
      </c>
      <c r="X10" s="126">
        <f t="shared" si="5"/>
        <v>2.6313063355938526</v>
      </c>
      <c r="Y10" s="126">
        <f t="shared" si="6"/>
        <v>1.8648276856503081</v>
      </c>
      <c r="Z10" s="126">
        <f t="shared" si="7"/>
        <v>2.2228208385463466</v>
      </c>
      <c r="AA10" s="126">
        <f t="shared" si="8"/>
        <v>3.30386624948716</v>
      </c>
      <c r="AB10" s="126">
        <f t="shared" si="9"/>
        <v>1.3891866792325474</v>
      </c>
    </row>
    <row r="11" spans="1:40">
      <c r="A11">
        <v>10</v>
      </c>
      <c r="B11" s="119">
        <v>0.37037037037037035</v>
      </c>
      <c r="F11">
        <v>0.37448559670781889</v>
      </c>
      <c r="G11">
        <v>0.70781893004115226</v>
      </c>
      <c r="H11">
        <v>0.15226337448559671</v>
      </c>
      <c r="I11">
        <v>0.48559670781893</v>
      </c>
      <c r="J11">
        <v>0.8189300411522632</v>
      </c>
      <c r="K11">
        <v>0.26337448559670779</v>
      </c>
      <c r="L11">
        <v>0.5967078189300411</v>
      </c>
      <c r="M11">
        <v>0.93004115226337436</v>
      </c>
      <c r="N11">
        <v>7.8189300411522625E-2</v>
      </c>
      <c r="O11">
        <v>0.41152263374485593</v>
      </c>
      <c r="R11">
        <v>2.5</v>
      </c>
      <c r="S11" s="126">
        <f t="shared" si="10"/>
        <v>2.1542945549039683</v>
      </c>
      <c r="T11" s="126">
        <f t="shared" si="1"/>
        <v>2.6956614032322337</v>
      </c>
      <c r="U11" s="126">
        <f t="shared" si="2"/>
        <v>1.669683410509099</v>
      </c>
      <c r="V11" s="126">
        <f t="shared" si="3"/>
        <v>1.971125518651049</v>
      </c>
      <c r="W11" s="126">
        <f t="shared" si="4"/>
        <v>2.9040513082276398</v>
      </c>
      <c r="X11" s="126">
        <f t="shared" si="5"/>
        <v>2.0992245875112805</v>
      </c>
      <c r="Y11" s="126">
        <f t="shared" si="6"/>
        <v>2.4187374449027308</v>
      </c>
      <c r="Z11" s="126">
        <f t="shared" si="7"/>
        <v>3.5948701730074104</v>
      </c>
      <c r="AA11" s="126">
        <f t="shared" si="8"/>
        <v>1.7994732001842013</v>
      </c>
      <c r="AB11" s="126">
        <f t="shared" si="9"/>
        <v>1.8816926986885238</v>
      </c>
    </row>
    <row r="12" spans="1:40">
      <c r="A12">
        <v>11</v>
      </c>
      <c r="B12" s="119">
        <v>0.70370370370370372</v>
      </c>
      <c r="F12">
        <v>0.74485596707818924</v>
      </c>
      <c r="G12">
        <v>0.18930041152263374</v>
      </c>
      <c r="H12">
        <v>0.52263374485596703</v>
      </c>
      <c r="I12">
        <v>0.85596707818930029</v>
      </c>
      <c r="J12">
        <v>0.30041152263374482</v>
      </c>
      <c r="K12">
        <v>0.63374485596707819</v>
      </c>
      <c r="L12">
        <v>0.96707818930041145</v>
      </c>
      <c r="M12">
        <v>1.646090534979424E-2</v>
      </c>
      <c r="N12">
        <v>0.34979423868312753</v>
      </c>
      <c r="O12">
        <v>0.68312757201646079</v>
      </c>
      <c r="R12">
        <v>2.5</v>
      </c>
      <c r="S12" s="126">
        <f t="shared" si="10"/>
        <v>2.9612668618556719</v>
      </c>
      <c r="T12" s="126">
        <f t="shared" si="1"/>
        <v>1.9238425272321942</v>
      </c>
      <c r="U12" s="126">
        <f t="shared" si="2"/>
        <v>2.1754703467300707</v>
      </c>
      <c r="V12" s="126">
        <f t="shared" si="3"/>
        <v>3.1313650726389075</v>
      </c>
      <c r="W12" s="126">
        <f t="shared" si="4"/>
        <v>2.304001898254282</v>
      </c>
      <c r="X12" s="126">
        <f t="shared" si="5"/>
        <v>2.6016257040129962</v>
      </c>
      <c r="Y12" s="126">
        <f t="shared" si="6"/>
        <v>3.9865132104463914</v>
      </c>
      <c r="Z12" s="126">
        <f t="shared" si="7"/>
        <v>1.4060212645232957</v>
      </c>
      <c r="AA12" s="126">
        <f t="shared" si="8"/>
        <v>1.5501231709894041</v>
      </c>
      <c r="AB12" s="126">
        <f t="shared" si="9"/>
        <v>2.333805686642084</v>
      </c>
    </row>
    <row r="13" spans="1:40">
      <c r="A13">
        <v>12</v>
      </c>
      <c r="B13" s="119">
        <v>0.14814814814814814</v>
      </c>
      <c r="F13">
        <v>0.12757201646090535</v>
      </c>
      <c r="G13">
        <v>0.46090534979423864</v>
      </c>
      <c r="H13">
        <v>0.79423868312757195</v>
      </c>
      <c r="I13">
        <v>0.23868312757201646</v>
      </c>
      <c r="J13">
        <v>0.57201646090534986</v>
      </c>
      <c r="K13">
        <v>0.90534979423868311</v>
      </c>
      <c r="L13">
        <v>5.3497942386831275E-2</v>
      </c>
      <c r="M13">
        <v>0.38683127572016457</v>
      </c>
      <c r="N13">
        <v>0.72016460905349799</v>
      </c>
      <c r="O13">
        <v>0.16460905349794239</v>
      </c>
      <c r="R13">
        <v>2.5</v>
      </c>
      <c r="S13" s="126">
        <f t="shared" si="10"/>
        <v>1.4796515569911033</v>
      </c>
      <c r="T13" s="126">
        <f t="shared" si="1"/>
        <v>1.8244436109897895</v>
      </c>
      <c r="U13" s="126">
        <f t="shared" si="2"/>
        <v>2.7560326400958761</v>
      </c>
      <c r="V13" s="126">
        <f t="shared" si="3"/>
        <v>1.9608519545635117</v>
      </c>
      <c r="W13" s="126">
        <f t="shared" si="4"/>
        <v>2.2969612973411451</v>
      </c>
      <c r="X13" s="126">
        <f t="shared" si="5"/>
        <v>3.3988551351255563</v>
      </c>
      <c r="Y13" s="126">
        <f t="shared" si="6"/>
        <v>1.5405430771488573</v>
      </c>
      <c r="Z13" s="126">
        <f t="shared" si="7"/>
        <v>1.6988022604917277</v>
      </c>
      <c r="AA13" s="126">
        <f t="shared" si="8"/>
        <v>2.4966765166063754</v>
      </c>
      <c r="AB13" s="126">
        <f t="shared" si="9"/>
        <v>1.6118079414929838</v>
      </c>
    </row>
    <row r="14" spans="1:40">
      <c r="A14">
        <v>13</v>
      </c>
      <c r="B14" s="119">
        <v>0.48148148148148145</v>
      </c>
      <c r="F14">
        <v>0.49794238683127567</v>
      </c>
      <c r="G14">
        <v>0.83127572016460893</v>
      </c>
      <c r="H14">
        <v>0.27572016460905346</v>
      </c>
      <c r="I14">
        <v>0.60905349794238683</v>
      </c>
      <c r="J14">
        <v>0.94238683127572009</v>
      </c>
      <c r="K14">
        <v>9.0534979423868303E-2</v>
      </c>
      <c r="L14">
        <v>0.4238683127572016</v>
      </c>
      <c r="M14">
        <v>0.75720164609053497</v>
      </c>
      <c r="N14">
        <v>0.20164609053497942</v>
      </c>
      <c r="O14">
        <v>0.53497942386831265</v>
      </c>
      <c r="R14">
        <v>2.5</v>
      </c>
      <c r="S14" s="126">
        <f t="shared" si="10"/>
        <v>2.4139733738121114</v>
      </c>
      <c r="T14" s="126">
        <f t="shared" si="1"/>
        <v>3.1661540777497366</v>
      </c>
      <c r="U14" s="126">
        <f t="shared" si="2"/>
        <v>2.2617829487608012</v>
      </c>
      <c r="V14" s="126">
        <f t="shared" si="3"/>
        <v>2.5268478817241031</v>
      </c>
      <c r="W14" s="126">
        <f t="shared" si="4"/>
        <v>3.7308887781171256</v>
      </c>
      <c r="X14" s="126">
        <f t="shared" si="5"/>
        <v>1.933728629426513</v>
      </c>
      <c r="Y14" s="126">
        <f t="shared" si="6"/>
        <v>1.9752519737009666</v>
      </c>
      <c r="Z14" s="126">
        <f t="shared" si="7"/>
        <v>2.7296463252821774</v>
      </c>
      <c r="AA14" s="126">
        <f t="shared" si="8"/>
        <v>1.8443161297210848</v>
      </c>
      <c r="AB14" s="126">
        <f t="shared" si="9"/>
        <v>2.1610924442647375</v>
      </c>
    </row>
    <row r="15" spans="1:40">
      <c r="A15">
        <v>14</v>
      </c>
      <c r="B15" s="119">
        <v>0.81481481481481466</v>
      </c>
      <c r="F15">
        <v>0.86831275720164591</v>
      </c>
      <c r="G15">
        <v>0.3127572016460905</v>
      </c>
      <c r="H15">
        <v>0.64609053497942381</v>
      </c>
      <c r="I15">
        <v>0.97942386831275707</v>
      </c>
      <c r="J15">
        <v>2.8806584362139918E-2</v>
      </c>
      <c r="K15">
        <v>0.36213991769547321</v>
      </c>
      <c r="L15">
        <v>0.69547325102880653</v>
      </c>
      <c r="M15">
        <v>0.13991769547325103</v>
      </c>
      <c r="N15">
        <v>0.47325102880658432</v>
      </c>
      <c r="O15">
        <v>0.80658436213991758</v>
      </c>
      <c r="R15">
        <v>2.5</v>
      </c>
      <c r="S15" s="126">
        <f t="shared" si="10"/>
        <v>3.3407257037676561</v>
      </c>
      <c r="T15" s="126">
        <f t="shared" si="1"/>
        <v>2.4382325126822955</v>
      </c>
      <c r="U15" s="126">
        <f t="shared" si="2"/>
        <v>2.6963073665853035</v>
      </c>
      <c r="V15" s="126">
        <f t="shared" si="3"/>
        <v>4.2011270355563202</v>
      </c>
      <c r="W15" s="126">
        <f t="shared" si="4"/>
        <v>1.7072240372116587</v>
      </c>
      <c r="X15" s="126">
        <f t="shared" si="5"/>
        <v>1.728834402031556</v>
      </c>
      <c r="Y15" s="126">
        <f t="shared" si="6"/>
        <v>2.4524629445906756</v>
      </c>
      <c r="Z15" s="126">
        <f t="shared" si="7"/>
        <v>1.502982867749155</v>
      </c>
      <c r="AA15" s="126">
        <f t="shared" si="8"/>
        <v>1.8617825117384217</v>
      </c>
      <c r="AB15" s="126">
        <f t="shared" si="9"/>
        <v>2.811223219407764</v>
      </c>
    </row>
    <row r="16" spans="1:40">
      <c r="A16">
        <v>15</v>
      </c>
      <c r="B16" s="119">
        <v>0.25925925925925924</v>
      </c>
      <c r="F16">
        <v>0.25102880658436211</v>
      </c>
      <c r="G16">
        <v>0.58436213991769548</v>
      </c>
      <c r="H16">
        <v>0.91769547325102874</v>
      </c>
      <c r="I16">
        <v>6.5843621399176946E-2</v>
      </c>
      <c r="J16">
        <v>0.39917695473251025</v>
      </c>
      <c r="K16">
        <v>0.73251028806584362</v>
      </c>
      <c r="L16">
        <v>0.17695473251028807</v>
      </c>
      <c r="M16">
        <v>0.51028806584362141</v>
      </c>
      <c r="N16">
        <v>0.84362139917695456</v>
      </c>
      <c r="O16">
        <v>0.28806584362139914</v>
      </c>
      <c r="R16">
        <v>2.5</v>
      </c>
      <c r="S16" s="126">
        <f t="shared" si="10"/>
        <v>1.8645756901880735</v>
      </c>
      <c r="T16" s="126">
        <f t="shared" si="1"/>
        <v>2.2745997687309174</v>
      </c>
      <c r="U16" s="126">
        <f t="shared" si="2"/>
        <v>3.4511955507642251</v>
      </c>
      <c r="V16" s="126">
        <f t="shared" si="3"/>
        <v>1.6529274553510525</v>
      </c>
      <c r="W16" s="126">
        <f t="shared" si="4"/>
        <v>1.7817704990754386</v>
      </c>
      <c r="X16" s="126">
        <f t="shared" si="5"/>
        <v>2.5689700704069454</v>
      </c>
      <c r="Y16" s="126">
        <f t="shared" si="6"/>
        <v>1.6882750810583618</v>
      </c>
      <c r="Z16" s="126">
        <f t="shared" si="7"/>
        <v>2.0315270905144862</v>
      </c>
      <c r="AA16" s="126">
        <f t="shared" si="8"/>
        <v>3.0153701852982655</v>
      </c>
      <c r="AB16" s="126">
        <f t="shared" si="9"/>
        <v>2.2161529985121926</v>
      </c>
    </row>
    <row r="17" spans="1:28">
      <c r="A17">
        <v>16</v>
      </c>
      <c r="B17" s="119">
        <v>0.59259259259259256</v>
      </c>
      <c r="F17">
        <v>0.62139917695473246</v>
      </c>
      <c r="G17">
        <v>0.95473251028806572</v>
      </c>
      <c r="H17">
        <v>0.10288065843621398</v>
      </c>
      <c r="I17">
        <v>0.43621399176954728</v>
      </c>
      <c r="J17">
        <v>0.7695473251028806</v>
      </c>
      <c r="K17">
        <v>0.2139917695473251</v>
      </c>
      <c r="L17">
        <v>0.54732510288065839</v>
      </c>
      <c r="M17">
        <v>0.88065843621399165</v>
      </c>
      <c r="N17">
        <v>0.32510288065843618</v>
      </c>
      <c r="O17">
        <v>0.65843621399176955</v>
      </c>
      <c r="R17">
        <v>2.5</v>
      </c>
      <c r="S17" s="126">
        <f t="shared" si="10"/>
        <v>2.6732206276174502</v>
      </c>
      <c r="T17" s="126">
        <f t="shared" si="1"/>
        <v>3.9013301085215799</v>
      </c>
      <c r="U17" s="126">
        <f t="shared" si="2"/>
        <v>2.0789107818360848</v>
      </c>
      <c r="V17" s="126">
        <f t="shared" si="3"/>
        <v>2.0741455683473555</v>
      </c>
      <c r="W17" s="126">
        <f t="shared" si="4"/>
        <v>2.8123649582084314</v>
      </c>
      <c r="X17" s="126">
        <f t="shared" si="5"/>
        <v>1.92144685324053</v>
      </c>
      <c r="Y17" s="126">
        <f t="shared" si="6"/>
        <v>2.2255203325707669</v>
      </c>
      <c r="Z17" s="126">
        <f t="shared" si="7"/>
        <v>3.2521231749740664</v>
      </c>
      <c r="AA17" s="126">
        <f t="shared" si="8"/>
        <v>2.4222172449760038</v>
      </c>
      <c r="AB17" s="126">
        <f t="shared" si="9"/>
        <v>2.7158163740480745</v>
      </c>
    </row>
    <row r="18" spans="1:28">
      <c r="A18">
        <v>17</v>
      </c>
      <c r="B18" s="119">
        <v>0.92592592592592582</v>
      </c>
      <c r="F18">
        <v>0.99176954732510281</v>
      </c>
      <c r="G18">
        <v>8.23045267489712E-3</v>
      </c>
      <c r="H18">
        <v>0.34156378600823045</v>
      </c>
      <c r="I18">
        <v>0.67489711934156371</v>
      </c>
      <c r="J18">
        <v>0.11934156378600823</v>
      </c>
      <c r="K18">
        <v>0.45267489711934156</v>
      </c>
      <c r="L18">
        <v>0.78600823045267476</v>
      </c>
      <c r="M18">
        <v>0.23045267489711932</v>
      </c>
      <c r="N18">
        <v>0.56378600823045266</v>
      </c>
      <c r="O18">
        <v>0.89711934156378592</v>
      </c>
      <c r="R18">
        <v>2.5</v>
      </c>
      <c r="S18" s="126">
        <f t="shared" si="10"/>
        <v>4.3965372351032697</v>
      </c>
      <c r="T18" s="126">
        <f t="shared" si="1"/>
        <v>1.393117259259629</v>
      </c>
      <c r="U18" s="126">
        <f t="shared" si="2"/>
        <v>1.5252256277807541</v>
      </c>
      <c r="V18" s="126">
        <f t="shared" si="3"/>
        <v>2.3023331432885685</v>
      </c>
      <c r="W18" s="126">
        <f t="shared" si="4"/>
        <v>1.3470308619928342</v>
      </c>
      <c r="X18" s="126">
        <f t="shared" si="5"/>
        <v>1.7406714471055218</v>
      </c>
      <c r="Y18" s="126">
        <f t="shared" si="6"/>
        <v>2.6903641240702623</v>
      </c>
      <c r="Z18" s="126">
        <f t="shared" si="7"/>
        <v>1.9057324932006632</v>
      </c>
      <c r="AA18" s="126">
        <f t="shared" si="8"/>
        <v>2.2519910216861136</v>
      </c>
      <c r="AB18" s="126">
        <f t="shared" si="9"/>
        <v>3.3372032982063011</v>
      </c>
    </row>
    <row r="19" spans="1:28">
      <c r="A19">
        <v>18</v>
      </c>
      <c r="B19" s="119">
        <v>7.407407407407407E-2</v>
      </c>
      <c r="F19">
        <v>4.5267489711934158E-2</v>
      </c>
      <c r="G19">
        <v>0.37860082304526749</v>
      </c>
      <c r="H19">
        <v>0.7119341563786008</v>
      </c>
      <c r="I19">
        <v>0.15637860082304525</v>
      </c>
      <c r="J19">
        <v>0.48971193415637859</v>
      </c>
      <c r="K19">
        <v>0.82304526748971174</v>
      </c>
      <c r="L19">
        <v>0.26748971193415638</v>
      </c>
      <c r="M19">
        <v>0.60082304526748964</v>
      </c>
      <c r="N19">
        <v>0.9341563786008229</v>
      </c>
      <c r="O19">
        <v>8.2304526748971193E-2</v>
      </c>
      <c r="R19">
        <v>2.5</v>
      </c>
      <c r="S19" s="126">
        <f t="shared" si="10"/>
        <v>1.0221854589189474</v>
      </c>
      <c r="T19" s="126">
        <f t="shared" si="1"/>
        <v>1.4204846640352125</v>
      </c>
      <c r="U19" s="126">
        <f t="shared" si="2"/>
        <v>2.3367625287628133</v>
      </c>
      <c r="V19" s="126">
        <f t="shared" si="3"/>
        <v>1.5035870573505048</v>
      </c>
      <c r="W19" s="126">
        <f t="shared" si="4"/>
        <v>1.8961577002498098</v>
      </c>
      <c r="X19" s="126">
        <f t="shared" si="5"/>
        <v>2.8793530164737229</v>
      </c>
      <c r="Y19" s="126">
        <f t="shared" si="6"/>
        <v>2.0971654885080624</v>
      </c>
      <c r="Z19" s="126">
        <f t="shared" si="7"/>
        <v>2.4264810945081519</v>
      </c>
      <c r="AA19" s="126">
        <f t="shared" si="8"/>
        <v>3.6246477065628424</v>
      </c>
      <c r="AB19" s="126">
        <f t="shared" si="9"/>
        <v>1.8372211103184173</v>
      </c>
    </row>
    <row r="20" spans="1:28">
      <c r="A20">
        <v>19</v>
      </c>
      <c r="B20" s="119">
        <v>0.40740740740740738</v>
      </c>
      <c r="F20">
        <v>0.41563786008230452</v>
      </c>
      <c r="G20">
        <v>0.74897119341563778</v>
      </c>
      <c r="H20">
        <v>0.19341563786008228</v>
      </c>
      <c r="I20">
        <v>0.52674897119341557</v>
      </c>
      <c r="J20">
        <v>0.86008230452674883</v>
      </c>
      <c r="K20">
        <v>0.30452674897119342</v>
      </c>
      <c r="L20">
        <v>0.63786008230452673</v>
      </c>
      <c r="M20">
        <v>0.97119341563785999</v>
      </c>
      <c r="N20">
        <v>2.0576131687242798E-2</v>
      </c>
      <c r="O20">
        <v>0.35390946502057613</v>
      </c>
      <c r="R20">
        <v>2.5</v>
      </c>
      <c r="S20" s="126">
        <f t="shared" si="10"/>
        <v>2.2424908531576082</v>
      </c>
      <c r="T20" s="126">
        <f t="shared" si="1"/>
        <v>2.8424550926089398</v>
      </c>
      <c r="U20" s="126">
        <f t="shared" si="2"/>
        <v>1.8765814805372192</v>
      </c>
      <c r="V20" s="126">
        <f t="shared" si="3"/>
        <v>2.1602414097103093</v>
      </c>
      <c r="W20" s="126">
        <f t="shared" si="4"/>
        <v>3.1388172207225189</v>
      </c>
      <c r="X20" s="126">
        <f t="shared" si="5"/>
        <v>2.3174736410055221</v>
      </c>
      <c r="Y20" s="126">
        <f t="shared" si="6"/>
        <v>2.6174335310403989</v>
      </c>
      <c r="Z20" s="126">
        <f t="shared" si="7"/>
        <v>4.0432393835598521</v>
      </c>
      <c r="AA20" s="126">
        <f t="shared" si="8"/>
        <v>1.5096240410666302</v>
      </c>
      <c r="AB20" s="126">
        <f t="shared" si="9"/>
        <v>1.6113402173289062</v>
      </c>
    </row>
    <row r="21" spans="1:28">
      <c r="A21">
        <v>20</v>
      </c>
      <c r="B21" s="119">
        <v>0.7407407407407407</v>
      </c>
      <c r="F21">
        <v>0.68724279835390933</v>
      </c>
      <c r="G21">
        <v>0.13168724279835389</v>
      </c>
      <c r="H21">
        <v>0.46502057613168724</v>
      </c>
      <c r="I21">
        <v>0.79835390946502049</v>
      </c>
      <c r="J21">
        <v>0.242798353909465</v>
      </c>
      <c r="K21">
        <v>0.5761316872427984</v>
      </c>
      <c r="L21">
        <v>0.90946502057613166</v>
      </c>
      <c r="M21">
        <v>5.7613168724279837E-2</v>
      </c>
      <c r="N21">
        <v>0.39094650205761317</v>
      </c>
      <c r="O21">
        <v>0.72427983539094654</v>
      </c>
      <c r="R21">
        <v>2.5</v>
      </c>
      <c r="S21" s="126">
        <f t="shared" si="10"/>
        <v>2.8207711060313279</v>
      </c>
      <c r="T21" s="126">
        <f t="shared" si="1"/>
        <v>1.6569487341236884</v>
      </c>
      <c r="U21" s="126">
        <f t="shared" si="2"/>
        <v>1.922098156303645</v>
      </c>
      <c r="V21" s="126">
        <f t="shared" si="3"/>
        <v>2.8171055267239491</v>
      </c>
      <c r="W21" s="126">
        <f t="shared" si="4"/>
        <v>2.0024474344313847</v>
      </c>
      <c r="X21" s="126">
        <f t="shared" si="5"/>
        <v>2.3265249959940122</v>
      </c>
      <c r="Y21" s="126">
        <f t="shared" si="6"/>
        <v>3.4341824134417438</v>
      </c>
      <c r="Z21" s="126">
        <f t="shared" si="7"/>
        <v>1.5885799282332285</v>
      </c>
      <c r="AA21" s="126">
        <f t="shared" si="8"/>
        <v>1.731799380253096</v>
      </c>
      <c r="AB21" s="126">
        <f t="shared" si="9"/>
        <v>2.523383339231422</v>
      </c>
    </row>
    <row r="22" spans="1:28">
      <c r="A22">
        <v>21</v>
      </c>
      <c r="B22" s="119">
        <v>0.18518518518518517</v>
      </c>
      <c r="F22">
        <v>0.16872427983539093</v>
      </c>
      <c r="G22">
        <v>0.50205761316872421</v>
      </c>
      <c r="H22">
        <v>0.83539094650205747</v>
      </c>
      <c r="I22">
        <v>0.27983539094650206</v>
      </c>
      <c r="J22">
        <v>0.61316872427983538</v>
      </c>
      <c r="K22">
        <v>0.94650205761316863</v>
      </c>
      <c r="L22">
        <v>9.4650205761316872E-2</v>
      </c>
      <c r="M22">
        <v>0.4279835390946502</v>
      </c>
      <c r="N22">
        <v>0.76131687242798352</v>
      </c>
      <c r="O22">
        <v>0.20576131687242796</v>
      </c>
      <c r="R22">
        <v>2.5</v>
      </c>
      <c r="S22" s="126">
        <f t="shared" si="10"/>
        <v>1.6270638199282297</v>
      </c>
      <c r="T22" s="126">
        <f t="shared" si="1"/>
        <v>1.983743782083816</v>
      </c>
      <c r="U22" s="126">
        <f t="shared" si="2"/>
        <v>2.9635061806287055</v>
      </c>
      <c r="V22" s="126">
        <f t="shared" si="3"/>
        <v>2.1700545859007541</v>
      </c>
      <c r="W22" s="126">
        <f t="shared" si="4"/>
        <v>2.4895990049570065</v>
      </c>
      <c r="X22" s="126">
        <f t="shared" si="5"/>
        <v>3.7424488536566369</v>
      </c>
      <c r="Y22" s="126">
        <f t="shared" si="6"/>
        <v>1.9600072867659286</v>
      </c>
      <c r="Z22" s="126">
        <f t="shared" si="7"/>
        <v>1.9971174373510314</v>
      </c>
      <c r="AA22" s="126">
        <f t="shared" si="8"/>
        <v>2.7515361543613039</v>
      </c>
      <c r="AB22" s="126">
        <f t="shared" si="9"/>
        <v>1.8673096699695835</v>
      </c>
    </row>
    <row r="23" spans="1:28">
      <c r="A23">
        <v>22</v>
      </c>
      <c r="B23" s="119">
        <v>0.51851851851851849</v>
      </c>
      <c r="F23">
        <v>0.53909465020576119</v>
      </c>
      <c r="G23">
        <v>0.87242798353909445</v>
      </c>
      <c r="H23">
        <v>0.3168724279835391</v>
      </c>
      <c r="I23">
        <v>0.65020576131687235</v>
      </c>
      <c r="J23">
        <v>0.98353909465020561</v>
      </c>
      <c r="K23">
        <v>3.292181069958848E-2</v>
      </c>
      <c r="L23">
        <v>0.36625514403292181</v>
      </c>
      <c r="M23">
        <v>0.69958847736625507</v>
      </c>
      <c r="N23">
        <v>0.14403292181069957</v>
      </c>
      <c r="O23">
        <v>0.47736625514403291</v>
      </c>
      <c r="R23">
        <v>2.5</v>
      </c>
      <c r="S23" s="126">
        <f t="shared" si="10"/>
        <v>2.4991841415539384</v>
      </c>
      <c r="T23" s="126">
        <f t="shared" si="1"/>
        <v>3.356393272553905</v>
      </c>
      <c r="U23" s="126">
        <f t="shared" si="2"/>
        <v>2.4556643578827826</v>
      </c>
      <c r="V23" s="126">
        <f t="shared" si="3"/>
        <v>2.7142149028318903</v>
      </c>
      <c r="W23" s="126">
        <f t="shared" si="4"/>
        <v>4.2852195652103617</v>
      </c>
      <c r="X23" s="126">
        <f t="shared" si="5"/>
        <v>1.7982701018652669</v>
      </c>
      <c r="Y23" s="126">
        <f t="shared" si="6"/>
        <v>1.783631083247089</v>
      </c>
      <c r="Z23" s="126">
        <f t="shared" si="7"/>
        <v>2.4897300496940193</v>
      </c>
      <c r="AA23" s="126">
        <f t="shared" si="8"/>
        <v>1.5368195266038391</v>
      </c>
      <c r="AB23" s="126">
        <f t="shared" si="9"/>
        <v>1.8873132815279194</v>
      </c>
    </row>
    <row r="24" spans="1:28">
      <c r="A24">
        <v>23</v>
      </c>
      <c r="B24" s="119">
        <v>0.85185185185185175</v>
      </c>
      <c r="F24">
        <v>0.81069958847736612</v>
      </c>
      <c r="G24">
        <v>0.2551440329218107</v>
      </c>
      <c r="H24">
        <v>0.58847736625514402</v>
      </c>
      <c r="I24">
        <v>0.92181069958847728</v>
      </c>
      <c r="J24">
        <v>6.9958847736625515E-2</v>
      </c>
      <c r="K24">
        <v>0.40329218106995884</v>
      </c>
      <c r="L24">
        <v>0.73662551440329216</v>
      </c>
      <c r="M24">
        <v>0.18106995884773661</v>
      </c>
      <c r="N24">
        <v>0.51440329218106995</v>
      </c>
      <c r="O24">
        <v>0.8477366255144031</v>
      </c>
      <c r="R24">
        <v>2.5</v>
      </c>
      <c r="S24" s="126">
        <f t="shared" si="10"/>
        <v>3.1444450775364658</v>
      </c>
      <c r="T24" s="126">
        <f t="shared" si="1"/>
        <v>2.1990861141141553</v>
      </c>
      <c r="U24" s="126">
        <f t="shared" si="2"/>
        <v>2.4514380926778299</v>
      </c>
      <c r="V24" s="126">
        <f t="shared" si="3"/>
        <v>3.5628562141491997</v>
      </c>
      <c r="W24" s="126">
        <f t="shared" si="4"/>
        <v>1.7349336800320885</v>
      </c>
      <c r="X24" s="126">
        <f t="shared" si="5"/>
        <v>1.8317653803645662</v>
      </c>
      <c r="Y24" s="126">
        <f t="shared" si="6"/>
        <v>2.604451760175162</v>
      </c>
      <c r="Z24" s="126">
        <f t="shared" si="7"/>
        <v>1.7190887121104128</v>
      </c>
      <c r="AA24" s="126">
        <f t="shared" si="8"/>
        <v>2.055526230177517</v>
      </c>
      <c r="AB24" s="126">
        <f t="shared" si="9"/>
        <v>3.0417183740426408</v>
      </c>
    </row>
    <row r="25" spans="1:28">
      <c r="A25">
        <v>24</v>
      </c>
      <c r="B25" s="119">
        <v>0.29629629629629628</v>
      </c>
      <c r="F25">
        <v>0.29218106995884774</v>
      </c>
      <c r="G25">
        <v>0.625514403292181</v>
      </c>
      <c r="H25">
        <v>0.95884773662551426</v>
      </c>
      <c r="I25">
        <v>0.10699588477366255</v>
      </c>
      <c r="J25">
        <v>0.44032921810699588</v>
      </c>
      <c r="K25">
        <v>0.77366255144032914</v>
      </c>
      <c r="L25">
        <v>0.21810699588477364</v>
      </c>
      <c r="M25">
        <v>0.55144032921810693</v>
      </c>
      <c r="N25">
        <v>0.88477366255144019</v>
      </c>
      <c r="O25">
        <v>0.32921810699588477</v>
      </c>
      <c r="R25">
        <v>2.5</v>
      </c>
      <c r="S25" s="126">
        <f t="shared" si="10"/>
        <v>1.9670419200625007</v>
      </c>
      <c r="T25" s="126">
        <f t="shared" si="1"/>
        <v>2.4142955941194444</v>
      </c>
      <c r="U25" s="126">
        <f t="shared" si="2"/>
        <v>3.8082163433641298</v>
      </c>
      <c r="V25" s="126">
        <f t="shared" si="3"/>
        <v>2.0507879181410447</v>
      </c>
      <c r="W25" s="126">
        <f t="shared" si="4"/>
        <v>2.0686224439191867</v>
      </c>
      <c r="X25" s="126">
        <f t="shared" si="5"/>
        <v>2.8208113989329453</v>
      </c>
      <c r="Y25" s="126">
        <f t="shared" si="6"/>
        <v>1.9372760272250564</v>
      </c>
      <c r="Z25" s="126">
        <f t="shared" si="7"/>
        <v>2.2420499805906702</v>
      </c>
      <c r="AA25" s="126">
        <f t="shared" si="8"/>
        <v>3.2776766422914116</v>
      </c>
      <c r="AB25" s="126">
        <f t="shared" si="9"/>
        <v>2.4444657188558585</v>
      </c>
    </row>
    <row r="26" spans="1:28">
      <c r="A26">
        <v>25</v>
      </c>
      <c r="B26" s="119">
        <v>0.62962962962962965</v>
      </c>
      <c r="F26">
        <v>0.66255144032921809</v>
      </c>
      <c r="G26">
        <v>0.99588477366255135</v>
      </c>
      <c r="H26">
        <v>1.3717421124828531E-3</v>
      </c>
      <c r="I26">
        <v>0.33470507544581618</v>
      </c>
      <c r="J26">
        <v>0.66803840877914944</v>
      </c>
      <c r="K26">
        <v>0.11248285322359396</v>
      </c>
      <c r="L26">
        <v>0.44581618655692729</v>
      </c>
      <c r="M26">
        <v>0.77914951989026049</v>
      </c>
      <c r="N26">
        <v>0.22359396433470508</v>
      </c>
      <c r="O26">
        <v>0.55692729766803839</v>
      </c>
      <c r="R26">
        <v>2.5</v>
      </c>
      <c r="S26" s="126">
        <f t="shared" si="10"/>
        <v>2.7641787036709271</v>
      </c>
      <c r="T26" s="126">
        <f t="shared" si="1"/>
        <v>4.73051029751384</v>
      </c>
      <c r="U26" s="126">
        <f t="shared" si="2"/>
        <v>1.0689175143186747</v>
      </c>
      <c r="V26" s="126">
        <f t="shared" si="3"/>
        <v>1.3468106866485194</v>
      </c>
      <c r="W26" s="126">
        <f t="shared" si="4"/>
        <v>2.1970126045136382</v>
      </c>
      <c r="X26" s="126">
        <f t="shared" si="5"/>
        <v>1.2651094380999353</v>
      </c>
      <c r="Y26" s="126">
        <f t="shared" si="6"/>
        <v>1.6852015456811029</v>
      </c>
      <c r="Z26" s="126">
        <f t="shared" si="7"/>
        <v>2.6432482178165797</v>
      </c>
      <c r="AA26" s="126">
        <f t="shared" si="8"/>
        <v>1.8632840146080309</v>
      </c>
      <c r="AB26" s="126">
        <f t="shared" si="9"/>
        <v>2.2163115861245992</v>
      </c>
    </row>
    <row r="27" spans="1:28">
      <c r="A27">
        <v>26</v>
      </c>
      <c r="B27" s="119">
        <v>0.96296296296296291</v>
      </c>
      <c r="F27">
        <v>0.89026063100137165</v>
      </c>
      <c r="G27">
        <v>3.8408779149519887E-2</v>
      </c>
      <c r="H27">
        <v>0.37174211248285322</v>
      </c>
      <c r="I27">
        <v>0.70507544581618653</v>
      </c>
      <c r="J27">
        <v>0.14951989026063101</v>
      </c>
      <c r="K27">
        <v>0.48285322359396432</v>
      </c>
      <c r="L27">
        <v>0.81618655692729747</v>
      </c>
      <c r="M27">
        <v>0.26063100137174211</v>
      </c>
      <c r="N27">
        <v>0.59396433470507537</v>
      </c>
      <c r="O27">
        <v>0.92729766803840863</v>
      </c>
      <c r="R27">
        <v>2.5</v>
      </c>
      <c r="S27" s="126">
        <f t="shared" si="10"/>
        <v>3.4310120395747683</v>
      </c>
      <c r="T27" s="126">
        <f t="shared" si="1"/>
        <v>1.4267055503716524</v>
      </c>
      <c r="U27" s="126">
        <f t="shared" si="2"/>
        <v>1.6088797591211248</v>
      </c>
      <c r="V27" s="126">
        <f t="shared" si="3"/>
        <v>2.4149627274352916</v>
      </c>
      <c r="W27" s="126">
        <f t="shared" si="4"/>
        <v>1.518937241118596</v>
      </c>
      <c r="X27" s="126">
        <f t="shared" si="5"/>
        <v>1.8896839811601327</v>
      </c>
      <c r="Y27" s="126">
        <f t="shared" si="6"/>
        <v>2.8545675836836453</v>
      </c>
      <c r="Z27" s="126">
        <f t="shared" si="7"/>
        <v>2.0674053333095763</v>
      </c>
      <c r="AA27" s="126">
        <f t="shared" si="8"/>
        <v>2.3969054634489426</v>
      </c>
      <c r="AB27" s="126">
        <f t="shared" si="9"/>
        <v>3.567284991139656</v>
      </c>
    </row>
    <row r="28" spans="1:28">
      <c r="A28">
        <v>27</v>
      </c>
      <c r="B28" s="119">
        <v>1.2345679012345678E-2</v>
      </c>
      <c r="F28">
        <v>7.5445816186556922E-2</v>
      </c>
      <c r="G28">
        <v>0.40877914951989025</v>
      </c>
      <c r="H28">
        <v>0.74211248285322351</v>
      </c>
      <c r="I28">
        <v>0.18655692729766804</v>
      </c>
      <c r="J28">
        <v>0.5198902606310013</v>
      </c>
      <c r="K28">
        <v>0.85322359396433456</v>
      </c>
      <c r="L28">
        <v>0.29766803840877915</v>
      </c>
      <c r="M28">
        <v>0.63100137174211246</v>
      </c>
      <c r="N28">
        <v>0.96433470507544572</v>
      </c>
      <c r="O28">
        <v>1.3717421124828532E-2</v>
      </c>
      <c r="R28">
        <v>2.5</v>
      </c>
      <c r="S28" s="126">
        <f t="shared" si="10"/>
        <v>1.233493650441174</v>
      </c>
      <c r="T28" s="126">
        <f t="shared" si="1"/>
        <v>1.5914110565425306</v>
      </c>
      <c r="U28" s="126">
        <f t="shared" si="2"/>
        <v>2.4975848987835656</v>
      </c>
      <c r="V28" s="126">
        <f t="shared" si="3"/>
        <v>1.6824007073830185</v>
      </c>
      <c r="W28" s="126">
        <f t="shared" si="4"/>
        <v>2.0484415446867899</v>
      </c>
      <c r="X28" s="126">
        <f t="shared" si="5"/>
        <v>3.0576107596193749</v>
      </c>
      <c r="Y28" s="126">
        <f t="shared" si="6"/>
        <v>2.2604153687744972</v>
      </c>
      <c r="Z28" s="126">
        <f t="shared" si="7"/>
        <v>2.5737133080086112</v>
      </c>
      <c r="AA28" s="126">
        <f t="shared" si="8"/>
        <v>3.9426928860521722</v>
      </c>
      <c r="AB28" s="126">
        <f t="shared" si="9"/>
        <v>1.3244145256445585</v>
      </c>
    </row>
    <row r="29" spans="1:28">
      <c r="A29">
        <v>28</v>
      </c>
      <c r="B29" s="119">
        <v>0.34567901234567899</v>
      </c>
      <c r="F29">
        <v>0.34705075445816186</v>
      </c>
      <c r="G29">
        <v>0.68038408779149506</v>
      </c>
      <c r="H29">
        <v>0.12482853223593963</v>
      </c>
      <c r="I29">
        <v>0.45816186556927296</v>
      </c>
      <c r="J29">
        <v>0.79149519890260622</v>
      </c>
      <c r="K29">
        <v>0.23593964334705075</v>
      </c>
      <c r="L29">
        <v>0.56927297668038412</v>
      </c>
      <c r="M29">
        <v>0.90260631001371738</v>
      </c>
      <c r="N29">
        <v>5.0754458161865565E-2</v>
      </c>
      <c r="O29">
        <v>0.38408779149519889</v>
      </c>
      <c r="R29">
        <v>2.5</v>
      </c>
      <c r="S29" s="126">
        <f t="shared" si="10"/>
        <v>2.0938376102780309</v>
      </c>
      <c r="T29" s="126">
        <f t="shared" si="1"/>
        <v>2.600734281817751</v>
      </c>
      <c r="U29" s="126">
        <f t="shared" si="2"/>
        <v>1.5193609662269618</v>
      </c>
      <c r="V29" s="126">
        <f t="shared" si="3"/>
        <v>1.8387001295166714</v>
      </c>
      <c r="W29" s="126">
        <f t="shared" si="4"/>
        <v>2.7552824582144915</v>
      </c>
      <c r="X29" s="126">
        <f t="shared" si="5"/>
        <v>1.9531509164611738</v>
      </c>
      <c r="Y29" s="126">
        <f t="shared" si="6"/>
        <v>2.2873280914574683</v>
      </c>
      <c r="Z29" s="126">
        <f t="shared" si="7"/>
        <v>3.3807298301018545</v>
      </c>
      <c r="AA29" s="126">
        <f t="shared" si="8"/>
        <v>1.5102046025987788</v>
      </c>
      <c r="AB29" s="126">
        <f t="shared" si="9"/>
        <v>1.6776364526526419</v>
      </c>
    </row>
    <row r="30" spans="1:28">
      <c r="A30">
        <v>29</v>
      </c>
      <c r="B30" s="119">
        <v>0.67901234567901225</v>
      </c>
      <c r="F30">
        <v>0.71742112482853226</v>
      </c>
      <c r="G30">
        <v>0.16186556927297668</v>
      </c>
      <c r="H30">
        <v>0.49519890260631</v>
      </c>
      <c r="I30">
        <v>0.8285322359396432</v>
      </c>
      <c r="J30">
        <v>0.27297668038408779</v>
      </c>
      <c r="K30">
        <v>0.6063100137174211</v>
      </c>
      <c r="L30">
        <v>0.93964334705075436</v>
      </c>
      <c r="M30">
        <v>8.77914951989026E-2</v>
      </c>
      <c r="N30">
        <v>0.42112482853223593</v>
      </c>
      <c r="O30">
        <v>0.75445816186556924</v>
      </c>
      <c r="R30">
        <v>2.5</v>
      </c>
      <c r="S30" s="126">
        <f t="shared" si="10"/>
        <v>2.8926503172993052</v>
      </c>
      <c r="T30" s="126">
        <f t="shared" si="1"/>
        <v>1.8016447745038027</v>
      </c>
      <c r="U30" s="126">
        <f t="shared" si="2"/>
        <v>2.0573077536227591</v>
      </c>
      <c r="V30" s="126">
        <f t="shared" si="3"/>
        <v>2.977954966287776</v>
      </c>
      <c r="W30" s="126">
        <f t="shared" si="4"/>
        <v>2.1604045147859816</v>
      </c>
      <c r="X30" s="126">
        <f t="shared" si="5"/>
        <v>2.4700071957062981</v>
      </c>
      <c r="Y30" s="126">
        <f t="shared" si="6"/>
        <v>3.683066600718286</v>
      </c>
      <c r="Z30" s="126">
        <f t="shared" si="7"/>
        <v>1.8956608347392172</v>
      </c>
      <c r="AA30" s="126">
        <f t="shared" si="8"/>
        <v>1.9503375759491641</v>
      </c>
      <c r="AB30" s="126">
        <f t="shared" si="9"/>
        <v>2.7099130447584407</v>
      </c>
    </row>
    <row r="31" spans="1:28">
      <c r="A31">
        <v>30</v>
      </c>
      <c r="B31" s="119">
        <v>0.12345679012345678</v>
      </c>
      <c r="F31">
        <v>0.19890260631001372</v>
      </c>
      <c r="G31">
        <v>0.53223593964334692</v>
      </c>
      <c r="H31">
        <v>0.86556927297668018</v>
      </c>
      <c r="I31">
        <v>0.31001371742112482</v>
      </c>
      <c r="J31">
        <v>0.64334705075445808</v>
      </c>
      <c r="K31">
        <v>0.97668038408779134</v>
      </c>
      <c r="L31">
        <v>2.6063100137174208E-2</v>
      </c>
      <c r="M31">
        <v>0.35939643347050754</v>
      </c>
      <c r="N31">
        <v>0.6927297668038408</v>
      </c>
      <c r="O31">
        <v>0.13717421124828533</v>
      </c>
      <c r="R31">
        <v>2.5</v>
      </c>
      <c r="S31" s="126">
        <f t="shared" si="10"/>
        <v>1.7208198456181567</v>
      </c>
      <c r="T31" s="126">
        <f t="shared" si="1"/>
        <v>2.0933309271469898</v>
      </c>
      <c r="U31" s="126">
        <f t="shared" si="2"/>
        <v>3.1258072772790326</v>
      </c>
      <c r="V31" s="126">
        <f t="shared" si="3"/>
        <v>2.3238128808744669</v>
      </c>
      <c r="W31" s="126">
        <f t="shared" si="4"/>
        <v>2.6327236517047599</v>
      </c>
      <c r="X31" s="126">
        <f t="shared" si="5"/>
        <v>4.1259248891450513</v>
      </c>
      <c r="Y31" s="126">
        <f t="shared" si="6"/>
        <v>1.6335814189847553</v>
      </c>
      <c r="Z31" s="126">
        <f t="shared" si="7"/>
        <v>1.6857776077104814</v>
      </c>
      <c r="AA31" s="126">
        <f t="shared" si="8"/>
        <v>2.424370923353715</v>
      </c>
      <c r="AB31" s="126">
        <f t="shared" si="9"/>
        <v>1.4786246177152385</v>
      </c>
    </row>
    <row r="32" spans="1:28">
      <c r="A32">
        <v>31</v>
      </c>
      <c r="B32" s="119">
        <v>0.4567901234567901</v>
      </c>
      <c r="F32">
        <v>0.47050754458161864</v>
      </c>
      <c r="G32">
        <v>0.80384087791495185</v>
      </c>
      <c r="H32">
        <v>0.24828532235939643</v>
      </c>
      <c r="I32">
        <v>0.58161865569272975</v>
      </c>
      <c r="J32">
        <v>0.91495198902606301</v>
      </c>
      <c r="K32">
        <v>6.3100137174211243E-2</v>
      </c>
      <c r="L32">
        <v>0.39643347050754457</v>
      </c>
      <c r="M32">
        <v>0.72976680384087789</v>
      </c>
      <c r="N32">
        <v>0.17421124828532236</v>
      </c>
      <c r="O32">
        <v>0.50754458161865568</v>
      </c>
      <c r="R32">
        <v>2.5</v>
      </c>
      <c r="S32" s="126">
        <f t="shared" si="10"/>
        <v>2.3571971159110121</v>
      </c>
      <c r="T32" s="126">
        <f t="shared" si="1"/>
        <v>3.052005769166434</v>
      </c>
      <c r="U32" s="126">
        <f t="shared" si="2"/>
        <v>2.1348877488232443</v>
      </c>
      <c r="V32" s="126">
        <f t="shared" si="3"/>
        <v>2.4046606230539247</v>
      </c>
      <c r="W32" s="126">
        <f t="shared" si="4"/>
        <v>3.5018491438472203</v>
      </c>
      <c r="X32" s="126">
        <f t="shared" si="5"/>
        <v>1.6604240796129754</v>
      </c>
      <c r="Y32" s="126">
        <f t="shared" si="6"/>
        <v>1.7796727062047242</v>
      </c>
      <c r="Z32" s="126">
        <f t="shared" si="7"/>
        <v>2.5610575115836234</v>
      </c>
      <c r="AA32" s="126">
        <f t="shared" si="8"/>
        <v>1.6755383205849697</v>
      </c>
      <c r="AB32" s="126">
        <f t="shared" si="9"/>
        <v>2.0194521033386099</v>
      </c>
    </row>
    <row r="33" spans="1:28">
      <c r="A33">
        <v>32</v>
      </c>
      <c r="B33" s="119">
        <v>0.79012345679012341</v>
      </c>
      <c r="F33">
        <v>0.84087791495198883</v>
      </c>
      <c r="G33">
        <v>0.28532235939643347</v>
      </c>
      <c r="H33">
        <v>0.61865569272976673</v>
      </c>
      <c r="I33">
        <v>0.95198902606309999</v>
      </c>
      <c r="J33">
        <v>0.10013717421124828</v>
      </c>
      <c r="K33">
        <v>0.43347050754458161</v>
      </c>
      <c r="L33">
        <v>0.76680384087791487</v>
      </c>
      <c r="M33">
        <v>0.2112482853223594</v>
      </c>
      <c r="N33">
        <v>0.54458161865569266</v>
      </c>
      <c r="O33">
        <v>0.87791495198902592</v>
      </c>
      <c r="R33">
        <v>2.5</v>
      </c>
      <c r="S33" s="126">
        <f t="shared" si="10"/>
        <v>3.2414376956533397</v>
      </c>
      <c r="T33" s="126">
        <f t="shared" si="1"/>
        <v>2.3231280954554179</v>
      </c>
      <c r="U33" s="126">
        <f t="shared" si="2"/>
        <v>2.5783816735144902</v>
      </c>
      <c r="V33" s="126">
        <f t="shared" si="3"/>
        <v>3.8304628548248161</v>
      </c>
      <c r="W33" s="126">
        <f t="shared" si="4"/>
        <v>2.0305387028048369</v>
      </c>
      <c r="X33" s="126">
        <f t="shared" si="5"/>
        <v>2.0440848370819276</v>
      </c>
      <c r="Y33" s="126">
        <f t="shared" si="6"/>
        <v>2.7898370525989291</v>
      </c>
      <c r="Z33" s="126">
        <f t="shared" si="7"/>
        <v>1.9023295383569905</v>
      </c>
      <c r="AA33" s="126">
        <f t="shared" si="8"/>
        <v>2.2102019724580595</v>
      </c>
      <c r="AB33" s="126">
        <f t="shared" si="9"/>
        <v>3.2331591252417669</v>
      </c>
    </row>
    <row r="34" spans="1:28">
      <c r="A34">
        <v>33</v>
      </c>
      <c r="B34" s="119">
        <v>0.23456790123456789</v>
      </c>
      <c r="F34">
        <v>0.3223593964334705</v>
      </c>
      <c r="G34">
        <v>0.65569272976680382</v>
      </c>
      <c r="H34">
        <v>0.98902606310013708</v>
      </c>
      <c r="I34">
        <v>5.4869684499314134E-3</v>
      </c>
      <c r="J34">
        <v>0.33882030178326472</v>
      </c>
      <c r="K34">
        <v>0.67215363511659798</v>
      </c>
      <c r="L34">
        <v>0.11659807956104251</v>
      </c>
      <c r="M34">
        <v>0.44993141289437583</v>
      </c>
      <c r="N34">
        <v>0.78326474622770903</v>
      </c>
      <c r="O34">
        <v>0.22770919067215364</v>
      </c>
      <c r="R34">
        <v>2.5</v>
      </c>
      <c r="S34" s="126">
        <f t="shared" si="10"/>
        <v>2.0379028833493873</v>
      </c>
      <c r="T34" s="126">
        <f t="shared" si="1"/>
        <v>2.5165044399695611</v>
      </c>
      <c r="U34" s="126">
        <f t="shared" si="2"/>
        <v>4.3163610512901451</v>
      </c>
      <c r="V34" s="126">
        <f t="shared" si="3"/>
        <v>1.2332288929156086</v>
      </c>
      <c r="W34" s="126">
        <f t="shared" si="4"/>
        <v>1.4386913890297117</v>
      </c>
      <c r="X34" s="126">
        <f t="shared" si="5"/>
        <v>2.2525655087242509</v>
      </c>
      <c r="Y34" s="126">
        <f t="shared" si="6"/>
        <v>1.3105683415523224</v>
      </c>
      <c r="Z34" s="126">
        <f t="shared" si="7"/>
        <v>1.7166306824339623</v>
      </c>
      <c r="AA34" s="126">
        <f t="shared" si="8"/>
        <v>2.6705444038155211</v>
      </c>
      <c r="AB34" s="126">
        <f t="shared" si="9"/>
        <v>1.888302178669258</v>
      </c>
    </row>
    <row r="35" spans="1:28">
      <c r="A35">
        <v>34</v>
      </c>
      <c r="B35" s="119">
        <v>0.56790123456790131</v>
      </c>
      <c r="F35">
        <v>0.56104252400548693</v>
      </c>
      <c r="G35">
        <v>0.89437585733882019</v>
      </c>
      <c r="H35">
        <v>4.2524005486968448E-2</v>
      </c>
      <c r="I35">
        <v>0.37585733882030176</v>
      </c>
      <c r="J35">
        <v>0.70919067215363507</v>
      </c>
      <c r="K35">
        <v>0.15363511659807957</v>
      </c>
      <c r="L35">
        <v>0.48696844993141286</v>
      </c>
      <c r="M35">
        <v>0.82030178326474601</v>
      </c>
      <c r="N35">
        <v>0.26474622770919065</v>
      </c>
      <c r="O35">
        <v>0.59807956104252391</v>
      </c>
      <c r="R35">
        <v>2.5</v>
      </c>
      <c r="S35" s="126">
        <f t="shared" si="10"/>
        <v>2.5449273734697639</v>
      </c>
      <c r="T35" s="126">
        <f t="shared" si="1"/>
        <v>3.4719236916084864</v>
      </c>
      <c r="U35" s="126">
        <f t="shared" si="2"/>
        <v>1.4863127504525466</v>
      </c>
      <c r="V35" s="126">
        <f t="shared" si="3"/>
        <v>1.6477986369229902</v>
      </c>
      <c r="W35" s="126">
        <f t="shared" si="4"/>
        <v>2.444393905604719</v>
      </c>
      <c r="X35" s="126">
        <f t="shared" si="5"/>
        <v>1.5481865129754611</v>
      </c>
      <c r="Y35" s="126">
        <f t="shared" si="6"/>
        <v>1.9128988885708591</v>
      </c>
      <c r="Z35" s="126">
        <f t="shared" si="7"/>
        <v>2.8790926387894511</v>
      </c>
      <c r="AA35" s="126">
        <f t="shared" si="8"/>
        <v>2.0901408501756844</v>
      </c>
      <c r="AB35" s="126">
        <f t="shared" si="9"/>
        <v>2.4170955527271452</v>
      </c>
    </row>
    <row r="36" spans="1:28">
      <c r="A36">
        <v>35</v>
      </c>
      <c r="B36" s="119">
        <v>0.90123456790123457</v>
      </c>
      <c r="F36">
        <v>0.93141289437585717</v>
      </c>
      <c r="G36">
        <v>7.9561042524005476E-2</v>
      </c>
      <c r="H36">
        <v>0.41289437585733879</v>
      </c>
      <c r="I36">
        <v>0.74622770919067205</v>
      </c>
      <c r="J36">
        <v>0.19067215363511661</v>
      </c>
      <c r="K36">
        <v>0.52400548696844984</v>
      </c>
      <c r="L36">
        <v>0.8573388203017831</v>
      </c>
      <c r="M36">
        <v>0.30178326474622769</v>
      </c>
      <c r="N36">
        <v>0.635116598079561</v>
      </c>
      <c r="O36">
        <v>0.96844993141289426</v>
      </c>
      <c r="R36">
        <v>2.5</v>
      </c>
      <c r="S36" s="126">
        <f t="shared" si="10"/>
        <v>3.6442074722801747</v>
      </c>
      <c r="T36" s="126">
        <f t="shared" si="1"/>
        <v>1.8319626879294</v>
      </c>
      <c r="U36" s="126">
        <f t="shared" si="2"/>
        <v>1.9009286166395687</v>
      </c>
      <c r="V36" s="126">
        <f t="shared" si="3"/>
        <v>2.6637009613670144</v>
      </c>
      <c r="W36" s="126">
        <f t="shared" si="4"/>
        <v>1.7784554375336692</v>
      </c>
      <c r="X36" s="126">
        <f t="shared" si="5"/>
        <v>2.1052396832006632</v>
      </c>
      <c r="Y36" s="126">
        <f t="shared" si="6"/>
        <v>3.1010697089498458</v>
      </c>
      <c r="Z36" s="126">
        <f t="shared" si="7"/>
        <v>2.2920241516475075</v>
      </c>
      <c r="AA36" s="126">
        <f t="shared" si="8"/>
        <v>2.5986141861692911</v>
      </c>
      <c r="AB36" s="126">
        <f t="shared" si="9"/>
        <v>4.0006695578340459</v>
      </c>
    </row>
    <row r="37" spans="1:28">
      <c r="A37">
        <v>36</v>
      </c>
      <c r="B37" s="119">
        <v>4.9382716049382713E-2</v>
      </c>
      <c r="F37">
        <v>1.7832647462277092E-2</v>
      </c>
      <c r="G37">
        <v>0.3511659807956104</v>
      </c>
      <c r="H37">
        <v>0.6844993141289436</v>
      </c>
      <c r="I37">
        <v>0.12894375857338822</v>
      </c>
      <c r="J37">
        <v>0.4622770919067215</v>
      </c>
      <c r="K37">
        <v>0.79561042524005476</v>
      </c>
      <c r="L37">
        <v>0.24005486968449932</v>
      </c>
      <c r="M37">
        <v>0.57338820301783266</v>
      </c>
      <c r="N37">
        <v>0.90672153635116592</v>
      </c>
      <c r="O37">
        <v>5.4869684499314127E-2</v>
      </c>
      <c r="R37">
        <v>2.5</v>
      </c>
      <c r="S37" s="126">
        <f t="shared" si="10"/>
        <v>0.68555116420979889</v>
      </c>
      <c r="T37" s="126">
        <f t="shared" si="1"/>
        <v>1.1910679572011764</v>
      </c>
      <c r="U37" s="126">
        <f t="shared" si="2"/>
        <v>2.1565243887196317</v>
      </c>
      <c r="V37" s="126">
        <f t="shared" si="3"/>
        <v>1.3124193396090251</v>
      </c>
      <c r="W37" s="126">
        <f t="shared" si="4"/>
        <v>1.7432419468276168</v>
      </c>
      <c r="X37" s="126">
        <f t="shared" si="5"/>
        <v>2.7192019090980764</v>
      </c>
      <c r="Y37" s="126">
        <f t="shared" si="6"/>
        <v>1.9459855353108635</v>
      </c>
      <c r="Z37" s="126">
        <f t="shared" si="7"/>
        <v>2.2923734923134758</v>
      </c>
      <c r="AA37" s="126">
        <f t="shared" si="8"/>
        <v>3.4032977283792141</v>
      </c>
      <c r="AB37" s="126">
        <f t="shared" si="9"/>
        <v>1.5530680489602382</v>
      </c>
    </row>
    <row r="38" spans="1:28">
      <c r="A38">
        <v>37</v>
      </c>
      <c r="B38" s="119">
        <v>0.38271604938271603</v>
      </c>
      <c r="F38">
        <v>0.38820301783264743</v>
      </c>
      <c r="G38">
        <v>0.7215363511659808</v>
      </c>
      <c r="H38">
        <v>0.16598079561042525</v>
      </c>
      <c r="I38">
        <v>0.49931412894375854</v>
      </c>
      <c r="J38">
        <v>0.83264746227709174</v>
      </c>
      <c r="K38">
        <v>0.27709190672153633</v>
      </c>
      <c r="L38">
        <v>0.61042524005486964</v>
      </c>
      <c r="M38">
        <v>0.9437585733882029</v>
      </c>
      <c r="N38">
        <v>9.1906721536351155E-2</v>
      </c>
      <c r="O38">
        <v>0.42524005486968447</v>
      </c>
      <c r="R38">
        <v>2.5</v>
      </c>
      <c r="S38" s="126">
        <f t="shared" si="10"/>
        <v>2.1839795636103903</v>
      </c>
      <c r="T38" s="126">
        <f t="shared" si="1"/>
        <v>2.7438926653496694</v>
      </c>
      <c r="U38" s="126">
        <f t="shared" si="2"/>
        <v>1.7406113954446774</v>
      </c>
      <c r="V38" s="126">
        <f t="shared" si="3"/>
        <v>2.0351407108762865</v>
      </c>
      <c r="W38" s="126">
        <f t="shared" si="4"/>
        <v>2.9802572915625714</v>
      </c>
      <c r="X38" s="126">
        <f t="shared" si="5"/>
        <v>2.1717335332184886</v>
      </c>
      <c r="Y38" s="126">
        <f t="shared" si="6"/>
        <v>2.4845373386513048</v>
      </c>
      <c r="Z38" s="126">
        <f t="shared" si="7"/>
        <v>3.7195220102612243</v>
      </c>
      <c r="AA38" s="126">
        <f t="shared" si="8"/>
        <v>1.9349136787575751</v>
      </c>
      <c r="AB38" s="126">
        <f t="shared" si="9"/>
        <v>1.9787354084522559</v>
      </c>
    </row>
    <row r="39" spans="1:28">
      <c r="A39">
        <v>38</v>
      </c>
      <c r="B39" s="119">
        <v>0.71604938271604945</v>
      </c>
      <c r="F39">
        <v>0.75857338820301778</v>
      </c>
      <c r="G39">
        <v>0.20301783264746229</v>
      </c>
      <c r="H39">
        <v>0.53635116598079546</v>
      </c>
      <c r="I39">
        <v>0.86968449931412872</v>
      </c>
      <c r="J39">
        <v>0.31412894375857336</v>
      </c>
      <c r="K39">
        <v>0.64746227709190662</v>
      </c>
      <c r="L39">
        <v>0.98079561042523988</v>
      </c>
      <c r="M39">
        <v>3.017832647462277E-2</v>
      </c>
      <c r="N39">
        <v>0.36351165980795608</v>
      </c>
      <c r="O39">
        <v>0.69684499314128934</v>
      </c>
      <c r="R39">
        <v>2.5</v>
      </c>
      <c r="S39" s="126">
        <f t="shared" si="10"/>
        <v>2.9970068553140781</v>
      </c>
      <c r="T39" s="126">
        <f t="shared" si="1"/>
        <v>1.9827048557253582</v>
      </c>
      <c r="U39" s="126">
        <f t="shared" si="2"/>
        <v>2.233494037236885</v>
      </c>
      <c r="V39" s="126">
        <f t="shared" si="3"/>
        <v>3.2120998622525554</v>
      </c>
      <c r="W39" s="126">
        <f t="shared" si="4"/>
        <v>2.3767768855063962</v>
      </c>
      <c r="X39" s="126">
        <f t="shared" si="5"/>
        <v>2.6684642548720343</v>
      </c>
      <c r="Y39" s="126">
        <f t="shared" si="6"/>
        <v>4.21061746978486</v>
      </c>
      <c r="Z39" s="126">
        <f t="shared" si="7"/>
        <v>1.7288615661695834</v>
      </c>
      <c r="AA39" s="126">
        <f t="shared" si="8"/>
        <v>1.7427255625219074</v>
      </c>
      <c r="AB39" s="126">
        <f t="shared" si="9"/>
        <v>2.4626801597209376</v>
      </c>
    </row>
    <row r="40" spans="1:28">
      <c r="A40">
        <v>39</v>
      </c>
      <c r="B40" s="119">
        <v>0.16049382716049382</v>
      </c>
      <c r="F40">
        <v>0.1412894375857339</v>
      </c>
      <c r="G40">
        <v>0.47462277091906718</v>
      </c>
      <c r="H40">
        <v>0.80795610425240039</v>
      </c>
      <c r="I40">
        <v>0.25240054869684497</v>
      </c>
      <c r="J40">
        <v>0.58573388203017829</v>
      </c>
      <c r="K40">
        <v>0.91906721536351155</v>
      </c>
      <c r="L40">
        <v>6.7215363511659798E-2</v>
      </c>
      <c r="M40">
        <v>0.40054869684499311</v>
      </c>
      <c r="N40">
        <v>0.73388203017832643</v>
      </c>
      <c r="O40">
        <v>0.17832647462277093</v>
      </c>
      <c r="R40">
        <v>2.5</v>
      </c>
      <c r="S40" s="126">
        <f t="shared" si="10"/>
        <v>1.5319434380841035</v>
      </c>
      <c r="T40" s="126">
        <f t="shared" si="1"/>
        <v>1.8791801946626836</v>
      </c>
      <c r="U40" s="126">
        <f t="shared" si="2"/>
        <v>2.8241003504466757</v>
      </c>
      <c r="V40" s="126">
        <f t="shared" si="3"/>
        <v>2.0310160757002071</v>
      </c>
      <c r="W40" s="126">
        <f t="shared" si="4"/>
        <v>2.3611549414835751</v>
      </c>
      <c r="X40" s="126">
        <f t="shared" si="5"/>
        <v>3.5021944937164862</v>
      </c>
      <c r="Y40" s="126">
        <f t="shared" si="6"/>
        <v>1.6873235504227639</v>
      </c>
      <c r="Z40" s="126">
        <f t="shared" si="7"/>
        <v>1.8019867645721117</v>
      </c>
      <c r="AA40" s="126">
        <f t="shared" si="8"/>
        <v>2.5825731531121034</v>
      </c>
      <c r="AB40" s="126">
        <f t="shared" si="9"/>
        <v>1.6994597515231251</v>
      </c>
    </row>
    <row r="41" spans="1:28">
      <c r="A41">
        <v>40</v>
      </c>
      <c r="B41" s="119">
        <v>0.49382716049382713</v>
      </c>
      <c r="F41">
        <v>0.51165980795610422</v>
      </c>
      <c r="G41">
        <v>0.84499314128943737</v>
      </c>
      <c r="H41">
        <v>0.28943758573388201</v>
      </c>
      <c r="I41">
        <v>0.62277091906721527</v>
      </c>
      <c r="J41">
        <v>0.95610425240054853</v>
      </c>
      <c r="K41">
        <v>0.10425240054869683</v>
      </c>
      <c r="L41">
        <v>0.43758573388203015</v>
      </c>
      <c r="M41">
        <v>0.77091906721536341</v>
      </c>
      <c r="N41">
        <v>0.21536351165980797</v>
      </c>
      <c r="O41">
        <v>0.5486968449931412</v>
      </c>
      <c r="R41">
        <v>2.5</v>
      </c>
      <c r="S41" s="126">
        <f t="shared" si="10"/>
        <v>2.44233714116621</v>
      </c>
      <c r="T41" s="126">
        <f t="shared" si="1"/>
        <v>3.2265774800161369</v>
      </c>
      <c r="U41" s="126">
        <f t="shared" si="2"/>
        <v>2.3256177803746834</v>
      </c>
      <c r="V41" s="126">
        <f t="shared" si="3"/>
        <v>2.5885526442426334</v>
      </c>
      <c r="W41" s="126">
        <f t="shared" si="4"/>
        <v>3.8708032169910807</v>
      </c>
      <c r="X41" s="126">
        <f t="shared" si="5"/>
        <v>2.0698525015399176</v>
      </c>
      <c r="Y41" s="126">
        <f t="shared" si="6"/>
        <v>2.0724649103308215</v>
      </c>
      <c r="Z41" s="126">
        <f t="shared" si="7"/>
        <v>2.8152484489885223</v>
      </c>
      <c r="AA41" s="126">
        <f t="shared" si="8"/>
        <v>1.9267716597081106</v>
      </c>
      <c r="AB41" s="126">
        <f t="shared" si="9"/>
        <v>2.2310533255981566</v>
      </c>
    </row>
    <row r="42" spans="1:28">
      <c r="A42">
        <v>41</v>
      </c>
      <c r="B42" s="119">
        <v>0.82716049382716039</v>
      </c>
      <c r="F42">
        <v>0.88203017832647446</v>
      </c>
      <c r="G42">
        <v>0.32647462277091904</v>
      </c>
      <c r="H42">
        <v>0.65980795610425236</v>
      </c>
      <c r="I42">
        <v>0.99314128943758562</v>
      </c>
      <c r="J42">
        <v>9.6021947873799734E-3</v>
      </c>
      <c r="K42">
        <v>0.34293552812071332</v>
      </c>
      <c r="L42">
        <v>0.67626886145404652</v>
      </c>
      <c r="M42">
        <v>0.12071330589849108</v>
      </c>
      <c r="N42">
        <v>0.45404663923182442</v>
      </c>
      <c r="O42">
        <v>0.78737997256515757</v>
      </c>
      <c r="R42">
        <v>2.5</v>
      </c>
      <c r="S42" s="126">
        <f t="shared" si="10"/>
        <v>3.395777763833383</v>
      </c>
      <c r="T42" s="126">
        <f t="shared" si="1"/>
        <v>2.4975584882556428</v>
      </c>
      <c r="U42" s="126">
        <f t="shared" si="2"/>
        <v>2.7567676758302286</v>
      </c>
      <c r="V42" s="126">
        <f t="shared" si="3"/>
        <v>4.5800638686183115</v>
      </c>
      <c r="W42" s="126">
        <f t="shared" si="4"/>
        <v>1.5323656947670337</v>
      </c>
      <c r="X42" s="126">
        <f t="shared" si="5"/>
        <v>1.5982919820325459</v>
      </c>
      <c r="Y42" s="126">
        <f t="shared" si="6"/>
        <v>2.3422021716212345</v>
      </c>
      <c r="Z42" s="126">
        <f t="shared" si="7"/>
        <v>1.3727240856680818</v>
      </c>
      <c r="AA42" s="126">
        <f t="shared" si="8"/>
        <v>1.7564404305849846</v>
      </c>
      <c r="AB42" s="126">
        <f t="shared" si="9"/>
        <v>2.7021796677023149</v>
      </c>
    </row>
    <row r="43" spans="1:28">
      <c r="A43">
        <v>42</v>
      </c>
      <c r="B43" s="119">
        <v>0.27160493827160492</v>
      </c>
      <c r="F43">
        <v>0.23182441700960219</v>
      </c>
      <c r="G43">
        <v>0.56515775034293547</v>
      </c>
      <c r="H43">
        <v>0.89849108367626873</v>
      </c>
      <c r="I43">
        <v>4.663923182441701E-2</v>
      </c>
      <c r="J43">
        <v>0.37997256515775035</v>
      </c>
      <c r="K43">
        <v>0.71330589849108361</v>
      </c>
      <c r="L43">
        <v>0.15775034293552812</v>
      </c>
      <c r="M43">
        <v>0.49108367626886146</v>
      </c>
      <c r="N43">
        <v>0.82441700960219455</v>
      </c>
      <c r="O43">
        <v>0.26886145404663925</v>
      </c>
      <c r="R43">
        <v>2.5</v>
      </c>
      <c r="S43" s="126">
        <f t="shared" ref="S43:S106" si="11">NORMINV(F43,0,1)*0.8248+0.4974*(2.3356-R43)+R43</f>
        <v>1.8137712893252524</v>
      </c>
      <c r="T43" s="126">
        <f t="shared" ref="T43:T106" si="12">NORMINV(G43,0,1)*0.8248+0.4974*(2.3356-S43)+S43</f>
        <v>2.2086449610464407</v>
      </c>
      <c r="U43" s="126">
        <f t="shared" ref="U43:U106" si="13">NORMINV(H43,0,1)*0.8248+0.4974*(2.3356-T43)+T43</f>
        <v>3.321763283700065</v>
      </c>
      <c r="V43" s="126">
        <f t="shared" ref="V43:V106" si="14">NORMINV(I43,0,1)*0.8248+0.4974*(2.3356-U43)+U43</f>
        <v>1.4469411964638705</v>
      </c>
      <c r="W43" s="126">
        <f t="shared" ref="W43:W106" si="15">NORMINV(J43,0,1)*0.8248+0.4974*(2.3356-V43)+V43</f>
        <v>1.6369401007763245</v>
      </c>
      <c r="X43" s="126">
        <f t="shared" ref="X43:X106" si="16">NORMINV(K43,0,1)*0.8248+0.4974*(2.3356-W43)+W43</f>
        <v>2.4488724784964098</v>
      </c>
      <c r="Y43" s="126">
        <f t="shared" ref="Y43:Y106" si="17">NORMINV(L43,0,1)*0.8248+0.4974*(2.3356-X43)+X43</f>
        <v>1.5646404091702968</v>
      </c>
      <c r="Z43" s="126">
        <f t="shared" ref="Z43:Z106" si="18">NORMINV(M43,0,1)*0.8248+0.4974*(2.3356-Y43)+Y43</f>
        <v>1.9296799695927811</v>
      </c>
      <c r="AA43" s="126">
        <f t="shared" ref="AA43:AA106" si="19">NORMINV(N43,0,1)*0.8248+0.4974*(2.3356-Z43)+Z43</f>
        <v>2.9005704206991703</v>
      </c>
      <c r="AB43" s="126">
        <f t="shared" ref="AB43:AB106" si="20">NORMINV(O43,0,1)*0.8248+0.4974*(2.3356-AA43)+AA43</f>
        <v>2.1112628528023896</v>
      </c>
    </row>
    <row r="44" spans="1:28">
      <c r="A44">
        <v>43</v>
      </c>
      <c r="B44" s="119">
        <v>0.60493827160493829</v>
      </c>
      <c r="F44">
        <v>0.60219478737997245</v>
      </c>
      <c r="G44">
        <v>0.93552812071330571</v>
      </c>
      <c r="H44">
        <v>8.3676268861454045E-2</v>
      </c>
      <c r="I44">
        <v>0.41700960219478739</v>
      </c>
      <c r="J44">
        <v>0.75034293552812059</v>
      </c>
      <c r="K44">
        <v>0.19478737997256515</v>
      </c>
      <c r="L44">
        <v>0.52812071330589838</v>
      </c>
      <c r="M44">
        <v>0.86145404663923164</v>
      </c>
      <c r="N44">
        <v>0.30589849108367628</v>
      </c>
      <c r="O44">
        <v>0.63923182441700954</v>
      </c>
      <c r="R44">
        <v>2.5</v>
      </c>
      <c r="S44" s="126">
        <f t="shared" si="11"/>
        <v>2.6318771674530104</v>
      </c>
      <c r="T44" s="126">
        <f t="shared" si="12"/>
        <v>3.7367864734883343</v>
      </c>
      <c r="U44" s="126">
        <f t="shared" si="13"/>
        <v>1.9009848610866475</v>
      </c>
      <c r="V44" s="126">
        <f t="shared" si="14"/>
        <v>1.9443259051018431</v>
      </c>
      <c r="W44" s="126">
        <f t="shared" si="15"/>
        <v>2.6961552110763782</v>
      </c>
      <c r="X44" s="126">
        <f t="shared" si="16"/>
        <v>1.8071663703765202</v>
      </c>
      <c r="Y44" s="126">
        <f t="shared" si="17"/>
        <v>2.1281961329039008</v>
      </c>
      <c r="Z44" s="126">
        <f t="shared" si="18"/>
        <v>3.1278135954069439</v>
      </c>
      <c r="AA44" s="126">
        <f t="shared" si="19"/>
        <v>2.3151722586204029</v>
      </c>
      <c r="AB44" s="126">
        <f t="shared" si="20"/>
        <v>2.6192968903088323</v>
      </c>
    </row>
    <row r="45" spans="1:28">
      <c r="A45">
        <v>44</v>
      </c>
      <c r="B45" s="119">
        <v>0.93827160493827155</v>
      </c>
      <c r="F45">
        <v>0.9725651577503428</v>
      </c>
      <c r="G45">
        <v>2.194787379972565E-2</v>
      </c>
      <c r="H45">
        <v>0.355281207133059</v>
      </c>
      <c r="I45">
        <v>0.68861454046639214</v>
      </c>
      <c r="J45">
        <v>0.13305898491083676</v>
      </c>
      <c r="K45">
        <v>0.4663923182441701</v>
      </c>
      <c r="L45">
        <v>0.7997256515775033</v>
      </c>
      <c r="M45">
        <v>0.24417009602194786</v>
      </c>
      <c r="N45">
        <v>0.57750342935528121</v>
      </c>
      <c r="O45">
        <v>0.91083676268861447</v>
      </c>
      <c r="R45">
        <v>2.5</v>
      </c>
      <c r="S45" s="126">
        <f t="shared" si="11"/>
        <v>4.001766492547155</v>
      </c>
      <c r="T45" s="126">
        <f t="shared" si="12"/>
        <v>1.5109732023252751</v>
      </c>
      <c r="U45" s="126">
        <f t="shared" si="13"/>
        <v>1.6150585863236568</v>
      </c>
      <c r="V45" s="126">
        <f t="shared" si="14"/>
        <v>2.3791973116096541</v>
      </c>
      <c r="W45" s="126">
        <f t="shared" si="15"/>
        <v>1.4402956951460566</v>
      </c>
      <c r="X45" s="126">
        <f t="shared" si="16"/>
        <v>1.8160548954476596</v>
      </c>
      <c r="Y45" s="126">
        <f t="shared" si="17"/>
        <v>2.7678378949061422</v>
      </c>
      <c r="Z45" s="126">
        <f t="shared" si="18"/>
        <v>1.9812966360489657</v>
      </c>
      <c r="AA45" s="126">
        <f t="shared" si="19"/>
        <v>2.3187843763813336</v>
      </c>
      <c r="AB45" s="126">
        <f t="shared" si="20"/>
        <v>3.4372679976501725</v>
      </c>
    </row>
    <row r="46" spans="1:28">
      <c r="A46">
        <v>45</v>
      </c>
      <c r="B46" s="119">
        <v>8.6419753086419748E-2</v>
      </c>
      <c r="F46">
        <v>5.8984910836762688E-2</v>
      </c>
      <c r="G46">
        <v>0.39231824417009603</v>
      </c>
      <c r="H46">
        <v>0.72565157750342935</v>
      </c>
      <c r="I46">
        <v>0.17009602194787379</v>
      </c>
      <c r="J46">
        <v>0.50342935528120702</v>
      </c>
      <c r="K46">
        <v>0.83676268861454028</v>
      </c>
      <c r="L46">
        <v>0.28120713305898493</v>
      </c>
      <c r="M46">
        <v>0.61454046639231819</v>
      </c>
      <c r="N46">
        <v>0.94787379972565144</v>
      </c>
      <c r="O46">
        <v>9.6021947873799723E-2</v>
      </c>
      <c r="R46">
        <v>2.5</v>
      </c>
      <c r="S46" s="126">
        <f t="shared" si="11"/>
        <v>1.1287747035772229</v>
      </c>
      <c r="T46" s="126">
        <f t="shared" si="12"/>
        <v>1.5036466526864927</v>
      </c>
      <c r="U46" s="126">
        <f t="shared" si="13"/>
        <v>2.4121043688624253</v>
      </c>
      <c r="V46" s="126">
        <f t="shared" si="14"/>
        <v>1.5873685112700144</v>
      </c>
      <c r="W46" s="126">
        <f t="shared" si="15"/>
        <v>1.9666290199630527</v>
      </c>
      <c r="X46" s="126">
        <f t="shared" si="16"/>
        <v>2.9594815698151029</v>
      </c>
      <c r="Y46" s="126">
        <f t="shared" si="17"/>
        <v>2.1713898585385234</v>
      </c>
      <c r="Z46" s="126">
        <f t="shared" si="18"/>
        <v>2.4932274129307652</v>
      </c>
      <c r="AA46" s="126">
        <f t="shared" si="19"/>
        <v>3.7547758876485409</v>
      </c>
      <c r="AB46" s="126">
        <f t="shared" si="20"/>
        <v>1.9728795685152725</v>
      </c>
    </row>
    <row r="47" spans="1:28">
      <c r="A47">
        <v>46</v>
      </c>
      <c r="B47" s="119">
        <v>0.41975308641975306</v>
      </c>
      <c r="F47">
        <v>0.42935528120713307</v>
      </c>
      <c r="G47">
        <v>0.76268861454046633</v>
      </c>
      <c r="H47">
        <v>0.20713305898491083</v>
      </c>
      <c r="I47">
        <v>0.540466392318244</v>
      </c>
      <c r="J47">
        <v>0.87379972565157726</v>
      </c>
      <c r="K47">
        <v>0.31824417009602196</v>
      </c>
      <c r="L47">
        <v>0.65157750342935516</v>
      </c>
      <c r="M47">
        <v>0.98491083676268842</v>
      </c>
      <c r="N47">
        <v>3.4293552812071332E-2</v>
      </c>
      <c r="O47">
        <v>0.36762688614540467</v>
      </c>
      <c r="R47">
        <v>2.5</v>
      </c>
      <c r="S47" s="126">
        <f t="shared" si="11"/>
        <v>2.2714000030063253</v>
      </c>
      <c r="T47" s="126">
        <f t="shared" si="12"/>
        <v>2.8930467578561787</v>
      </c>
      <c r="U47" s="126">
        <f t="shared" si="13"/>
        <v>1.9423984055912076</v>
      </c>
      <c r="V47" s="126">
        <f t="shared" si="14"/>
        <v>2.2217837949153938</v>
      </c>
      <c r="W47" s="126">
        <f t="shared" si="15"/>
        <v>3.2224109959558254</v>
      </c>
      <c r="X47" s="126">
        <f t="shared" si="16"/>
        <v>2.3914988877859056</v>
      </c>
      <c r="Y47" s="126">
        <f t="shared" si="17"/>
        <v>2.6850227632769044</v>
      </c>
      <c r="Z47" s="126">
        <f t="shared" si="18"/>
        <v>4.2991734336645093</v>
      </c>
      <c r="AA47" s="126">
        <f t="shared" si="19"/>
        <v>1.8204240253424935</v>
      </c>
      <c r="AB47" s="126">
        <f t="shared" si="20"/>
        <v>1.7977703967842671</v>
      </c>
    </row>
    <row r="48" spans="1:28">
      <c r="A48">
        <v>47</v>
      </c>
      <c r="B48" s="119">
        <v>0.75308641975308643</v>
      </c>
      <c r="F48">
        <v>0.70096021947873788</v>
      </c>
      <c r="G48">
        <v>0.14540466392318244</v>
      </c>
      <c r="H48">
        <v>0.47873799725651578</v>
      </c>
      <c r="I48">
        <v>0.81207133058984893</v>
      </c>
      <c r="J48">
        <v>0.25651577503429357</v>
      </c>
      <c r="K48">
        <v>0.58984910836762683</v>
      </c>
      <c r="L48">
        <v>0.92318244170096009</v>
      </c>
      <c r="M48">
        <v>7.1330589849108367E-2</v>
      </c>
      <c r="N48">
        <v>0.40466392318244171</v>
      </c>
      <c r="O48">
        <v>0.73799725651577497</v>
      </c>
      <c r="R48">
        <v>2.5</v>
      </c>
      <c r="S48" s="126">
        <f t="shared" si="11"/>
        <v>2.8530324793369126</v>
      </c>
      <c r="T48" s="126">
        <f t="shared" si="12"/>
        <v>1.7243858674668358</v>
      </c>
      <c r="U48" s="126">
        <f t="shared" si="13"/>
        <v>1.9844244568632592</v>
      </c>
      <c r="V48" s="126">
        <f t="shared" si="14"/>
        <v>2.8895049831194504</v>
      </c>
      <c r="W48" s="126">
        <f t="shared" si="15"/>
        <v>2.0744706952599938</v>
      </c>
      <c r="X48" s="126">
        <f t="shared" si="16"/>
        <v>2.3917153771594664</v>
      </c>
      <c r="Y48" s="126">
        <f t="shared" si="17"/>
        <v>3.5406351931936157</v>
      </c>
      <c r="Z48" s="126">
        <f t="shared" si="18"/>
        <v>1.7321329205112204</v>
      </c>
      <c r="AA48" s="126">
        <f t="shared" si="19"/>
        <v>1.8332787778075172</v>
      </c>
      <c r="AB48" s="126">
        <f t="shared" si="20"/>
        <v>2.6086820981416881</v>
      </c>
    </row>
    <row r="49" spans="1:28">
      <c r="A49">
        <v>48</v>
      </c>
      <c r="B49" s="119">
        <v>0.19753086419753085</v>
      </c>
      <c r="F49">
        <v>0.18244170096021947</v>
      </c>
      <c r="G49">
        <v>0.51577503429355276</v>
      </c>
      <c r="H49">
        <v>0.84910836762688591</v>
      </c>
      <c r="I49">
        <v>0.2935528120713306</v>
      </c>
      <c r="J49">
        <v>0.62688614540466381</v>
      </c>
      <c r="K49">
        <v>0.96021947873799707</v>
      </c>
      <c r="L49">
        <v>0.1083676268861454</v>
      </c>
      <c r="M49">
        <v>0.44170096021947874</v>
      </c>
      <c r="N49">
        <v>0.77503429355281195</v>
      </c>
      <c r="O49">
        <v>0.21947873799725651</v>
      </c>
      <c r="R49">
        <v>2.5</v>
      </c>
      <c r="S49" s="126">
        <f t="shared" si="11"/>
        <v>1.6708769027245503</v>
      </c>
      <c r="T49" s="126">
        <f t="shared" si="12"/>
        <v>2.0341330380057445</v>
      </c>
      <c r="U49" s="126">
        <f t="shared" si="13"/>
        <v>3.0357850384435578</v>
      </c>
      <c r="V49" s="126">
        <f t="shared" si="14"/>
        <v>2.2396176359594127</v>
      </c>
      <c r="W49" s="126">
        <f t="shared" si="15"/>
        <v>2.5542788995170902</v>
      </c>
      <c r="X49" s="126">
        <f t="shared" si="16"/>
        <v>3.8915792955968183</v>
      </c>
      <c r="Y49" s="126">
        <f t="shared" si="17"/>
        <v>2.098796067685115</v>
      </c>
      <c r="Z49" s="126">
        <f t="shared" si="18"/>
        <v>2.0956187721814148</v>
      </c>
      <c r="AA49" s="126">
        <f t="shared" si="19"/>
        <v>2.8381460646250307</v>
      </c>
      <c r="AB49" s="126">
        <f t="shared" si="20"/>
        <v>1.9498216699616937</v>
      </c>
    </row>
    <row r="50" spans="1:28">
      <c r="A50">
        <v>49</v>
      </c>
      <c r="B50" s="119">
        <v>0.53086419753086411</v>
      </c>
      <c r="F50">
        <v>0.55281207133058974</v>
      </c>
      <c r="G50">
        <v>0.886145404663923</v>
      </c>
      <c r="H50">
        <v>0.33058984910836764</v>
      </c>
      <c r="I50">
        <v>0.6639231824417009</v>
      </c>
      <c r="J50">
        <v>0.99725651577503416</v>
      </c>
      <c r="K50">
        <v>2.7434842249657062E-3</v>
      </c>
      <c r="L50">
        <v>0.33607681755829905</v>
      </c>
      <c r="M50">
        <v>0.66941015089163236</v>
      </c>
      <c r="N50">
        <v>0.11385459533607681</v>
      </c>
      <c r="O50">
        <v>0.44718792866941015</v>
      </c>
      <c r="R50">
        <v>2.5</v>
      </c>
      <c r="S50" s="126">
        <f t="shared" si="11"/>
        <v>2.5277355347376345</v>
      </c>
      <c r="T50" s="126">
        <f t="shared" si="12"/>
        <v>3.4271078252968366</v>
      </c>
      <c r="U50" s="126">
        <f t="shared" si="13"/>
        <v>2.5226943650935674</v>
      </c>
      <c r="V50" s="126">
        <f t="shared" si="14"/>
        <v>2.7786841396345294</v>
      </c>
      <c r="W50" s="126">
        <f t="shared" si="15"/>
        <v>4.8487319016702788</v>
      </c>
      <c r="X50" s="126">
        <f t="shared" si="16"/>
        <v>1.3082622806894677</v>
      </c>
      <c r="Y50" s="126">
        <f t="shared" si="17"/>
        <v>1.4702095505360235</v>
      </c>
      <c r="Z50" s="126">
        <f t="shared" si="18"/>
        <v>2.2621522280000281</v>
      </c>
      <c r="AA50" s="126">
        <f t="shared" si="19"/>
        <v>1.3037446442551119</v>
      </c>
      <c r="AB50" s="126">
        <f t="shared" si="20"/>
        <v>1.7074814034649843</v>
      </c>
    </row>
    <row r="51" spans="1:28">
      <c r="A51">
        <v>50</v>
      </c>
      <c r="B51" s="119">
        <v>0.86419753086419737</v>
      </c>
      <c r="F51">
        <v>0.78052126200274341</v>
      </c>
      <c r="G51">
        <v>0.22496570644718791</v>
      </c>
      <c r="H51">
        <v>0.55829903978052131</v>
      </c>
      <c r="I51">
        <v>0.89163237311385457</v>
      </c>
      <c r="J51">
        <v>3.9780521262002738E-2</v>
      </c>
      <c r="K51">
        <v>0.37311385459533608</v>
      </c>
      <c r="L51">
        <v>0.70644718792866945</v>
      </c>
      <c r="M51">
        <v>0.15089163237311384</v>
      </c>
      <c r="N51">
        <v>0.48422496570644719</v>
      </c>
      <c r="O51">
        <v>0.81755829903978039</v>
      </c>
      <c r="R51">
        <v>2.5</v>
      </c>
      <c r="S51" s="126">
        <f t="shared" si="11"/>
        <v>3.0565854221188462</v>
      </c>
      <c r="T51" s="126">
        <f t="shared" si="12"/>
        <v>2.0748066434302794</v>
      </c>
      <c r="U51" s="126">
        <f t="shared" si="13"/>
        <v>2.325488830425182</v>
      </c>
      <c r="V51" s="126">
        <f t="shared" si="14"/>
        <v>3.349357252453542</v>
      </c>
      <c r="W51" s="126">
        <f t="shared" si="15"/>
        <v>1.3990431143836204</v>
      </c>
      <c r="X51" s="126">
        <f t="shared" si="16"/>
        <v>1.5979668736053176</v>
      </c>
      <c r="Y51" s="126">
        <f t="shared" si="17"/>
        <v>2.4127609550363518</v>
      </c>
      <c r="Z51" s="126">
        <f t="shared" si="18"/>
        <v>1.5226787624593989</v>
      </c>
      <c r="AA51" s="126">
        <f t="shared" si="19"/>
        <v>1.8944029193157079</v>
      </c>
      <c r="AB51" s="126">
        <f t="shared" si="20"/>
        <v>2.8612048845235236</v>
      </c>
    </row>
    <row r="52" spans="1:28">
      <c r="A52">
        <v>51</v>
      </c>
      <c r="B52" s="119">
        <v>0.30864197530864196</v>
      </c>
      <c r="F52">
        <v>0.26200274348422498</v>
      </c>
      <c r="G52">
        <v>0.59533607681755829</v>
      </c>
      <c r="H52">
        <v>0.92866941015089155</v>
      </c>
      <c r="I52">
        <v>7.6817558299039773E-2</v>
      </c>
      <c r="J52">
        <v>0.41015089163237312</v>
      </c>
      <c r="K52">
        <v>0.74348422496570643</v>
      </c>
      <c r="L52">
        <v>0.18792866941015088</v>
      </c>
      <c r="M52">
        <v>0.52126200274348422</v>
      </c>
      <c r="N52">
        <v>0.85459533607681748</v>
      </c>
      <c r="O52">
        <v>0.29903978052126201</v>
      </c>
      <c r="R52">
        <v>2.5</v>
      </c>
      <c r="S52" s="126">
        <f t="shared" si="11"/>
        <v>1.8926786955843697</v>
      </c>
      <c r="T52" s="126">
        <f t="shared" si="12"/>
        <v>2.3120064204421258</v>
      </c>
      <c r="U52" s="126">
        <f t="shared" si="13"/>
        <v>3.5328596345021031</v>
      </c>
      <c r="V52" s="126">
        <f t="shared" si="14"/>
        <v>1.7605110876674872</v>
      </c>
      <c r="W52" s="126">
        <f t="shared" si="15"/>
        <v>1.8592013469398851</v>
      </c>
      <c r="X52" s="126">
        <f t="shared" si="16"/>
        <v>2.6356839862278276</v>
      </c>
      <c r="Y52" s="126">
        <f t="shared" si="17"/>
        <v>1.7560164003781293</v>
      </c>
      <c r="Z52" s="126">
        <f t="shared" si="18"/>
        <v>2.0882806029556198</v>
      </c>
      <c r="AA52" s="126">
        <f t="shared" si="19"/>
        <v>3.0825729676933902</v>
      </c>
      <c r="AB52" s="126">
        <f t="shared" si="20"/>
        <v>2.2762235742257846</v>
      </c>
    </row>
    <row r="53" spans="1:28">
      <c r="A53">
        <v>52</v>
      </c>
      <c r="B53" s="119">
        <v>0.64197530864197527</v>
      </c>
      <c r="F53">
        <v>0.63237311385459538</v>
      </c>
      <c r="G53">
        <v>0.96570644718792864</v>
      </c>
      <c r="H53">
        <v>1.5089163237311385E-2</v>
      </c>
      <c r="I53">
        <v>0.34842249657064472</v>
      </c>
      <c r="J53">
        <v>0.68175582990397798</v>
      </c>
      <c r="K53">
        <v>0.12620027434842249</v>
      </c>
      <c r="L53">
        <v>0.45953360768175583</v>
      </c>
      <c r="M53">
        <v>0.79286694101508914</v>
      </c>
      <c r="N53">
        <v>0.23731138545953359</v>
      </c>
      <c r="O53">
        <v>0.57064471879286705</v>
      </c>
      <c r="R53">
        <v>2.5</v>
      </c>
      <c r="S53" s="126">
        <f t="shared" si="11"/>
        <v>2.6971295983528703</v>
      </c>
      <c r="T53" s="126">
        <f t="shared" si="12"/>
        <v>4.0193727585494408</v>
      </c>
      <c r="U53" s="126">
        <f t="shared" si="13"/>
        <v>1.393910635605407</v>
      </c>
      <c r="V53" s="126">
        <f t="shared" si="14"/>
        <v>1.5409789431795686</v>
      </c>
      <c r="W53" s="126">
        <f t="shared" si="15"/>
        <v>2.3260357756235432</v>
      </c>
      <c r="X53" s="126">
        <f t="shared" si="16"/>
        <v>1.3867780001970431</v>
      </c>
      <c r="Y53" s="126">
        <f t="shared" si="17"/>
        <v>1.7749151466337807</v>
      </c>
      <c r="Z53" s="126">
        <f t="shared" si="18"/>
        <v>2.7271741276054455</v>
      </c>
      <c r="AA53" s="126">
        <f t="shared" si="19"/>
        <v>1.9426914801892969</v>
      </c>
      <c r="AB53" s="126">
        <f t="shared" si="20"/>
        <v>2.2849516149368152</v>
      </c>
    </row>
    <row r="54" spans="1:28">
      <c r="A54">
        <v>53</v>
      </c>
      <c r="B54" s="119">
        <v>0.97530864197530853</v>
      </c>
      <c r="F54">
        <v>0.9039780521262003</v>
      </c>
      <c r="G54">
        <v>5.2126200274348417E-2</v>
      </c>
      <c r="H54">
        <v>0.38545953360768176</v>
      </c>
      <c r="I54">
        <v>0.71879286694101518</v>
      </c>
      <c r="J54">
        <v>0.16323731138545952</v>
      </c>
      <c r="K54">
        <v>0.49657064471879286</v>
      </c>
      <c r="L54">
        <v>0.82990397805212612</v>
      </c>
      <c r="M54">
        <v>0.27434842249657065</v>
      </c>
      <c r="N54">
        <v>0.60768175582990402</v>
      </c>
      <c r="O54">
        <v>0.94101508916323728</v>
      </c>
      <c r="R54">
        <v>2.5</v>
      </c>
      <c r="S54" s="126">
        <f t="shared" si="11"/>
        <v>3.4942256726168841</v>
      </c>
      <c r="T54" s="126">
        <f t="shared" si="12"/>
        <v>1.5779729131477056</v>
      </c>
      <c r="U54" s="126">
        <f t="shared" si="13"/>
        <v>1.7146571961187331</v>
      </c>
      <c r="V54" s="126">
        <f t="shared" si="14"/>
        <v>2.5012871652198223</v>
      </c>
      <c r="W54" s="126">
        <f t="shared" si="15"/>
        <v>1.6095479848578094</v>
      </c>
      <c r="X54" s="126">
        <f t="shared" si="16"/>
        <v>1.9635960909907908</v>
      </c>
      <c r="Y54" s="126">
        <f t="shared" si="17"/>
        <v>2.9353134198522115</v>
      </c>
      <c r="Z54" s="126">
        <f t="shared" si="18"/>
        <v>2.142371843595527</v>
      </c>
      <c r="AA54" s="126">
        <f t="shared" si="19"/>
        <v>2.4638864819225312</v>
      </c>
      <c r="AB54" s="126">
        <f t="shared" si="20"/>
        <v>3.6895295222370406</v>
      </c>
    </row>
    <row r="55" spans="1:28">
      <c r="A55">
        <v>54</v>
      </c>
      <c r="B55" s="119">
        <v>2.4691358024691357E-2</v>
      </c>
      <c r="F55">
        <v>8.9163237311385452E-2</v>
      </c>
      <c r="G55">
        <v>0.42249657064471879</v>
      </c>
      <c r="H55">
        <v>0.75582990397805216</v>
      </c>
      <c r="I55">
        <v>0.20027434842249656</v>
      </c>
      <c r="J55">
        <v>0.53360768175582984</v>
      </c>
      <c r="K55">
        <v>0.8669410150891631</v>
      </c>
      <c r="L55">
        <v>0.31138545953360769</v>
      </c>
      <c r="M55">
        <v>0.644718792866941</v>
      </c>
      <c r="N55">
        <v>0.97805212620027426</v>
      </c>
      <c r="O55">
        <v>2.7434842249657063E-2</v>
      </c>
      <c r="R55">
        <v>2.5</v>
      </c>
      <c r="S55" s="126">
        <f t="shared" si="11"/>
        <v>1.3081079099190851</v>
      </c>
      <c r="T55" s="126">
        <f t="shared" si="12"/>
        <v>1.6579252284222084</v>
      </c>
      <c r="U55" s="126">
        <f t="shared" si="13"/>
        <v>2.5665467897358631</v>
      </c>
      <c r="V55" s="126">
        <f t="shared" si="14"/>
        <v>1.7583125920670959</v>
      </c>
      <c r="W55" s="126">
        <f t="shared" si="15"/>
        <v>2.1150205097056705</v>
      </c>
      <c r="X55" s="126">
        <f t="shared" si="16"/>
        <v>3.1419530618470244</v>
      </c>
      <c r="Y55" s="126">
        <f t="shared" si="17"/>
        <v>2.33513162276093</v>
      </c>
      <c r="Z55" s="126">
        <f t="shared" si="18"/>
        <v>2.6414485787646695</v>
      </c>
      <c r="AA55" s="126">
        <f t="shared" si="19"/>
        <v>4.1513615725160466</v>
      </c>
      <c r="AB55" s="126">
        <f t="shared" si="20"/>
        <v>1.664662713799407</v>
      </c>
    </row>
    <row r="56" spans="1:28">
      <c r="A56">
        <v>55</v>
      </c>
      <c r="B56" s="119">
        <v>0.35802469135802467</v>
      </c>
      <c r="F56">
        <v>0.3607681755829904</v>
      </c>
      <c r="G56">
        <v>0.69410150891632372</v>
      </c>
      <c r="H56">
        <v>0.13854595336076816</v>
      </c>
      <c r="I56">
        <v>0.47187928669410151</v>
      </c>
      <c r="J56">
        <v>0.80521262002743477</v>
      </c>
      <c r="K56">
        <v>0.24965706447187927</v>
      </c>
      <c r="L56">
        <v>0.58299039780521267</v>
      </c>
      <c r="M56">
        <v>0.91632373113854593</v>
      </c>
      <c r="N56">
        <v>6.4471879286694095E-2</v>
      </c>
      <c r="O56">
        <v>0.39780521262002744</v>
      </c>
      <c r="R56">
        <v>2.5</v>
      </c>
      <c r="S56" s="126">
        <f t="shared" si="11"/>
        <v>2.1242635668737817</v>
      </c>
      <c r="T56" s="126">
        <f t="shared" si="12"/>
        <v>2.6479766031418892</v>
      </c>
      <c r="U56" s="126">
        <f t="shared" si="13"/>
        <v>1.5961457017296694</v>
      </c>
      <c r="V56" s="126">
        <f t="shared" si="14"/>
        <v>1.9057633945366697</v>
      </c>
      <c r="W56" s="126">
        <f t="shared" si="15"/>
        <v>2.8292128008045969</v>
      </c>
      <c r="X56" s="126">
        <f t="shared" si="16"/>
        <v>2.0264802225121978</v>
      </c>
      <c r="Y56" s="126">
        <f t="shared" si="17"/>
        <v>2.3530729259149363</v>
      </c>
      <c r="Z56" s="126">
        <f t="shared" si="18"/>
        <v>3.4832333530534356</v>
      </c>
      <c r="AA56" s="126">
        <f t="shared" si="19"/>
        <v>1.6601229541182039</v>
      </c>
      <c r="AB56" s="126">
        <f t="shared" si="20"/>
        <v>1.7824555092867986</v>
      </c>
    </row>
    <row r="57" spans="1:28">
      <c r="A57">
        <v>56</v>
      </c>
      <c r="B57" s="119">
        <v>0.69135802469135799</v>
      </c>
      <c r="F57">
        <v>0.73113854595336081</v>
      </c>
      <c r="G57">
        <v>0.1755829903978052</v>
      </c>
      <c r="H57">
        <v>0.5089163237311386</v>
      </c>
      <c r="I57">
        <v>0.84224965706447175</v>
      </c>
      <c r="J57">
        <v>0.28669410150891633</v>
      </c>
      <c r="K57">
        <v>0.62002743484224965</v>
      </c>
      <c r="L57">
        <v>0.95336076817558291</v>
      </c>
      <c r="M57">
        <v>0.10150891632373113</v>
      </c>
      <c r="N57">
        <v>0.43484224965706447</v>
      </c>
      <c r="O57">
        <v>0.76817558299039779</v>
      </c>
      <c r="R57">
        <v>2.5</v>
      </c>
      <c r="S57" s="126">
        <f t="shared" si="11"/>
        <v>2.9265187206410133</v>
      </c>
      <c r="T57" s="126">
        <f t="shared" si="12"/>
        <v>1.8636099210123336</v>
      </c>
      <c r="U57" s="126">
        <f t="shared" si="13"/>
        <v>2.1168135263570087</v>
      </c>
      <c r="V57" s="126">
        <f t="shared" si="14"/>
        <v>3.0535282568690305</v>
      </c>
      <c r="W57" s="126">
        <f t="shared" si="15"/>
        <v>2.2320117980561451</v>
      </c>
      <c r="X57" s="126">
        <f t="shared" si="16"/>
        <v>2.5355565542694349</v>
      </c>
      <c r="Y57" s="126">
        <f t="shared" si="17"/>
        <v>3.8204026340995991</v>
      </c>
      <c r="Z57" s="126">
        <f t="shared" si="18"/>
        <v>2.0318909176203332</v>
      </c>
      <c r="AA57" s="126">
        <f t="shared" si="19"/>
        <v>2.0476397441644103</v>
      </c>
      <c r="AB57" s="126">
        <f t="shared" si="20"/>
        <v>2.7953273260917797</v>
      </c>
    </row>
    <row r="58" spans="1:28">
      <c r="A58">
        <v>57</v>
      </c>
      <c r="B58" s="119">
        <v>0.13580246913580246</v>
      </c>
      <c r="F58">
        <v>0.21262002743484223</v>
      </c>
      <c r="G58">
        <v>0.54595336076817558</v>
      </c>
      <c r="H58">
        <v>0.87928669410150884</v>
      </c>
      <c r="I58">
        <v>0.32373113854595337</v>
      </c>
      <c r="J58">
        <v>0.65706447187928674</v>
      </c>
      <c r="K58">
        <v>0.99039780521262</v>
      </c>
      <c r="L58">
        <v>6.8587105624142667E-3</v>
      </c>
      <c r="M58">
        <v>0.34019204389574759</v>
      </c>
      <c r="N58">
        <v>0.6735253772290809</v>
      </c>
      <c r="O58">
        <v>0.11796982167352536</v>
      </c>
      <c r="R58">
        <v>2.5</v>
      </c>
      <c r="S58" s="126">
        <f t="shared" si="11"/>
        <v>1.7605621727096972</v>
      </c>
      <c r="T58" s="126">
        <f t="shared" si="12"/>
        <v>2.141804122875687</v>
      </c>
      <c r="U58" s="126">
        <f t="shared" si="13"/>
        <v>3.2043923579460705</v>
      </c>
      <c r="V58" s="126">
        <f t="shared" si="14"/>
        <v>2.3950818576520172</v>
      </c>
      <c r="W58" s="126">
        <f t="shared" si="15"/>
        <v>2.6990980378132692</v>
      </c>
      <c r="X58" s="126">
        <f t="shared" si="16"/>
        <v>4.4495959594054764</v>
      </c>
      <c r="Y58" s="126">
        <f t="shared" si="17"/>
        <v>1.3653093744511429</v>
      </c>
      <c r="Z58" s="126">
        <f t="shared" si="18"/>
        <v>1.5081645919662017</v>
      </c>
      <c r="AA58" s="126">
        <f t="shared" si="19"/>
        <v>2.2906178197692282</v>
      </c>
      <c r="AB58" s="126">
        <f t="shared" si="20"/>
        <v>1.3354416323826299</v>
      </c>
    </row>
    <row r="59" spans="1:28">
      <c r="A59">
        <v>58</v>
      </c>
      <c r="B59" s="119">
        <v>0.46913580246913578</v>
      </c>
      <c r="F59">
        <v>0.45130315500685869</v>
      </c>
      <c r="G59">
        <v>0.78463648834019195</v>
      </c>
      <c r="H59">
        <v>0.22908093278463648</v>
      </c>
      <c r="I59">
        <v>0.56241426611796985</v>
      </c>
      <c r="J59">
        <v>0.89574759945130311</v>
      </c>
      <c r="K59">
        <v>4.38957475994513E-2</v>
      </c>
      <c r="L59">
        <v>0.37722908093278462</v>
      </c>
      <c r="M59">
        <v>0.71056241426611799</v>
      </c>
      <c r="N59">
        <v>0.15500685871056241</v>
      </c>
      <c r="O59">
        <v>0.48834019204389573</v>
      </c>
      <c r="R59">
        <v>2.5</v>
      </c>
      <c r="S59" s="126">
        <f t="shared" si="11"/>
        <v>2.3172969905711391</v>
      </c>
      <c r="T59" s="126">
        <f t="shared" si="12"/>
        <v>2.9763005582145743</v>
      </c>
      <c r="U59" s="126">
        <f t="shared" si="13"/>
        <v>2.0457159555023932</v>
      </c>
      <c r="V59" s="126">
        <f t="shared" si="14"/>
        <v>2.3194746761786433</v>
      </c>
      <c r="W59" s="126">
        <f t="shared" si="15"/>
        <v>3.3648360475671844</v>
      </c>
      <c r="X59" s="126">
        <f t="shared" si="16"/>
        <v>1.4448248195125322</v>
      </c>
      <c r="Y59" s="126">
        <f t="shared" si="17"/>
        <v>1.6299266864606807</v>
      </c>
      <c r="Z59" s="126">
        <f t="shared" si="18"/>
        <v>2.4387160936965646</v>
      </c>
      <c r="AA59" s="126">
        <f t="shared" si="19"/>
        <v>1.550094755825892</v>
      </c>
      <c r="AB59" s="126">
        <f t="shared" si="20"/>
        <v>1.916695363111883</v>
      </c>
    </row>
    <row r="60" spans="1:28">
      <c r="A60">
        <v>59</v>
      </c>
      <c r="B60" s="119">
        <v>0.80246913580246904</v>
      </c>
      <c r="F60">
        <v>0.82167352537722893</v>
      </c>
      <c r="G60">
        <v>0.26611796982167352</v>
      </c>
      <c r="H60">
        <v>0.59945130315500683</v>
      </c>
      <c r="I60">
        <v>0.93278463648834009</v>
      </c>
      <c r="J60">
        <v>8.0932784636488328E-2</v>
      </c>
      <c r="K60">
        <v>0.41426611796982166</v>
      </c>
      <c r="L60">
        <v>0.74759945130315497</v>
      </c>
      <c r="M60">
        <v>0.19204389574759945</v>
      </c>
      <c r="N60">
        <v>0.52537722908093276</v>
      </c>
      <c r="O60">
        <v>0.85871056241426602</v>
      </c>
      <c r="R60">
        <v>2.5</v>
      </c>
      <c r="S60" s="126">
        <f t="shared" si="11"/>
        <v>3.1784963952310172</v>
      </c>
      <c r="T60" s="126">
        <f t="shared" si="12"/>
        <v>2.2440725630049485</v>
      </c>
      <c r="U60" s="126">
        <f t="shared" si="13"/>
        <v>2.497387802036656</v>
      </c>
      <c r="V60" s="126">
        <f t="shared" si="14"/>
        <v>3.6515213914227642</v>
      </c>
      <c r="W60" s="126">
        <f t="shared" si="15"/>
        <v>1.8432315112022393</v>
      </c>
      <c r="X60" s="126">
        <f t="shared" si="16"/>
        <v>1.9094967756935941</v>
      </c>
      <c r="Y60" s="126">
        <f t="shared" si="17"/>
        <v>2.6715447198978923</v>
      </c>
      <c r="Z60" s="126">
        <f t="shared" si="18"/>
        <v>1.7865488716114692</v>
      </c>
      <c r="AA60" s="126">
        <f t="shared" si="19"/>
        <v>2.112148920190311</v>
      </c>
      <c r="AB60" s="126">
        <f t="shared" si="20"/>
        <v>3.1095774892035464</v>
      </c>
    </row>
    <row r="61" spans="1:28">
      <c r="A61">
        <v>60</v>
      </c>
      <c r="B61" s="119">
        <v>0.24691358024691357</v>
      </c>
      <c r="F61">
        <v>0.30315500685871055</v>
      </c>
      <c r="G61">
        <v>0.63648834019204392</v>
      </c>
      <c r="H61">
        <v>0.96982167352537718</v>
      </c>
      <c r="I61">
        <v>1.9204389574759947E-2</v>
      </c>
      <c r="J61">
        <v>0.35253772290809327</v>
      </c>
      <c r="K61">
        <v>0.68587105624142652</v>
      </c>
      <c r="L61">
        <v>0.13031550068587106</v>
      </c>
      <c r="M61">
        <v>0.46364883401920437</v>
      </c>
      <c r="N61">
        <v>0.79698216735253768</v>
      </c>
      <c r="O61">
        <v>0.24142661179698216</v>
      </c>
      <c r="R61">
        <v>2.5</v>
      </c>
      <c r="S61" s="126">
        <f t="shared" si="11"/>
        <v>1.9931685880025725</v>
      </c>
      <c r="T61" s="126">
        <f t="shared" si="12"/>
        <v>2.4514216729650182</v>
      </c>
      <c r="U61" s="126">
        <f t="shared" si="13"/>
        <v>3.9429341869765047</v>
      </c>
      <c r="V61" s="126">
        <f t="shared" si="14"/>
        <v>1.4357262670882101</v>
      </c>
      <c r="W61" s="126">
        <f t="shared" si="15"/>
        <v>1.5711547096220142</v>
      </c>
      <c r="X61" s="126">
        <f t="shared" si="16"/>
        <v>2.3507417423177621</v>
      </c>
      <c r="Y61" s="126">
        <f t="shared" si="17"/>
        <v>1.415391920551609</v>
      </c>
      <c r="Z61" s="126">
        <f t="shared" si="18"/>
        <v>1.7978442825199179</v>
      </c>
      <c r="AA61" s="126">
        <f t="shared" si="19"/>
        <v>2.7506422061500073</v>
      </c>
      <c r="AB61" s="126">
        <f t="shared" si="20"/>
        <v>1.9654207974969156</v>
      </c>
    </row>
    <row r="62" spans="1:28">
      <c r="A62">
        <v>61</v>
      </c>
      <c r="B62" s="119">
        <v>0.58024691358024694</v>
      </c>
      <c r="F62">
        <v>0.57475994513031559</v>
      </c>
      <c r="G62">
        <v>0.90809327846364885</v>
      </c>
      <c r="H62">
        <v>5.6241426611796978E-2</v>
      </c>
      <c r="I62">
        <v>0.3895747599451303</v>
      </c>
      <c r="J62">
        <v>0.72290809327846373</v>
      </c>
      <c r="K62">
        <v>0.16735253772290809</v>
      </c>
      <c r="L62">
        <v>0.5006858710562414</v>
      </c>
      <c r="M62">
        <v>0.83401920438957466</v>
      </c>
      <c r="N62">
        <v>0.2784636488340192</v>
      </c>
      <c r="O62">
        <v>0.61179698216735257</v>
      </c>
      <c r="R62">
        <v>2.5</v>
      </c>
      <c r="S62" s="126">
        <f t="shared" si="11"/>
        <v>2.5737070864913014</v>
      </c>
      <c r="T62" s="126">
        <f t="shared" si="12"/>
        <v>3.5515181452702436</v>
      </c>
      <c r="U62" s="126">
        <f t="shared" si="13"/>
        <v>1.6376543559577441</v>
      </c>
      <c r="V62" s="126">
        <f t="shared" si="14"/>
        <v>1.7535158944486693</v>
      </c>
      <c r="W62" s="126">
        <f t="shared" si="15"/>
        <v>2.5309157500707609</v>
      </c>
      <c r="X62" s="126">
        <f t="shared" si="16"/>
        <v>1.6380975657094139</v>
      </c>
      <c r="Y62" s="126">
        <f t="shared" si="17"/>
        <v>1.9864532929997596</v>
      </c>
      <c r="Z62" s="126">
        <f t="shared" si="18"/>
        <v>2.9603153632217452</v>
      </c>
      <c r="AA62" s="126">
        <f t="shared" si="19"/>
        <v>2.1650848448761617</v>
      </c>
      <c r="AB62" s="126">
        <f t="shared" si="20"/>
        <v>2.4841469594243684</v>
      </c>
    </row>
    <row r="63" spans="1:28">
      <c r="A63">
        <v>62</v>
      </c>
      <c r="B63" s="119">
        <v>0.9135802469135802</v>
      </c>
      <c r="F63">
        <v>0.94513031550068582</v>
      </c>
      <c r="G63">
        <v>9.3278463648834006E-2</v>
      </c>
      <c r="H63">
        <v>0.42661179698216734</v>
      </c>
      <c r="I63">
        <v>0.75994513031550071</v>
      </c>
      <c r="J63">
        <v>0.20438957475994513</v>
      </c>
      <c r="K63">
        <v>0.53772290809327838</v>
      </c>
      <c r="L63">
        <v>0.87105624142661164</v>
      </c>
      <c r="M63">
        <v>0.31550068587105623</v>
      </c>
      <c r="N63">
        <v>0.64883401920438954</v>
      </c>
      <c r="O63">
        <v>0.9821673525377228</v>
      </c>
      <c r="R63">
        <v>2.5</v>
      </c>
      <c r="S63" s="126">
        <f t="shared" si="11"/>
        <v>3.7373842693231536</v>
      </c>
      <c r="T63" s="126">
        <f t="shared" si="12"/>
        <v>1.9507134026193551</v>
      </c>
      <c r="U63" s="126">
        <f t="shared" si="13"/>
        <v>1.9895622738902521</v>
      </c>
      <c r="V63" s="126">
        <f t="shared" si="14"/>
        <v>2.7440942230590704</v>
      </c>
      <c r="W63" s="126">
        <f t="shared" si="15"/>
        <v>1.8595881298869721</v>
      </c>
      <c r="X63" s="126">
        <f t="shared" si="16"/>
        <v>2.1744638873410711</v>
      </c>
      <c r="Y63" s="126">
        <f t="shared" si="17"/>
        <v>3.1877902479390836</v>
      </c>
      <c r="Z63" s="126">
        <f t="shared" si="18"/>
        <v>2.3677446251838621</v>
      </c>
      <c r="AA63" s="126">
        <f t="shared" si="19"/>
        <v>2.6669733865480771</v>
      </c>
      <c r="AB63" s="126">
        <f t="shared" si="20"/>
        <v>4.234824539869261</v>
      </c>
    </row>
    <row r="64" spans="1:28">
      <c r="A64">
        <v>63</v>
      </c>
      <c r="B64" s="119">
        <v>6.1728395061728392E-2</v>
      </c>
      <c r="F64">
        <v>3.1550068587105622E-2</v>
      </c>
      <c r="G64">
        <v>0.36488340192043894</v>
      </c>
      <c r="H64">
        <v>0.69821673525377226</v>
      </c>
      <c r="I64">
        <v>0.14266117969821673</v>
      </c>
      <c r="J64">
        <v>0.47599451303155005</v>
      </c>
      <c r="K64">
        <v>0.80932784636488331</v>
      </c>
      <c r="L64">
        <v>0.25377229080932784</v>
      </c>
      <c r="M64">
        <v>0.58710562414266121</v>
      </c>
      <c r="N64">
        <v>0.92043895747599447</v>
      </c>
      <c r="O64">
        <v>6.858710562414265E-2</v>
      </c>
      <c r="R64">
        <v>2.5</v>
      </c>
      <c r="S64" s="126">
        <f t="shared" si="11"/>
        <v>0.88534881213463645</v>
      </c>
      <c r="T64" s="126">
        <f t="shared" si="12"/>
        <v>1.321788345427614</v>
      </c>
      <c r="U64" s="126">
        <f t="shared" si="13"/>
        <v>2.2543591864826036</v>
      </c>
      <c r="V64" s="126">
        <f t="shared" si="14"/>
        <v>1.4135195629529633</v>
      </c>
      <c r="W64" s="126">
        <f t="shared" si="15"/>
        <v>1.8225018320439175</v>
      </c>
      <c r="X64" s="126">
        <f t="shared" si="16"/>
        <v>2.7997649664346649</v>
      </c>
      <c r="Y64" s="126">
        <f t="shared" si="17"/>
        <v>2.0223225134860945</v>
      </c>
      <c r="Z64" s="126">
        <f t="shared" si="18"/>
        <v>2.3596900055918586</v>
      </c>
      <c r="AA64" s="126">
        <f t="shared" si="19"/>
        <v>3.5090510644490829</v>
      </c>
      <c r="AB64" s="126">
        <f t="shared" si="20"/>
        <v>1.6993964727119322</v>
      </c>
    </row>
    <row r="65" spans="1:28">
      <c r="A65">
        <v>64</v>
      </c>
      <c r="B65" s="119">
        <v>0.39506172839506171</v>
      </c>
      <c r="F65">
        <v>0.40192043895747598</v>
      </c>
      <c r="G65">
        <v>0.73525377229080935</v>
      </c>
      <c r="H65">
        <v>0.17969821673525377</v>
      </c>
      <c r="I65">
        <v>0.51303155006858714</v>
      </c>
      <c r="J65">
        <v>0.84636488340192029</v>
      </c>
      <c r="K65">
        <v>0.29080932784636487</v>
      </c>
      <c r="L65">
        <v>0.62414266117969819</v>
      </c>
      <c r="M65">
        <v>0.95747599451303145</v>
      </c>
      <c r="N65">
        <v>0.10562414266117968</v>
      </c>
      <c r="O65">
        <v>0.43895747599451301</v>
      </c>
      <c r="R65">
        <v>2.5</v>
      </c>
      <c r="S65" s="126">
        <f t="shared" si="11"/>
        <v>2.2133641185711532</v>
      </c>
      <c r="T65" s="126">
        <f t="shared" si="12"/>
        <v>2.7927827960737552</v>
      </c>
      <c r="U65" s="126">
        <f t="shared" si="13"/>
        <v>1.8094378559129312</v>
      </c>
      <c r="V65" s="126">
        <f t="shared" si="14"/>
        <v>2.0980979992324462</v>
      </c>
      <c r="W65" s="126">
        <f t="shared" si="15"/>
        <v>3.0583247983956974</v>
      </c>
      <c r="X65" s="126">
        <f t="shared" si="16"/>
        <v>2.2443586129864532</v>
      </c>
      <c r="Y65" s="126">
        <f t="shared" si="17"/>
        <v>2.5506916703414508</v>
      </c>
      <c r="Z65" s="126">
        <f t="shared" si="18"/>
        <v>3.8641086104634912</v>
      </c>
      <c r="AA65" s="126">
        <f t="shared" si="19"/>
        <v>2.0727126739163668</v>
      </c>
      <c r="AB65" s="126">
        <f t="shared" si="20"/>
        <v>2.0767728964406018</v>
      </c>
    </row>
    <row r="66" spans="1:28">
      <c r="A66">
        <v>65</v>
      </c>
      <c r="B66" s="119">
        <v>0.72839506172839508</v>
      </c>
      <c r="F66">
        <v>0.77229080932784633</v>
      </c>
      <c r="G66">
        <v>0.2167352537722908</v>
      </c>
      <c r="H66">
        <v>0.55006858710562412</v>
      </c>
      <c r="I66">
        <v>0.88340192043895738</v>
      </c>
      <c r="J66">
        <v>0.32784636488340191</v>
      </c>
      <c r="K66">
        <v>0.66117969821673528</v>
      </c>
      <c r="L66">
        <v>0.99451303155006854</v>
      </c>
      <c r="M66">
        <v>1.0973936899862827E-2</v>
      </c>
      <c r="N66">
        <v>0.34430727023319618</v>
      </c>
      <c r="O66">
        <v>0.67764060356652944</v>
      </c>
      <c r="R66">
        <v>2.5</v>
      </c>
      <c r="S66" s="126">
        <f t="shared" si="11"/>
        <v>3.0338683186884223</v>
      </c>
      <c r="T66" s="126">
        <f t="shared" si="12"/>
        <v>2.0405112741485882</v>
      </c>
      <c r="U66" s="126">
        <f t="shared" si="13"/>
        <v>2.2910768124173151</v>
      </c>
      <c r="V66" s="126">
        <f t="shared" si="14"/>
        <v>3.2965211690534275</v>
      </c>
      <c r="W66" s="126">
        <f t="shared" si="15"/>
        <v>2.4508072029683348</v>
      </c>
      <c r="X66" s="126">
        <f t="shared" si="16"/>
        <v>2.7363600327615578</v>
      </c>
      <c r="Y66" s="126">
        <f t="shared" si="17"/>
        <v>4.6349236039287725</v>
      </c>
      <c r="Z66" s="126">
        <f t="shared" si="18"/>
        <v>1.6014015635731536</v>
      </c>
      <c r="AA66" s="126">
        <f t="shared" si="19"/>
        <v>1.6360648550537074</v>
      </c>
      <c r="AB66" s="126">
        <f t="shared" si="20"/>
        <v>2.3643381928006053</v>
      </c>
    </row>
    <row r="67" spans="1:28">
      <c r="A67">
        <v>66</v>
      </c>
      <c r="B67" s="119">
        <v>0.1728395061728395</v>
      </c>
      <c r="F67">
        <v>0.12208504801097393</v>
      </c>
      <c r="G67">
        <v>0.45541838134430729</v>
      </c>
      <c r="H67">
        <v>0.78875171467764049</v>
      </c>
      <c r="I67">
        <v>0.23319615912208502</v>
      </c>
      <c r="J67">
        <v>0.56652949245541839</v>
      </c>
      <c r="K67">
        <v>0.89986282578875165</v>
      </c>
      <c r="L67">
        <v>4.8010973936899862E-2</v>
      </c>
      <c r="M67">
        <v>0.38134430727023322</v>
      </c>
      <c r="N67">
        <v>0.71467764060356653</v>
      </c>
      <c r="O67">
        <v>0.15912208504801095</v>
      </c>
      <c r="R67">
        <v>2.5</v>
      </c>
      <c r="S67" s="126">
        <f t="shared" si="11"/>
        <v>1.4576432661156529</v>
      </c>
      <c r="T67" s="126">
        <f t="shared" si="12"/>
        <v>1.8019752390698909</v>
      </c>
      <c r="U67" s="126">
        <f t="shared" si="13"/>
        <v>2.7289701994357576</v>
      </c>
      <c r="V67" s="126">
        <f t="shared" si="14"/>
        <v>1.9325552887548585</v>
      </c>
      <c r="W67" s="126">
        <f t="shared" si="15"/>
        <v>2.2712210830759751</v>
      </c>
      <c r="X67" s="126">
        <f t="shared" si="16"/>
        <v>3.3596225243841005</v>
      </c>
      <c r="Y67" s="126">
        <f t="shared" si="17"/>
        <v>1.4774329350390136</v>
      </c>
      <c r="Z67" s="126">
        <f t="shared" si="18"/>
        <v>1.6552351804120107</v>
      </c>
      <c r="AA67" s="126">
        <f t="shared" si="19"/>
        <v>2.4613945720550268</v>
      </c>
      <c r="AB67" s="126">
        <f t="shared" si="20"/>
        <v>1.5756140962615155</v>
      </c>
    </row>
    <row r="68" spans="1:28">
      <c r="A68">
        <v>67</v>
      </c>
      <c r="B68" s="119">
        <v>0.50617283950617287</v>
      </c>
      <c r="F68">
        <v>0.49245541838134432</v>
      </c>
      <c r="G68">
        <v>0.82578875171467747</v>
      </c>
      <c r="H68">
        <v>0.27023319615912211</v>
      </c>
      <c r="I68">
        <v>0.60356652949245537</v>
      </c>
      <c r="J68">
        <v>0.93689986282578863</v>
      </c>
      <c r="K68">
        <v>8.5048010973936897E-2</v>
      </c>
      <c r="L68">
        <v>0.41838134430727025</v>
      </c>
      <c r="M68">
        <v>0.75171467764060351</v>
      </c>
      <c r="N68">
        <v>0.19615912208504799</v>
      </c>
      <c r="O68">
        <v>0.5294924554183813</v>
      </c>
      <c r="R68">
        <v>2.5</v>
      </c>
      <c r="S68" s="126">
        <f t="shared" si="11"/>
        <v>2.4026283365873957</v>
      </c>
      <c r="T68" s="126">
        <f t="shared" si="12"/>
        <v>3.1426650667057836</v>
      </c>
      <c r="U68" s="126">
        <f t="shared" si="13"/>
        <v>2.2363643330811978</v>
      </c>
      <c r="V68" s="126">
        <f t="shared" si="14"/>
        <v>2.5023080300153668</v>
      </c>
      <c r="W68" s="126">
        <f t="shared" si="15"/>
        <v>3.6807201959703595</v>
      </c>
      <c r="X68" s="126">
        <f t="shared" si="16"/>
        <v>1.880118135794385</v>
      </c>
      <c r="Y68" s="126">
        <f t="shared" si="17"/>
        <v>1.9367362145548956</v>
      </c>
      <c r="Z68" s="126">
        <f t="shared" si="18"/>
        <v>2.6959088521950956</v>
      </c>
      <c r="AA68" s="126">
        <f t="shared" si="19"/>
        <v>1.8111401704036947</v>
      </c>
      <c r="AB68" s="126">
        <f t="shared" si="20"/>
        <v>2.1330368137338844</v>
      </c>
    </row>
    <row r="69" spans="1:28">
      <c r="A69">
        <v>68</v>
      </c>
      <c r="B69" s="119">
        <v>0.83950617283950602</v>
      </c>
      <c r="F69">
        <v>0.86282578875171456</v>
      </c>
      <c r="G69">
        <v>0.30727023319615915</v>
      </c>
      <c r="H69">
        <v>0.64060356652949246</v>
      </c>
      <c r="I69">
        <v>0.97393689986282572</v>
      </c>
      <c r="J69">
        <v>2.3319615912208505E-2</v>
      </c>
      <c r="K69">
        <v>0.35665294924554186</v>
      </c>
      <c r="L69">
        <v>0.68998628257887507</v>
      </c>
      <c r="M69">
        <v>0.1344307270233196</v>
      </c>
      <c r="N69">
        <v>0.46776406035665297</v>
      </c>
      <c r="O69">
        <v>0.80109739368998623</v>
      </c>
      <c r="R69">
        <v>2.5</v>
      </c>
      <c r="S69" s="126">
        <f t="shared" si="11"/>
        <v>3.3198190883623377</v>
      </c>
      <c r="T69" s="126">
        <f t="shared" si="12"/>
        <v>2.4148968560924833</v>
      </c>
      <c r="U69" s="126">
        <f t="shared" si="13"/>
        <v>2.6724424533433386</v>
      </c>
      <c r="V69" s="126">
        <f t="shared" si="14"/>
        <v>4.1067328873499083</v>
      </c>
      <c r="W69" s="126">
        <f t="shared" si="15"/>
        <v>1.5847808473838203</v>
      </c>
      <c r="X69" s="126">
        <f t="shared" si="16"/>
        <v>1.6551904361178549</v>
      </c>
      <c r="Y69" s="126">
        <f t="shared" si="17"/>
        <v>2.402571449878808</v>
      </c>
      <c r="Z69" s="126">
        <f t="shared" si="18"/>
        <v>1.4572881374141313</v>
      </c>
      <c r="AA69" s="126">
        <f t="shared" si="19"/>
        <v>1.8274410251250375</v>
      </c>
      <c r="AB69" s="126">
        <f t="shared" si="20"/>
        <v>2.7776068936096872</v>
      </c>
    </row>
    <row r="70" spans="1:28">
      <c r="A70">
        <v>69</v>
      </c>
      <c r="B70" s="119">
        <v>0.2839506172839506</v>
      </c>
      <c r="F70">
        <v>0.2455418381344307</v>
      </c>
      <c r="G70">
        <v>0.57887517146776413</v>
      </c>
      <c r="H70">
        <v>0.91220850480109739</v>
      </c>
      <c r="I70">
        <v>6.035665294924554E-2</v>
      </c>
      <c r="J70">
        <v>0.3936899862825789</v>
      </c>
      <c r="K70">
        <v>0.72702331961591227</v>
      </c>
      <c r="L70">
        <v>0.17146776406035663</v>
      </c>
      <c r="M70">
        <v>0.50480109739368995</v>
      </c>
      <c r="N70">
        <v>0.83813443072702321</v>
      </c>
      <c r="O70">
        <v>0.28257887517146779</v>
      </c>
      <c r="R70">
        <v>2.5</v>
      </c>
      <c r="S70" s="126">
        <f t="shared" si="11"/>
        <v>1.8502815009136091</v>
      </c>
      <c r="T70" s="126">
        <f t="shared" si="12"/>
        <v>2.2558279219499462</v>
      </c>
      <c r="U70" s="126">
        <f t="shared" si="13"/>
        <v>3.4126824323538365</v>
      </c>
      <c r="V70" s="126">
        <f t="shared" si="14"/>
        <v>1.5970280863447366</v>
      </c>
      <c r="W70" s="126">
        <f t="shared" si="15"/>
        <v>1.7419333096220002</v>
      </c>
      <c r="X70" s="126">
        <f t="shared" si="16"/>
        <v>2.5352662126862717</v>
      </c>
      <c r="Y70" s="126">
        <f t="shared" si="17"/>
        <v>1.6537275891791423</v>
      </c>
      <c r="Z70" s="126">
        <f t="shared" si="18"/>
        <v>2.0028172763642891</v>
      </c>
      <c r="AA70" s="126">
        <f t="shared" si="19"/>
        <v>2.9822721180715188</v>
      </c>
      <c r="AB70" s="126">
        <f t="shared" si="20"/>
        <v>2.1861945292434397</v>
      </c>
    </row>
    <row r="71" spans="1:28">
      <c r="A71">
        <v>70</v>
      </c>
      <c r="B71" s="119">
        <v>0.61728395061728392</v>
      </c>
      <c r="F71">
        <v>0.61591220850480111</v>
      </c>
      <c r="G71">
        <v>0.94924554183813437</v>
      </c>
      <c r="H71">
        <v>9.7393689986282575E-2</v>
      </c>
      <c r="I71">
        <v>0.43072702331961593</v>
      </c>
      <c r="J71">
        <v>0.76406035665294925</v>
      </c>
      <c r="K71">
        <v>0.20850480109739367</v>
      </c>
      <c r="L71">
        <v>0.54183813443072693</v>
      </c>
      <c r="M71">
        <v>0.87517146776406018</v>
      </c>
      <c r="N71">
        <v>0.31961591220850483</v>
      </c>
      <c r="O71">
        <v>0.65294924554183809</v>
      </c>
      <c r="R71">
        <v>2.5</v>
      </c>
      <c r="S71" s="126">
        <f t="shared" si="11"/>
        <v>2.6613472606135042</v>
      </c>
      <c r="T71" s="126">
        <f t="shared" si="12"/>
        <v>3.8499982231947598</v>
      </c>
      <c r="U71" s="126">
        <f t="shared" si="13"/>
        <v>2.0273452556423539</v>
      </c>
      <c r="V71" s="126">
        <f t="shared" si="14"/>
        <v>2.0367241646417646</v>
      </c>
      <c r="W71" s="126">
        <f t="shared" si="15"/>
        <v>2.7787664921863802</v>
      </c>
      <c r="X71" s="126">
        <f t="shared" si="16"/>
        <v>1.8889111458534615</v>
      </c>
      <c r="Y71" s="126">
        <f t="shared" si="17"/>
        <v>2.1977523140149486</v>
      </c>
      <c r="Z71" s="126">
        <f t="shared" si="18"/>
        <v>3.2158132768385528</v>
      </c>
      <c r="AA71" s="126">
        <f t="shared" si="19"/>
        <v>2.3913511340470435</v>
      </c>
      <c r="AB71" s="126">
        <f t="shared" si="20"/>
        <v>2.6880103496940126</v>
      </c>
    </row>
    <row r="72" spans="1:28">
      <c r="A72">
        <v>71</v>
      </c>
      <c r="B72" s="119">
        <v>0.95061728395061718</v>
      </c>
      <c r="F72">
        <v>0.98628257887517135</v>
      </c>
      <c r="G72">
        <v>3.5665294924554183E-2</v>
      </c>
      <c r="H72">
        <v>0.36899862825788754</v>
      </c>
      <c r="I72">
        <v>0.7023319615912208</v>
      </c>
      <c r="J72">
        <v>0.14677640603566527</v>
      </c>
      <c r="K72">
        <v>0.48010973936899864</v>
      </c>
      <c r="L72">
        <v>0.81344307270233185</v>
      </c>
      <c r="M72">
        <v>0.25788751714677643</v>
      </c>
      <c r="N72">
        <v>0.59122085048010975</v>
      </c>
      <c r="O72">
        <v>0.92455418381344301</v>
      </c>
      <c r="R72">
        <v>2.5</v>
      </c>
      <c r="S72" s="126">
        <f t="shared" si="11"/>
        <v>4.2371377988852572</v>
      </c>
      <c r="T72" s="126">
        <f t="shared" si="12"/>
        <v>1.8038957602726859</v>
      </c>
      <c r="U72" s="126">
        <f t="shared" si="13"/>
        <v>1.7924643454505029</v>
      </c>
      <c r="V72" s="126">
        <f t="shared" si="14"/>
        <v>2.5006872590336231</v>
      </c>
      <c r="W72" s="126">
        <f t="shared" si="15"/>
        <v>1.5522362571305033</v>
      </c>
      <c r="X72" s="126">
        <f t="shared" si="16"/>
        <v>1.9007418736777058</v>
      </c>
      <c r="Y72" s="126">
        <f t="shared" si="17"/>
        <v>2.8516532084560158</v>
      </c>
      <c r="Z72" s="126">
        <f t="shared" si="18"/>
        <v>2.0589540808047033</v>
      </c>
      <c r="AA72" s="126">
        <f t="shared" si="19"/>
        <v>2.386828053181647</v>
      </c>
      <c r="AB72" s="126">
        <f t="shared" si="20"/>
        <v>3.5460810090879216</v>
      </c>
    </row>
    <row r="73" spans="1:28">
      <c r="A73">
        <v>72</v>
      </c>
      <c r="B73" s="119">
        <v>9.8765432098765427E-2</v>
      </c>
      <c r="F73">
        <v>7.2702331961591218E-2</v>
      </c>
      <c r="G73">
        <v>0.40603566529492457</v>
      </c>
      <c r="H73">
        <v>0.73936899862825789</v>
      </c>
      <c r="I73">
        <v>0.18381344307270231</v>
      </c>
      <c r="J73">
        <v>0.51714677640603568</v>
      </c>
      <c r="K73">
        <v>0.85048010973936883</v>
      </c>
      <c r="L73">
        <v>0.29492455418381347</v>
      </c>
      <c r="M73">
        <v>0.62825788751714673</v>
      </c>
      <c r="N73">
        <v>0.96159122085047999</v>
      </c>
      <c r="O73">
        <v>0.10973936899862825</v>
      </c>
      <c r="R73">
        <v>2.5</v>
      </c>
      <c r="S73" s="126">
        <f t="shared" si="11"/>
        <v>1.2173545747897816</v>
      </c>
      <c r="T73" s="126">
        <f t="shared" si="12"/>
        <v>1.5774697463617944</v>
      </c>
      <c r="U73" s="126">
        <f t="shared" si="13"/>
        <v>2.4835915087712612</v>
      </c>
      <c r="V73" s="126">
        <f t="shared" si="14"/>
        <v>1.6668955575558724</v>
      </c>
      <c r="W73" s="126">
        <f t="shared" si="15"/>
        <v>2.0349704634536545</v>
      </c>
      <c r="X73" s="126">
        <f t="shared" si="16"/>
        <v>3.0410540606221872</v>
      </c>
      <c r="Y73" s="126">
        <f t="shared" si="17"/>
        <v>2.2455488903676963</v>
      </c>
      <c r="Z73" s="126">
        <f t="shared" si="18"/>
        <v>2.5602502027944714</v>
      </c>
      <c r="AA73" s="126">
        <f t="shared" si="19"/>
        <v>3.9079577326431245</v>
      </c>
      <c r="AB73" s="126">
        <f t="shared" si="20"/>
        <v>2.1130823968516648</v>
      </c>
    </row>
    <row r="74" spans="1:28">
      <c r="A74">
        <v>73</v>
      </c>
      <c r="B74" s="119">
        <v>0.43209876543209874</v>
      </c>
      <c r="F74">
        <v>0.44307270233196161</v>
      </c>
      <c r="G74">
        <v>0.77640603566529487</v>
      </c>
      <c r="H74">
        <v>0.22085048010973934</v>
      </c>
      <c r="I74">
        <v>0.55418381344307266</v>
      </c>
      <c r="J74">
        <v>0.88751714677640592</v>
      </c>
      <c r="K74">
        <v>0.3319615912208505</v>
      </c>
      <c r="L74">
        <v>0.66529492455418382</v>
      </c>
      <c r="M74">
        <v>0.99862825788751708</v>
      </c>
      <c r="N74">
        <v>4.5724737082761773E-4</v>
      </c>
      <c r="O74">
        <v>0.33379058070416096</v>
      </c>
      <c r="R74">
        <v>2.5</v>
      </c>
      <c r="S74" s="126">
        <f t="shared" si="11"/>
        <v>2.3001298396173966</v>
      </c>
      <c r="T74" s="126">
        <f t="shared" si="12"/>
        <v>2.944712677058285</v>
      </c>
      <c r="U74" s="126">
        <f t="shared" si="13"/>
        <v>2.007201550532236</v>
      </c>
      <c r="V74" s="126">
        <f t="shared" si="14"/>
        <v>2.282916837205426</v>
      </c>
      <c r="W74" s="126">
        <f t="shared" si="15"/>
        <v>3.3099579793080665</v>
      </c>
      <c r="X74" s="126">
        <f t="shared" si="16"/>
        <v>2.4669342069961413</v>
      </c>
      <c r="Y74" s="126">
        <f t="shared" si="17"/>
        <v>2.753763268484307</v>
      </c>
      <c r="Z74" s="126">
        <f t="shared" si="18"/>
        <v>5.0161332599519888</v>
      </c>
      <c r="AA74" s="126">
        <f t="shared" si="19"/>
        <v>0.94813633908975525</v>
      </c>
      <c r="AB74" s="126">
        <f t="shared" si="20"/>
        <v>1.2840338398787861</v>
      </c>
    </row>
    <row r="75" spans="1:28">
      <c r="A75">
        <v>74</v>
      </c>
      <c r="B75" s="119">
        <v>0.76543209876543206</v>
      </c>
      <c r="F75">
        <v>0.66712391403749427</v>
      </c>
      <c r="G75">
        <v>0.11156835848193872</v>
      </c>
      <c r="H75">
        <v>0.44490169181527206</v>
      </c>
      <c r="I75">
        <v>0.77823502514860532</v>
      </c>
      <c r="J75">
        <v>0.22267946959304982</v>
      </c>
      <c r="K75">
        <v>0.55601280292638322</v>
      </c>
      <c r="L75">
        <v>0.88934613625971648</v>
      </c>
      <c r="M75">
        <v>3.7494284407864654E-2</v>
      </c>
      <c r="N75">
        <v>0.37082761774119799</v>
      </c>
      <c r="O75">
        <v>0.70416095107453136</v>
      </c>
      <c r="R75">
        <v>2.5</v>
      </c>
      <c r="S75" s="126">
        <f t="shared" si="11"/>
        <v>2.7745288306024061</v>
      </c>
      <c r="T75" s="126">
        <f t="shared" si="12"/>
        <v>1.5514098186115661</v>
      </c>
      <c r="U75" s="126">
        <f t="shared" si="13"/>
        <v>1.8271874984436065</v>
      </c>
      <c r="V75" s="126">
        <f t="shared" si="14"/>
        <v>2.7120715673755336</v>
      </c>
      <c r="W75" s="126">
        <f t="shared" si="15"/>
        <v>1.895347735595498</v>
      </c>
      <c r="X75" s="126">
        <f t="shared" si="16"/>
        <v>2.2305169589159366</v>
      </c>
      <c r="Y75" s="126">
        <f t="shared" si="17"/>
        <v>3.2915636395575678</v>
      </c>
      <c r="Z75" s="126">
        <f t="shared" si="18"/>
        <v>1.3474826734883592</v>
      </c>
      <c r="AA75" s="126">
        <f t="shared" si="19"/>
        <v>1.5670668676950053</v>
      </c>
      <c r="AB75" s="126">
        <f t="shared" si="20"/>
        <v>2.3917627824828349</v>
      </c>
    </row>
    <row r="76" spans="1:28">
      <c r="A76">
        <v>75</v>
      </c>
      <c r="B76" s="119">
        <v>0.20987654320987653</v>
      </c>
      <c r="F76">
        <v>0.14860539551897575</v>
      </c>
      <c r="G76">
        <v>0.4819387288523091</v>
      </c>
      <c r="H76">
        <v>0.8152720621856423</v>
      </c>
      <c r="I76">
        <v>0.25971650663008689</v>
      </c>
      <c r="J76">
        <v>0.5930498399634202</v>
      </c>
      <c r="K76">
        <v>0.92638317329675346</v>
      </c>
      <c r="L76">
        <v>7.4531321444901683E-2</v>
      </c>
      <c r="M76">
        <v>0.40786465477823503</v>
      </c>
      <c r="N76">
        <v>0.74119798811156834</v>
      </c>
      <c r="O76">
        <v>0.18564243255601279</v>
      </c>
      <c r="R76">
        <v>2.5</v>
      </c>
      <c r="S76" s="126">
        <f t="shared" si="11"/>
        <v>1.5584283769803977</v>
      </c>
      <c r="T76" s="126">
        <f t="shared" si="12"/>
        <v>1.9076396950886105</v>
      </c>
      <c r="U76" s="126">
        <f t="shared" si="13"/>
        <v>2.8607594256517532</v>
      </c>
      <c r="V76" s="126">
        <f t="shared" si="14"/>
        <v>2.0681927635811839</v>
      </c>
      <c r="W76" s="126">
        <f t="shared" si="15"/>
        <v>2.3953568812923596</v>
      </c>
      <c r="X76" s="126">
        <f t="shared" si="16"/>
        <v>3.5610760420292991</v>
      </c>
      <c r="Y76" s="126">
        <f t="shared" si="17"/>
        <v>1.7614613217746193</v>
      </c>
      <c r="Z76" s="126">
        <f t="shared" si="18"/>
        <v>1.8548254082700644</v>
      </c>
      <c r="AA76" s="126">
        <f t="shared" si="19"/>
        <v>2.6276438717717925</v>
      </c>
      <c r="AB76" s="126">
        <f t="shared" si="20"/>
        <v>1.7449529703092472</v>
      </c>
    </row>
    <row r="77" spans="1:28">
      <c r="A77">
        <v>76</v>
      </c>
      <c r="B77" s="119">
        <v>0.54320987654320985</v>
      </c>
      <c r="F77">
        <v>0.51897576588934613</v>
      </c>
      <c r="G77">
        <v>0.85230909922267939</v>
      </c>
      <c r="H77">
        <v>0.29675354366712392</v>
      </c>
      <c r="I77">
        <v>0.63008687700045729</v>
      </c>
      <c r="J77">
        <v>0.96342021033379055</v>
      </c>
      <c r="K77">
        <v>1.2802926383173296E-2</v>
      </c>
      <c r="L77">
        <v>0.34613625971650663</v>
      </c>
      <c r="M77">
        <v>0.67946959304983989</v>
      </c>
      <c r="N77">
        <v>0.1239140374942844</v>
      </c>
      <c r="O77">
        <v>0.45724737082761774</v>
      </c>
      <c r="R77">
        <v>2.5</v>
      </c>
      <c r="S77" s="126">
        <f t="shared" si="11"/>
        <v>2.4574740148217131</v>
      </c>
      <c r="T77" s="126">
        <f t="shared" si="12"/>
        <v>3.2599149332802755</v>
      </c>
      <c r="U77" s="126">
        <f t="shared" si="13"/>
        <v>2.359914836515796</v>
      </c>
      <c r="V77" s="126">
        <f t="shared" si="14"/>
        <v>2.6217230671315388</v>
      </c>
      <c r="W77" s="126">
        <f t="shared" si="15"/>
        <v>3.9573100410508939</v>
      </c>
      <c r="X77" s="126">
        <f t="shared" si="16"/>
        <v>1.3096041586208291</v>
      </c>
      <c r="Y77" s="126">
        <f t="shared" si="17"/>
        <v>1.4935009450506203</v>
      </c>
      <c r="Z77" s="126">
        <f t="shared" si="18"/>
        <v>2.2968960685103408</v>
      </c>
      <c r="AA77" s="126">
        <f t="shared" si="19"/>
        <v>1.3629747972728077</v>
      </c>
      <c r="AB77" s="126">
        <f t="shared" si="20"/>
        <v>1.7581990570716943</v>
      </c>
    </row>
    <row r="78" spans="1:28">
      <c r="A78">
        <v>77</v>
      </c>
      <c r="B78" s="119">
        <v>0.87654320987654311</v>
      </c>
      <c r="F78">
        <v>0.79058070416095105</v>
      </c>
      <c r="G78">
        <v>0.2350251486053955</v>
      </c>
      <c r="H78">
        <v>0.56835848193872895</v>
      </c>
      <c r="I78">
        <v>0.90169181527206221</v>
      </c>
      <c r="J78">
        <v>4.9839963420210333E-2</v>
      </c>
      <c r="K78">
        <v>0.38317329675354367</v>
      </c>
      <c r="L78">
        <v>0.71650663008687709</v>
      </c>
      <c r="M78">
        <v>0.16095107453132143</v>
      </c>
      <c r="N78">
        <v>0.49428440786465477</v>
      </c>
      <c r="O78">
        <v>0.82761774119798803</v>
      </c>
      <c r="R78">
        <v>2.5</v>
      </c>
      <c r="S78" s="126">
        <f t="shared" si="11"/>
        <v>3.0850269480262211</v>
      </c>
      <c r="T78" s="126">
        <f t="shared" si="12"/>
        <v>2.1164287591764532</v>
      </c>
      <c r="U78" s="126">
        <f t="shared" si="13"/>
        <v>2.367472221470531</v>
      </c>
      <c r="V78" s="126">
        <f t="shared" si="14"/>
        <v>3.4166434843468174</v>
      </c>
      <c r="W78" s="126">
        <f t="shared" si="15"/>
        <v>1.5209756969090518</v>
      </c>
      <c r="X78" s="126">
        <f t="shared" si="16"/>
        <v>1.6810746718550045</v>
      </c>
      <c r="Y78" s="126">
        <f t="shared" si="17"/>
        <v>2.4788293637868062</v>
      </c>
      <c r="Z78" s="126">
        <f t="shared" si="18"/>
        <v>1.5905760121581705</v>
      </c>
      <c r="AA78" s="126">
        <f t="shared" si="19"/>
        <v>1.9493337413003269</v>
      </c>
      <c r="AB78" s="126">
        <f t="shared" si="20"/>
        <v>2.9207279234112846</v>
      </c>
    </row>
    <row r="79" spans="1:28">
      <c r="A79">
        <v>78</v>
      </c>
      <c r="B79" s="119">
        <v>0.32098765432098764</v>
      </c>
      <c r="F79">
        <v>0.27206218564243256</v>
      </c>
      <c r="G79">
        <v>0.60539551897576593</v>
      </c>
      <c r="H79">
        <v>0.93872885230909919</v>
      </c>
      <c r="I79">
        <v>8.6877000457247361E-2</v>
      </c>
      <c r="J79">
        <v>0.4202103337905807</v>
      </c>
      <c r="K79">
        <v>0.75354366712391407</v>
      </c>
      <c r="L79">
        <v>0.19798811156835847</v>
      </c>
      <c r="M79">
        <v>0.53132144490169175</v>
      </c>
      <c r="N79">
        <v>0.86465477823502501</v>
      </c>
      <c r="O79">
        <v>0.3090992226794696</v>
      </c>
      <c r="R79">
        <v>2.5</v>
      </c>
      <c r="S79" s="126">
        <f t="shared" si="11"/>
        <v>1.9179136642994616</v>
      </c>
      <c r="T79" s="126">
        <f t="shared" si="12"/>
        <v>2.3461711971762131</v>
      </c>
      <c r="U79" s="126">
        <f t="shared" si="13"/>
        <v>3.6145610478367822</v>
      </c>
      <c r="V79" s="126">
        <f t="shared" si="14"/>
        <v>1.8564799033004431</v>
      </c>
      <c r="W79" s="126">
        <f t="shared" si="15"/>
        <v>1.9287162854409725</v>
      </c>
      <c r="X79" s="126">
        <f t="shared" si="16"/>
        <v>2.6966520587039797</v>
      </c>
      <c r="Y79" s="126">
        <f t="shared" si="17"/>
        <v>1.8169502680734488</v>
      </c>
      <c r="Z79" s="126">
        <f t="shared" si="18"/>
        <v>2.1397493685735283</v>
      </c>
      <c r="AA79" s="126">
        <f t="shared" si="19"/>
        <v>3.1456611723847456</v>
      </c>
      <c r="AB79" s="126">
        <f t="shared" si="20"/>
        <v>2.3316521046538385</v>
      </c>
    </row>
    <row r="80" spans="1:28">
      <c r="A80">
        <v>79</v>
      </c>
      <c r="B80" s="119">
        <v>0.65432098765432101</v>
      </c>
      <c r="F80">
        <v>0.64243255601280291</v>
      </c>
      <c r="G80">
        <v>0.97576588934613617</v>
      </c>
      <c r="H80">
        <v>2.5148605395518973E-2</v>
      </c>
      <c r="I80">
        <v>0.35848193872885231</v>
      </c>
      <c r="J80">
        <v>0.69181527206218563</v>
      </c>
      <c r="K80">
        <v>0.13625971650663007</v>
      </c>
      <c r="L80">
        <v>0.46959304983996342</v>
      </c>
      <c r="M80">
        <v>0.80292638317329668</v>
      </c>
      <c r="N80">
        <v>0.24737082761774118</v>
      </c>
      <c r="O80">
        <v>0.58070416095107458</v>
      </c>
      <c r="R80">
        <v>2.5</v>
      </c>
      <c r="S80" s="126">
        <f t="shared" si="11"/>
        <v>2.7192534942876985</v>
      </c>
      <c r="T80" s="126">
        <f t="shared" si="12"/>
        <v>4.1559526263872151</v>
      </c>
      <c r="U80" s="126">
        <f t="shared" si="13"/>
        <v>1.6360229077298767</v>
      </c>
      <c r="V80" s="126">
        <f t="shared" si="14"/>
        <v>1.6849864954653155</v>
      </c>
      <c r="W80" s="126">
        <f t="shared" si="15"/>
        <v>2.4218284063301687</v>
      </c>
      <c r="X80" s="126">
        <f t="shared" si="16"/>
        <v>1.4739026495687648</v>
      </c>
      <c r="Y80" s="126">
        <f t="shared" si="17"/>
        <v>1.8395845540019085</v>
      </c>
      <c r="Z80" s="126">
        <f t="shared" si="18"/>
        <v>2.7891315976039319</v>
      </c>
      <c r="AA80" s="126">
        <f t="shared" si="19"/>
        <v>2.0003825371472659</v>
      </c>
      <c r="AB80" s="126">
        <f t="shared" si="20"/>
        <v>2.3351275202855546</v>
      </c>
    </row>
    <row r="81" spans="1:28">
      <c r="A81">
        <v>80</v>
      </c>
      <c r="B81" s="119">
        <v>0.98765432098765427</v>
      </c>
      <c r="F81">
        <v>0.91403749428440784</v>
      </c>
      <c r="G81">
        <v>6.2185642432556011E-2</v>
      </c>
      <c r="H81">
        <v>0.39551897576588935</v>
      </c>
      <c r="I81">
        <v>0.72885230909922272</v>
      </c>
      <c r="J81">
        <v>0.17329675354366711</v>
      </c>
      <c r="K81">
        <v>0.50663008687700051</v>
      </c>
      <c r="L81">
        <v>0.83996342021033366</v>
      </c>
      <c r="M81">
        <v>0.28440786465477824</v>
      </c>
      <c r="N81">
        <v>0.61774119798811156</v>
      </c>
      <c r="O81">
        <v>0.95107453132144482</v>
      </c>
      <c r="R81">
        <v>2.5</v>
      </c>
      <c r="S81" s="126">
        <f t="shared" si="11"/>
        <v>3.5449409043643403</v>
      </c>
      <c r="T81" s="126">
        <f t="shared" si="12"/>
        <v>1.6759597068894316</v>
      </c>
      <c r="U81" s="126">
        <f t="shared" si="13"/>
        <v>1.7855232917673705</v>
      </c>
      <c r="V81" s="126">
        <f t="shared" si="14"/>
        <v>2.5617197048401978</v>
      </c>
      <c r="W81" s="126">
        <f t="shared" si="15"/>
        <v>1.6729317252180544</v>
      </c>
      <c r="X81" s="126">
        <f t="shared" si="16"/>
        <v>2.0162510419804671</v>
      </c>
      <c r="Y81" s="126">
        <f t="shared" si="17"/>
        <v>2.995200083581369</v>
      </c>
      <c r="Z81" s="126">
        <f t="shared" si="18"/>
        <v>2.1971468483423591</v>
      </c>
      <c r="AA81" s="126">
        <f t="shared" si="19"/>
        <v>2.5130853389715457</v>
      </c>
      <c r="AB81" s="126">
        <f t="shared" si="20"/>
        <v>3.790147327276399</v>
      </c>
    </row>
    <row r="82" spans="1:28">
      <c r="A82">
        <v>81</v>
      </c>
      <c r="B82" s="119">
        <v>4.11522633744856E-3</v>
      </c>
      <c r="F82">
        <v>9.9222679469593039E-2</v>
      </c>
      <c r="G82">
        <v>0.43255601280292638</v>
      </c>
      <c r="H82">
        <v>0.7658893461362597</v>
      </c>
      <c r="I82">
        <v>0.21033379058070414</v>
      </c>
      <c r="J82">
        <v>0.54366712391403749</v>
      </c>
      <c r="K82">
        <v>0.87700045724737075</v>
      </c>
      <c r="L82">
        <v>0.32144490169181528</v>
      </c>
      <c r="M82">
        <v>0.65477823502514865</v>
      </c>
      <c r="N82">
        <v>0.98811156835848191</v>
      </c>
      <c r="O82">
        <v>4.5724737082761778E-3</v>
      </c>
      <c r="R82">
        <v>2.5</v>
      </c>
      <c r="S82" s="126">
        <f t="shared" si="11"/>
        <v>1.3575400691789601</v>
      </c>
      <c r="T82" s="126">
        <f t="shared" si="12"/>
        <v>1.7039179366303761</v>
      </c>
      <c r="U82" s="126">
        <f t="shared" si="13"/>
        <v>2.616406833781733</v>
      </c>
      <c r="V82" s="126">
        <f t="shared" si="14"/>
        <v>1.8125520960039134</v>
      </c>
      <c r="W82" s="126">
        <f t="shared" si="15"/>
        <v>2.1631774941627402</v>
      </c>
      <c r="X82" s="126">
        <f t="shared" si="16"/>
        <v>3.2058091809288998</v>
      </c>
      <c r="Y82" s="126">
        <f t="shared" si="17"/>
        <v>2.3905385749939891</v>
      </c>
      <c r="Z82" s="126">
        <f t="shared" si="18"/>
        <v>2.6916913943722567</v>
      </c>
      <c r="AA82" s="126">
        <f t="shared" si="19"/>
        <v>4.3792099021313611</v>
      </c>
      <c r="AB82" s="126">
        <f t="shared" si="20"/>
        <v>1.2128050252470484</v>
      </c>
    </row>
    <row r="83" spans="1:28">
      <c r="A83">
        <v>82</v>
      </c>
      <c r="B83" s="119">
        <v>0.33744855967078186</v>
      </c>
      <c r="F83">
        <v>0.3379058070416095</v>
      </c>
      <c r="G83">
        <v>0.67123914037494281</v>
      </c>
      <c r="H83">
        <v>0.11568358481938727</v>
      </c>
      <c r="I83">
        <v>0.4490169181527206</v>
      </c>
      <c r="J83">
        <v>0.78235025148605386</v>
      </c>
      <c r="K83">
        <v>0.22679469593049839</v>
      </c>
      <c r="L83">
        <v>0.56012802926383176</v>
      </c>
      <c r="M83">
        <v>0.89346136259716502</v>
      </c>
      <c r="N83">
        <v>4.1609510745313216E-2</v>
      </c>
      <c r="O83">
        <v>0.37494284407864653</v>
      </c>
      <c r="R83">
        <v>2.5</v>
      </c>
      <c r="S83" s="126">
        <f t="shared" si="11"/>
        <v>2.0733081723402833</v>
      </c>
      <c r="T83" s="126">
        <f t="shared" si="12"/>
        <v>2.5694368018585902</v>
      </c>
      <c r="U83" s="126">
        <f t="shared" si="13"/>
        <v>1.4659690327091388</v>
      </c>
      <c r="V83" s="126">
        <f t="shared" si="14"/>
        <v>1.7928290749985663</v>
      </c>
      <c r="W83" s="126">
        <f t="shared" si="15"/>
        <v>2.7062753860479667</v>
      </c>
      <c r="X83" s="126">
        <f t="shared" si="16"/>
        <v>1.9037596989842243</v>
      </c>
      <c r="Y83" s="126">
        <f t="shared" si="17"/>
        <v>2.2433442101867902</v>
      </c>
      <c r="Z83" s="126">
        <f t="shared" si="18"/>
        <v>3.3162304855666647</v>
      </c>
      <c r="AA83" s="126">
        <f t="shared" si="19"/>
        <v>1.3996585559823373</v>
      </c>
      <c r="AB83" s="126">
        <f t="shared" si="20"/>
        <v>1.6022577581349837</v>
      </c>
    </row>
    <row r="84" spans="1:28">
      <c r="A84">
        <v>83</v>
      </c>
      <c r="B84" s="119">
        <v>0.67078189300411517</v>
      </c>
      <c r="F84">
        <v>0.7082761774119799</v>
      </c>
      <c r="G84">
        <v>0.15272062185642432</v>
      </c>
      <c r="H84">
        <v>0.48605395518975764</v>
      </c>
      <c r="I84">
        <v>0.81938728852309084</v>
      </c>
      <c r="J84">
        <v>0.26383173296753543</v>
      </c>
      <c r="K84">
        <v>0.59716506630086874</v>
      </c>
      <c r="L84">
        <v>0.930498399634202</v>
      </c>
      <c r="M84">
        <v>7.8646547782350237E-2</v>
      </c>
      <c r="N84">
        <v>0.41197988111568357</v>
      </c>
      <c r="O84">
        <v>0.74531321444901688</v>
      </c>
      <c r="R84">
        <v>2.5</v>
      </c>
      <c r="S84" s="126">
        <f t="shared" si="11"/>
        <v>2.8705112732398321</v>
      </c>
      <c r="T84" s="126">
        <f t="shared" si="12"/>
        <v>1.7591628386846285</v>
      </c>
      <c r="U84" s="126">
        <f t="shared" si="13"/>
        <v>2.0170438203072467</v>
      </c>
      <c r="V84" s="126">
        <f t="shared" si="14"/>
        <v>2.9285629107398536</v>
      </c>
      <c r="W84" s="126">
        <f t="shared" si="15"/>
        <v>2.1126986339733262</v>
      </c>
      <c r="X84" s="126">
        <f t="shared" si="16"/>
        <v>2.4264837483577635</v>
      </c>
      <c r="Y84" s="126">
        <f t="shared" si="17"/>
        <v>3.6015806758131106</v>
      </c>
      <c r="Z84" s="126">
        <f t="shared" si="18"/>
        <v>1.8054213680194104</v>
      </c>
      <c r="AA84" s="126">
        <f t="shared" si="19"/>
        <v>1.8856514010820664</v>
      </c>
      <c r="AB84" s="126">
        <f t="shared" si="20"/>
        <v>2.6536699419068377</v>
      </c>
    </row>
    <row r="85" spans="1:28">
      <c r="A85">
        <v>84</v>
      </c>
      <c r="B85" s="119">
        <v>0.11522633744855966</v>
      </c>
      <c r="F85">
        <v>0.18975765889346136</v>
      </c>
      <c r="G85">
        <v>0.52309099222679467</v>
      </c>
      <c r="H85">
        <v>0.85642432556012793</v>
      </c>
      <c r="I85">
        <v>0.30086877000457246</v>
      </c>
      <c r="J85">
        <v>0.63420210333790583</v>
      </c>
      <c r="K85">
        <v>0.96753543667123909</v>
      </c>
      <c r="L85">
        <v>1.6918152720621856E-2</v>
      </c>
      <c r="M85">
        <v>0.35025148605395517</v>
      </c>
      <c r="N85">
        <v>0.68358481938728843</v>
      </c>
      <c r="O85">
        <v>0.12802926383173296</v>
      </c>
      <c r="R85">
        <v>2.5</v>
      </c>
      <c r="S85" s="126">
        <f t="shared" si="11"/>
        <v>1.6934017042357465</v>
      </c>
      <c r="T85" s="126">
        <f t="shared" si="12"/>
        <v>2.0605976882977175</v>
      </c>
      <c r="U85" s="126">
        <f t="shared" si="13"/>
        <v>3.0752940090517189</v>
      </c>
      <c r="V85" s="126">
        <f t="shared" si="14"/>
        <v>2.2769042243299178</v>
      </c>
      <c r="W85" s="126">
        <f t="shared" si="15"/>
        <v>2.5890088269741591</v>
      </c>
      <c r="X85" s="126">
        <f t="shared" si="16"/>
        <v>3.9853343955115466</v>
      </c>
      <c r="Y85" s="126">
        <f t="shared" si="17"/>
        <v>1.4145168359934375</v>
      </c>
      <c r="Z85" s="126">
        <f t="shared" si="18"/>
        <v>1.5554112139671215</v>
      </c>
      <c r="AA85" s="126">
        <f t="shared" si="19"/>
        <v>2.3375227566749315</v>
      </c>
      <c r="AB85" s="126">
        <f t="shared" si="20"/>
        <v>1.399794496172821</v>
      </c>
    </row>
    <row r="86" spans="1:28">
      <c r="A86">
        <v>85</v>
      </c>
      <c r="B86" s="119">
        <v>0.44855967078189296</v>
      </c>
      <c r="F86">
        <v>0.46136259716506628</v>
      </c>
      <c r="G86">
        <v>0.79469593049839959</v>
      </c>
      <c r="H86">
        <v>0.23914037494284407</v>
      </c>
      <c r="I86">
        <v>0.5724737082761775</v>
      </c>
      <c r="J86">
        <v>0.90580704160951075</v>
      </c>
      <c r="K86">
        <v>5.3955189757658895E-2</v>
      </c>
      <c r="L86">
        <v>0.38728852309099221</v>
      </c>
      <c r="M86">
        <v>0.72062185642432564</v>
      </c>
      <c r="N86">
        <v>0.16506630086877</v>
      </c>
      <c r="O86">
        <v>0.49839963420210331</v>
      </c>
      <c r="R86">
        <v>2.5</v>
      </c>
      <c r="S86" s="126">
        <f t="shared" si="11"/>
        <v>2.3382205935451541</v>
      </c>
      <c r="T86" s="126">
        <f t="shared" si="12"/>
        <v>3.0155822693856686</v>
      </c>
      <c r="U86" s="126">
        <f t="shared" si="13"/>
        <v>2.0925177687449326</v>
      </c>
      <c r="V86" s="126">
        <f t="shared" si="14"/>
        <v>2.3640976828672025</v>
      </c>
      <c r="W86" s="126">
        <f t="shared" si="15"/>
        <v>3.4348392914910688</v>
      </c>
      <c r="X86" s="126">
        <f t="shared" si="16"/>
        <v>1.5620823944723581</v>
      </c>
      <c r="Y86" s="126">
        <f t="shared" si="17"/>
        <v>1.7106130088988334</v>
      </c>
      <c r="Z86" s="126">
        <f t="shared" si="18"/>
        <v>2.503733717939844</v>
      </c>
      <c r="AA86" s="126">
        <f t="shared" si="19"/>
        <v>1.6168751490717359</v>
      </c>
      <c r="AB86" s="126">
        <f t="shared" si="20"/>
        <v>1.9710601775727452</v>
      </c>
    </row>
    <row r="87" spans="1:28">
      <c r="A87">
        <v>86</v>
      </c>
      <c r="B87" s="119">
        <v>0.78189300411522622</v>
      </c>
      <c r="F87">
        <v>0.83173296753543657</v>
      </c>
      <c r="G87">
        <v>0.2761774119798811</v>
      </c>
      <c r="H87">
        <v>0.60951074531321447</v>
      </c>
      <c r="I87">
        <v>0.94284407864654773</v>
      </c>
      <c r="J87">
        <v>9.0992226794695916E-2</v>
      </c>
      <c r="K87">
        <v>0.42432556012802924</v>
      </c>
      <c r="L87">
        <v>0.75765889346136261</v>
      </c>
      <c r="M87">
        <v>0.20210333790580703</v>
      </c>
      <c r="N87">
        <v>0.53543667123914029</v>
      </c>
      <c r="O87">
        <v>0.86877000457247355</v>
      </c>
      <c r="R87">
        <v>2.5</v>
      </c>
      <c r="S87" s="126">
        <f t="shared" si="11"/>
        <v>3.2108899364456889</v>
      </c>
      <c r="T87" s="126">
        <f t="shared" si="12"/>
        <v>2.2853955430714823</v>
      </c>
      <c r="U87" s="126">
        <f t="shared" si="13"/>
        <v>2.5396980100037432</v>
      </c>
      <c r="V87" s="126">
        <f t="shared" si="14"/>
        <v>3.7406259397234622</v>
      </c>
      <c r="W87" s="126">
        <f t="shared" si="15"/>
        <v>1.940930415587979</v>
      </c>
      <c r="X87" s="126">
        <f t="shared" si="16"/>
        <v>1.9798344150551321</v>
      </c>
      <c r="Y87" s="126">
        <f t="shared" si="17"/>
        <v>2.7331556154575285</v>
      </c>
      <c r="Z87" s="126">
        <f t="shared" si="18"/>
        <v>1.8474194830323407</v>
      </c>
      <c r="AA87" s="126">
        <f t="shared" si="19"/>
        <v>2.1636012318376667</v>
      </c>
      <c r="AB87" s="126">
        <f t="shared" si="20"/>
        <v>3.1734207628002578</v>
      </c>
    </row>
    <row r="88" spans="1:28">
      <c r="A88">
        <v>87</v>
      </c>
      <c r="B88" s="119">
        <v>0.22633744855967078</v>
      </c>
      <c r="F88">
        <v>0.31321444901691814</v>
      </c>
      <c r="G88">
        <v>0.64654778235025145</v>
      </c>
      <c r="H88">
        <v>0.97988111568358471</v>
      </c>
      <c r="I88">
        <v>2.9263831732967534E-2</v>
      </c>
      <c r="J88">
        <v>0.36259716506630085</v>
      </c>
      <c r="K88">
        <v>0.69593049839963417</v>
      </c>
      <c r="L88">
        <v>0.14037494284407864</v>
      </c>
      <c r="M88">
        <v>0.47370827617741196</v>
      </c>
      <c r="N88">
        <v>0.80704160951074522</v>
      </c>
      <c r="O88">
        <v>0.25148605395518975</v>
      </c>
      <c r="R88">
        <v>2.5</v>
      </c>
      <c r="S88" s="126">
        <f t="shared" si="11"/>
        <v>2.016748348436348</v>
      </c>
      <c r="T88" s="126">
        <f t="shared" si="12"/>
        <v>2.4854837845213043</v>
      </c>
      <c r="U88" s="126">
        <f t="shared" si="13"/>
        <v>4.1028435915851604</v>
      </c>
      <c r="V88" s="126">
        <f t="shared" si="14"/>
        <v>1.6635220524658081</v>
      </c>
      <c r="W88" s="126">
        <f t="shared" si="15"/>
        <v>1.707875594333006</v>
      </c>
      <c r="X88" s="126">
        <f t="shared" si="16"/>
        <v>2.4430068302635539</v>
      </c>
      <c r="Y88" s="126">
        <f t="shared" si="17"/>
        <v>1.4999234399594839</v>
      </c>
      <c r="Z88" s="126">
        <f t="shared" si="18"/>
        <v>1.8611922814393067</v>
      </c>
      <c r="AA88" s="126">
        <f t="shared" si="19"/>
        <v>2.8123022593090021</v>
      </c>
      <c r="AB88" s="126">
        <f t="shared" si="20"/>
        <v>2.0227224573267426</v>
      </c>
    </row>
    <row r="89" spans="1:28">
      <c r="A89">
        <v>88</v>
      </c>
      <c r="B89" s="119">
        <v>0.55967078189300412</v>
      </c>
      <c r="F89">
        <v>0.58481938728852312</v>
      </c>
      <c r="G89">
        <v>0.91815272062185638</v>
      </c>
      <c r="H89">
        <v>6.6300868770004559E-2</v>
      </c>
      <c r="I89">
        <v>0.39963420210333789</v>
      </c>
      <c r="J89">
        <v>0.73296753543667126</v>
      </c>
      <c r="K89">
        <v>0.17741197988111568</v>
      </c>
      <c r="L89">
        <v>0.51074531321444905</v>
      </c>
      <c r="M89">
        <v>0.8440786465477822</v>
      </c>
      <c r="N89">
        <v>0.28852309099222678</v>
      </c>
      <c r="O89">
        <v>0.6218564243255601</v>
      </c>
      <c r="R89">
        <v>2.5</v>
      </c>
      <c r="S89" s="126">
        <f t="shared" si="11"/>
        <v>2.5949311949915521</v>
      </c>
      <c r="T89" s="126">
        <f t="shared" si="12"/>
        <v>3.6146823605096539</v>
      </c>
      <c r="U89" s="126">
        <f t="shared" si="13"/>
        <v>1.7380328445279862</v>
      </c>
      <c r="V89" s="126">
        <f t="shared" si="14"/>
        <v>1.8255210238007478</v>
      </c>
      <c r="W89" s="126">
        <f t="shared" si="15"/>
        <v>2.5921055536034618</v>
      </c>
      <c r="X89" s="126">
        <f t="shared" si="16"/>
        <v>1.7013545845861922</v>
      </c>
      <c r="Y89" s="126">
        <f t="shared" si="17"/>
        <v>2.039046521494662</v>
      </c>
      <c r="Z89" s="126">
        <f t="shared" si="18"/>
        <v>3.0207244522417924</v>
      </c>
      <c r="AA89" s="126">
        <f t="shared" si="19"/>
        <v>2.2199488752602909</v>
      </c>
      <c r="AB89" s="126">
        <f t="shared" si="20"/>
        <v>2.533458734875401</v>
      </c>
    </row>
    <row r="90" spans="1:28">
      <c r="A90">
        <v>89</v>
      </c>
      <c r="B90" s="119">
        <v>0.89300411522633738</v>
      </c>
      <c r="F90">
        <v>0.95518975765889336</v>
      </c>
      <c r="G90">
        <v>0.10333790580704159</v>
      </c>
      <c r="H90">
        <v>0.43667123914037492</v>
      </c>
      <c r="I90">
        <v>0.77000457247370824</v>
      </c>
      <c r="J90">
        <v>0.21444901691815271</v>
      </c>
      <c r="K90">
        <v>0.54778235025148603</v>
      </c>
      <c r="L90">
        <v>0.88111568358481929</v>
      </c>
      <c r="M90">
        <v>0.32556012802926382</v>
      </c>
      <c r="N90">
        <v>0.65889346136259719</v>
      </c>
      <c r="O90">
        <v>0.99222679469593045</v>
      </c>
      <c r="R90">
        <v>2.5</v>
      </c>
      <c r="S90" s="126">
        <f t="shared" si="11"/>
        <v>3.8182454828575429</v>
      </c>
      <c r="T90" s="126">
        <f t="shared" si="12"/>
        <v>2.0392540153296785</v>
      </c>
      <c r="U90" s="126">
        <f t="shared" si="13"/>
        <v>2.0551715987751322</v>
      </c>
      <c r="V90" s="126">
        <f t="shared" si="14"/>
        <v>2.8040699870424555</v>
      </c>
      <c r="W90" s="126">
        <f t="shared" si="15"/>
        <v>1.9185712556621601</v>
      </c>
      <c r="X90" s="126">
        <f t="shared" si="16"/>
        <v>2.2250271732498694</v>
      </c>
      <c r="Y90" s="126">
        <f t="shared" si="17"/>
        <v>3.2537705145583553</v>
      </c>
      <c r="Z90" s="126">
        <f t="shared" si="18"/>
        <v>2.4240926138418235</v>
      </c>
      <c r="AA90" s="126">
        <f t="shared" si="19"/>
        <v>2.7177866734239835</v>
      </c>
      <c r="AB90" s="126">
        <f t="shared" si="20"/>
        <v>4.5232028153045434</v>
      </c>
    </row>
    <row r="91" spans="1:28">
      <c r="A91">
        <v>90</v>
      </c>
      <c r="B91" s="119">
        <v>4.1152263374485597E-2</v>
      </c>
      <c r="F91">
        <v>8.6877000457247378E-3</v>
      </c>
      <c r="G91">
        <v>0.34202103337905809</v>
      </c>
      <c r="H91">
        <v>0.67535436671239135</v>
      </c>
      <c r="I91">
        <v>0.11979881115683584</v>
      </c>
      <c r="J91">
        <v>0.4531321444901692</v>
      </c>
      <c r="K91">
        <v>0.7864654778235024</v>
      </c>
      <c r="L91">
        <v>0.23090992226794693</v>
      </c>
      <c r="M91">
        <v>0.5642432556012803</v>
      </c>
      <c r="N91">
        <v>0.89757658893461356</v>
      </c>
      <c r="O91">
        <v>4.5724737082761778E-2</v>
      </c>
      <c r="R91">
        <v>2.5</v>
      </c>
      <c r="S91" s="126">
        <f t="shared" si="11"/>
        <v>0.45630352216564019</v>
      </c>
      <c r="T91" s="126">
        <f t="shared" si="12"/>
        <v>1.0554102600229167</v>
      </c>
      <c r="U91" s="126">
        <f t="shared" si="13"/>
        <v>2.067251958968531</v>
      </c>
      <c r="V91" s="126">
        <f t="shared" si="14"/>
        <v>1.2307691429352772</v>
      </c>
      <c r="W91" s="126">
        <f t="shared" si="15"/>
        <v>1.6831902924592848</v>
      </c>
      <c r="X91" s="126">
        <f t="shared" si="16"/>
        <v>2.6627691604833386</v>
      </c>
      <c r="Y91" s="126">
        <f t="shared" si="17"/>
        <v>1.8931032343956549</v>
      </c>
      <c r="Z91" s="126">
        <f t="shared" si="18"/>
        <v>2.2466012560132191</v>
      </c>
      <c r="AA91" s="126">
        <f t="shared" si="19"/>
        <v>3.336602765639515</v>
      </c>
      <c r="AB91" s="126">
        <f t="shared" si="20"/>
        <v>1.4466058909235588</v>
      </c>
    </row>
    <row r="92" spans="1:28">
      <c r="A92">
        <v>91</v>
      </c>
      <c r="B92" s="119">
        <v>0.37448559670781889</v>
      </c>
      <c r="F92">
        <v>0.37905807041609513</v>
      </c>
      <c r="G92">
        <v>0.71239140374942844</v>
      </c>
      <c r="H92">
        <v>0.15683584819387286</v>
      </c>
      <c r="I92">
        <v>0.49016918152720623</v>
      </c>
      <c r="J92">
        <v>0.82350251486053938</v>
      </c>
      <c r="K92">
        <v>0.26794695930498402</v>
      </c>
      <c r="L92">
        <v>0.60128029263831728</v>
      </c>
      <c r="M92">
        <v>0.93461362597165054</v>
      </c>
      <c r="N92">
        <v>8.2761774119798806E-2</v>
      </c>
      <c r="O92">
        <v>0.41609510745313216</v>
      </c>
      <c r="R92">
        <v>2.5</v>
      </c>
      <c r="S92" s="126">
        <f t="shared" si="11"/>
        <v>2.1642256863642753</v>
      </c>
      <c r="T92" s="126">
        <f t="shared" si="12"/>
        <v>2.7116724167244657</v>
      </c>
      <c r="U92" s="126">
        <f t="shared" si="13"/>
        <v>1.6935887378274916</v>
      </c>
      <c r="V92" s="126">
        <f t="shared" si="14"/>
        <v>1.9925981894011016</v>
      </c>
      <c r="W92" s="126">
        <f t="shared" si="15"/>
        <v>2.9292779882188338</v>
      </c>
      <c r="X92" s="126">
        <f t="shared" si="16"/>
        <v>2.1234032609290208</v>
      </c>
      <c r="Y92" s="126">
        <f t="shared" si="17"/>
        <v>2.4406450505337971</v>
      </c>
      <c r="Z92" s="126">
        <f t="shared" si="18"/>
        <v>3.6347192793821494</v>
      </c>
      <c r="AA92" s="126">
        <f t="shared" si="19"/>
        <v>1.8447609292672311</v>
      </c>
      <c r="AB92" s="126">
        <f t="shared" si="20"/>
        <v>1.9141346227767366</v>
      </c>
    </row>
    <row r="93" spans="1:28">
      <c r="A93">
        <v>92</v>
      </c>
      <c r="B93" s="119">
        <v>0.70781893004115226</v>
      </c>
      <c r="F93">
        <v>0.74942844078646542</v>
      </c>
      <c r="G93">
        <v>0.1938728852309099</v>
      </c>
      <c r="H93">
        <v>0.52720621856424321</v>
      </c>
      <c r="I93">
        <v>0.86053955189757647</v>
      </c>
      <c r="J93">
        <v>0.30498399634202106</v>
      </c>
      <c r="K93">
        <v>0.63831732967535437</v>
      </c>
      <c r="L93">
        <v>0.97165066300868763</v>
      </c>
      <c r="M93">
        <v>2.1033379058070414E-2</v>
      </c>
      <c r="N93">
        <v>0.35436671239140377</v>
      </c>
      <c r="O93">
        <v>0.68770004572473697</v>
      </c>
      <c r="R93">
        <v>2.5</v>
      </c>
      <c r="S93" s="126">
        <f t="shared" si="11"/>
        <v>2.9730639827380743</v>
      </c>
      <c r="T93" s="126">
        <f t="shared" si="12"/>
        <v>1.9435992155963877</v>
      </c>
      <c r="U93" s="126">
        <f t="shared" si="13"/>
        <v>2.1948720344903969</v>
      </c>
      <c r="V93" s="126">
        <f t="shared" si="14"/>
        <v>3.1579195528064217</v>
      </c>
      <c r="W93" s="126">
        <f t="shared" si="15"/>
        <v>2.3281515357434874</v>
      </c>
      <c r="X93" s="126">
        <f t="shared" si="16"/>
        <v>2.6238064836136554</v>
      </c>
      <c r="Y93" s="126">
        <f t="shared" si="17"/>
        <v>4.0522133632953139</v>
      </c>
      <c r="Z93" s="126">
        <f t="shared" si="18"/>
        <v>1.5216676737401085</v>
      </c>
      <c r="AA93" s="126">
        <f t="shared" si="19"/>
        <v>1.618407238671506</v>
      </c>
      <c r="AB93" s="126">
        <f t="shared" si="20"/>
        <v>2.3787478296848468</v>
      </c>
    </row>
    <row r="94" spans="1:28">
      <c r="A94">
        <v>93</v>
      </c>
      <c r="B94" s="119">
        <v>0.15226337448559671</v>
      </c>
      <c r="F94">
        <v>0.13214449016918151</v>
      </c>
      <c r="G94">
        <v>0.46547782350251488</v>
      </c>
      <c r="H94">
        <v>0.79881115683584814</v>
      </c>
      <c r="I94">
        <v>0.24325560128029261</v>
      </c>
      <c r="J94">
        <v>0.57658893461362604</v>
      </c>
      <c r="K94">
        <v>0.9099222679469593</v>
      </c>
      <c r="L94">
        <v>5.8070416095107456E-2</v>
      </c>
      <c r="M94">
        <v>0.39140374942844081</v>
      </c>
      <c r="N94">
        <v>0.72473708276177418</v>
      </c>
      <c r="O94">
        <v>0.16918152720621854</v>
      </c>
      <c r="R94">
        <v>2.5</v>
      </c>
      <c r="S94" s="126">
        <f t="shared" si="11"/>
        <v>1.4974940224122519</v>
      </c>
      <c r="T94" s="126">
        <f t="shared" si="12"/>
        <v>1.8429051645358512</v>
      </c>
      <c r="U94" s="126">
        <f t="shared" si="13"/>
        <v>2.7786445339256067</v>
      </c>
      <c r="V94" s="126">
        <f t="shared" si="14"/>
        <v>1.9843218658807307</v>
      </c>
      <c r="W94" s="126">
        <f t="shared" si="15"/>
        <v>2.3183781247236528</v>
      </c>
      <c r="X94" s="126">
        <f t="shared" si="16"/>
        <v>3.4324043541816218</v>
      </c>
      <c r="Y94" s="126">
        <f t="shared" si="17"/>
        <v>1.5909445613745503</v>
      </c>
      <c r="Z94" s="126">
        <f t="shared" si="18"/>
        <v>1.7339699593809381</v>
      </c>
      <c r="AA94" s="126">
        <f t="shared" si="19"/>
        <v>2.5256035441663069</v>
      </c>
      <c r="AB94" s="126">
        <f t="shared" si="20"/>
        <v>1.6414284293771488</v>
      </c>
    </row>
    <row r="95" spans="1:28">
      <c r="A95">
        <v>94</v>
      </c>
      <c r="B95" s="119">
        <v>0.48559670781893</v>
      </c>
      <c r="F95">
        <v>0.50251486053955186</v>
      </c>
      <c r="G95">
        <v>0.83584819387288511</v>
      </c>
      <c r="H95">
        <v>0.2802926383173297</v>
      </c>
      <c r="I95">
        <v>0.61362597165066302</v>
      </c>
      <c r="J95">
        <v>0.94695930498399628</v>
      </c>
      <c r="K95">
        <v>9.5107453132144484E-2</v>
      </c>
      <c r="L95">
        <v>0.42844078646547784</v>
      </c>
      <c r="M95">
        <v>0.76177411979881116</v>
      </c>
      <c r="N95">
        <v>0.20621856424325558</v>
      </c>
      <c r="O95">
        <v>0.53955189757658883</v>
      </c>
      <c r="R95">
        <v>2.5</v>
      </c>
      <c r="S95" s="126">
        <f t="shared" si="11"/>
        <v>2.423426865613608</v>
      </c>
      <c r="T95" s="126">
        <f t="shared" si="12"/>
        <v>3.1860138955242157</v>
      </c>
      <c r="U95" s="126">
        <f t="shared" si="13"/>
        <v>2.2830071943608274</v>
      </c>
      <c r="V95" s="126">
        <f t="shared" si="14"/>
        <v>2.5473544119594216</v>
      </c>
      <c r="W95" s="126">
        <f t="shared" si="15"/>
        <v>3.7749538699427516</v>
      </c>
      <c r="X95" s="126">
        <f t="shared" si="16"/>
        <v>1.9785777498963559</v>
      </c>
      <c r="Y95" s="126">
        <f t="shared" si="17"/>
        <v>2.0074118961840877</v>
      </c>
      <c r="Z95" s="126">
        <f t="shared" si="18"/>
        <v>2.7579275953914606</v>
      </c>
      <c r="AA95" s="126">
        <f t="shared" si="19"/>
        <v>1.8718455795547488</v>
      </c>
      <c r="AB95" s="126">
        <f t="shared" si="20"/>
        <v>2.1844236923162734</v>
      </c>
    </row>
    <row r="96" spans="1:28">
      <c r="A96">
        <v>95</v>
      </c>
      <c r="B96" s="119">
        <v>0.8189300411522632</v>
      </c>
      <c r="F96">
        <v>0.87288523090992209</v>
      </c>
      <c r="G96">
        <v>0.31732967535436674</v>
      </c>
      <c r="H96">
        <v>0.6506630086877</v>
      </c>
      <c r="I96">
        <v>0.98399634202103325</v>
      </c>
      <c r="J96">
        <v>3.33790580704161E-2</v>
      </c>
      <c r="K96">
        <v>0.36671239140374945</v>
      </c>
      <c r="L96">
        <v>0.70004572473708271</v>
      </c>
      <c r="M96">
        <v>0.14449016918152718</v>
      </c>
      <c r="N96">
        <v>0.47782350251486055</v>
      </c>
      <c r="O96">
        <v>0.81115683584819376</v>
      </c>
      <c r="R96">
        <v>2.5</v>
      </c>
      <c r="S96" s="126">
        <f t="shared" si="11"/>
        <v>3.3586118258926727</v>
      </c>
      <c r="T96" s="126">
        <f t="shared" si="12"/>
        <v>2.4578380546061371</v>
      </c>
      <c r="U96" s="126">
        <f t="shared" si="13"/>
        <v>2.7163260567897982</v>
      </c>
      <c r="V96" s="126">
        <f t="shared" si="14"/>
        <v>4.2955874280682718</v>
      </c>
      <c r="W96" s="126">
        <f t="shared" si="15"/>
        <v>1.8085846556628664</v>
      </c>
      <c r="X96" s="126">
        <f t="shared" si="16"/>
        <v>1.7898171756418733</v>
      </c>
      <c r="Y96" s="126">
        <f t="shared" si="17"/>
        <v>2.493923567792057</v>
      </c>
      <c r="Z96" s="126">
        <f t="shared" si="18"/>
        <v>1.5405875647983669</v>
      </c>
      <c r="AA96" s="126">
        <f t="shared" si="19"/>
        <v>1.8901539350265892</v>
      </c>
      <c r="AB96" s="126">
        <f t="shared" si="20"/>
        <v>2.8393304183045358</v>
      </c>
    </row>
    <row r="97" spans="1:28">
      <c r="A97">
        <v>96</v>
      </c>
      <c r="B97" s="119">
        <v>0.26337448559670779</v>
      </c>
      <c r="F97">
        <v>0.25560128029263834</v>
      </c>
      <c r="G97">
        <v>0.58893461362597166</v>
      </c>
      <c r="H97">
        <v>0.92226794695930492</v>
      </c>
      <c r="I97">
        <v>7.0416095107453128E-2</v>
      </c>
      <c r="J97">
        <v>0.40374942844078648</v>
      </c>
      <c r="K97">
        <v>0.7370827617741198</v>
      </c>
      <c r="L97">
        <v>0.18152720621856422</v>
      </c>
      <c r="M97">
        <v>0.51486053955189759</v>
      </c>
      <c r="N97">
        <v>0.84819387288523074</v>
      </c>
      <c r="O97">
        <v>0.29263831732967538</v>
      </c>
      <c r="R97">
        <v>2.5</v>
      </c>
      <c r="S97" s="126">
        <f t="shared" si="11"/>
        <v>1.8763616035605357</v>
      </c>
      <c r="T97" s="126">
        <f t="shared" si="12"/>
        <v>2.290206161643372</v>
      </c>
      <c r="U97" s="126">
        <f t="shared" si="13"/>
        <v>3.4844079638377146</v>
      </c>
      <c r="V97" s="126">
        <f t="shared" si="14"/>
        <v>1.6983086674806773</v>
      </c>
      <c r="W97" s="126">
        <f t="shared" si="15"/>
        <v>1.8143316150912359</v>
      </c>
      <c r="X97" s="126">
        <f t="shared" si="16"/>
        <v>2.5968450886075685</v>
      </c>
      <c r="Y97" s="126">
        <f t="shared" si="17"/>
        <v>1.7166963976280152</v>
      </c>
      <c r="Z97" s="126">
        <f t="shared" si="18"/>
        <v>2.0552698331519714</v>
      </c>
      <c r="AA97" s="126">
        <f t="shared" si="19"/>
        <v>3.0431925851906527</v>
      </c>
      <c r="AB97" s="126">
        <f t="shared" si="20"/>
        <v>2.2411480272261239</v>
      </c>
    </row>
    <row r="98" spans="1:28">
      <c r="A98">
        <v>97</v>
      </c>
      <c r="B98" s="119">
        <v>0.5967078189300411</v>
      </c>
      <c r="F98">
        <v>0.62597165066300864</v>
      </c>
      <c r="G98">
        <v>0.9593049839963419</v>
      </c>
      <c r="H98">
        <v>0.10745313214449016</v>
      </c>
      <c r="I98">
        <v>0.44078646547782352</v>
      </c>
      <c r="J98">
        <v>0.77411979881115678</v>
      </c>
      <c r="K98">
        <v>0.21856424325560125</v>
      </c>
      <c r="L98">
        <v>0.55189757658893457</v>
      </c>
      <c r="M98">
        <v>0.88523090992226783</v>
      </c>
      <c r="N98">
        <v>0.32967535436671241</v>
      </c>
      <c r="O98">
        <v>0.66300868770004573</v>
      </c>
      <c r="R98">
        <v>2.5</v>
      </c>
      <c r="S98" s="126">
        <f t="shared" si="11"/>
        <v>2.6831555221926298</v>
      </c>
      <c r="T98" s="126">
        <f t="shared" si="12"/>
        <v>3.9476414866787328</v>
      </c>
      <c r="U98" s="126">
        <f t="shared" si="13"/>
        <v>2.1229058775385554</v>
      </c>
      <c r="V98" s="126">
        <f t="shared" si="14"/>
        <v>2.1058249056711578</v>
      </c>
      <c r="W98" s="126">
        <f t="shared" si="15"/>
        <v>2.8407633548930566</v>
      </c>
      <c r="X98" s="126">
        <f t="shared" si="16"/>
        <v>1.9485831645936549</v>
      </c>
      <c r="Y98" s="126">
        <f t="shared" si="17"/>
        <v>2.2486862987589995</v>
      </c>
      <c r="Z98" s="126">
        <f t="shared" si="18"/>
        <v>3.2829550674706525</v>
      </c>
      <c r="AA98" s="126">
        <f t="shared" si="19"/>
        <v>2.4481607458611343</v>
      </c>
      <c r="AB98" s="126">
        <f t="shared" si="20"/>
        <v>2.7391568324303104</v>
      </c>
    </row>
    <row r="99" spans="1:28">
      <c r="A99">
        <v>98</v>
      </c>
      <c r="B99" s="119">
        <v>0.93004115226337436</v>
      </c>
      <c r="F99">
        <v>0.99634202103337899</v>
      </c>
      <c r="G99">
        <v>1.8289894833104709E-3</v>
      </c>
      <c r="H99">
        <v>0.33516232281664382</v>
      </c>
      <c r="I99">
        <v>0.66849565614997708</v>
      </c>
      <c r="J99">
        <v>0.11294010059442157</v>
      </c>
      <c r="K99">
        <v>0.44627343392775493</v>
      </c>
      <c r="L99">
        <v>0.77960676726108813</v>
      </c>
      <c r="M99">
        <v>0.22405121170553269</v>
      </c>
      <c r="N99">
        <v>0.55738454503886603</v>
      </c>
      <c r="O99">
        <v>0.89071787837219929</v>
      </c>
      <c r="R99">
        <v>2.5</v>
      </c>
      <c r="S99" s="126">
        <f t="shared" si="11"/>
        <v>4.6304310895694298</v>
      </c>
      <c r="T99" s="126">
        <f t="shared" si="12"/>
        <v>1.091913334300191</v>
      </c>
      <c r="U99" s="126">
        <f t="shared" si="13"/>
        <v>1.3594036660290532</v>
      </c>
      <c r="V99" s="126">
        <f t="shared" si="14"/>
        <v>2.2043810491354527</v>
      </c>
      <c r="W99" s="126">
        <f t="shared" si="15"/>
        <v>1.2707838352500813</v>
      </c>
      <c r="X99" s="126">
        <f t="shared" si="16"/>
        <v>1.6890075806957408</v>
      </c>
      <c r="Y99" s="126">
        <f t="shared" si="17"/>
        <v>2.6464327826989704</v>
      </c>
      <c r="Z99" s="126">
        <f t="shared" si="18"/>
        <v>1.8661458194558125</v>
      </c>
      <c r="AA99" s="126">
        <f t="shared" si="19"/>
        <v>2.2187050927934773</v>
      </c>
      <c r="AB99" s="126">
        <f t="shared" si="20"/>
        <v>3.2916453211095362</v>
      </c>
    </row>
    <row r="100" spans="1:28">
      <c r="A100">
        <v>99</v>
      </c>
      <c r="B100" s="119">
        <v>7.8189300411522625E-2</v>
      </c>
      <c r="F100">
        <v>3.8866026520347506E-2</v>
      </c>
      <c r="G100">
        <v>0.37219935985368086</v>
      </c>
      <c r="H100">
        <v>0.70553269318701417</v>
      </c>
      <c r="I100">
        <v>0.14997713763145862</v>
      </c>
      <c r="J100">
        <v>0.48331047096479196</v>
      </c>
      <c r="K100">
        <v>0.81664380429812511</v>
      </c>
      <c r="L100">
        <v>0.26108824874256975</v>
      </c>
      <c r="M100">
        <v>0.59442158207590301</v>
      </c>
      <c r="N100">
        <v>0.92775491540923627</v>
      </c>
      <c r="O100">
        <v>7.5903063557384534E-2</v>
      </c>
      <c r="R100">
        <v>2.5</v>
      </c>
      <c r="S100" s="126">
        <f t="shared" si="11"/>
        <v>0.96328060177499064</v>
      </c>
      <c r="T100" s="126">
        <f t="shared" si="12"/>
        <v>1.3769595238513284</v>
      </c>
      <c r="U100" s="126">
        <f t="shared" si="13"/>
        <v>2.2994931800629654</v>
      </c>
      <c r="V100" s="126">
        <f t="shared" si="14"/>
        <v>1.4625215728248158</v>
      </c>
      <c r="W100" s="126">
        <f t="shared" si="15"/>
        <v>1.8622756611230489</v>
      </c>
      <c r="X100" s="126">
        <f t="shared" si="16"/>
        <v>2.8422118034617814</v>
      </c>
      <c r="Y100" s="126">
        <f t="shared" si="17"/>
        <v>2.0623560378512513</v>
      </c>
      <c r="Z100" s="126">
        <f t="shared" si="18"/>
        <v>2.3953402679906115</v>
      </c>
      <c r="AA100" s="126">
        <f t="shared" si="19"/>
        <v>3.5692332728481286</v>
      </c>
      <c r="AB100" s="126">
        <f t="shared" si="20"/>
        <v>1.7735364204507587</v>
      </c>
    </row>
    <row r="101" spans="1:28">
      <c r="A101">
        <v>100</v>
      </c>
      <c r="B101" s="119">
        <v>0.41152263374485593</v>
      </c>
      <c r="F101">
        <v>0.40923639689071789</v>
      </c>
      <c r="G101">
        <v>0.74256973022405115</v>
      </c>
      <c r="H101">
        <v>0.18701417466849565</v>
      </c>
      <c r="I101">
        <v>0.52034750800182894</v>
      </c>
      <c r="J101">
        <v>0.8536808413351622</v>
      </c>
      <c r="K101">
        <v>0.29812528577960679</v>
      </c>
      <c r="L101">
        <v>0.6314586191129401</v>
      </c>
      <c r="M101">
        <v>0.96479195244627336</v>
      </c>
      <c r="N101">
        <v>1.4174668495656149E-2</v>
      </c>
      <c r="O101">
        <v>0.3475080018289895</v>
      </c>
      <c r="R101">
        <v>2.5</v>
      </c>
      <c r="S101" s="126">
        <f t="shared" si="11"/>
        <v>2.2289278516103277</v>
      </c>
      <c r="T101" s="126">
        <f t="shared" si="12"/>
        <v>2.819168989194091</v>
      </c>
      <c r="U101" s="126">
        <f t="shared" si="13"/>
        <v>1.8454333544106876</v>
      </c>
      <c r="V101" s="126">
        <f t="shared" si="14"/>
        <v>2.1313283008907091</v>
      </c>
      <c r="W101" s="126">
        <f t="shared" si="15"/>
        <v>3.1009125510015179</v>
      </c>
      <c r="X101" s="126">
        <f t="shared" si="16"/>
        <v>2.283267008086038</v>
      </c>
      <c r="Y101" s="126">
        <f t="shared" si="17"/>
        <v>2.5861984857376177</v>
      </c>
      <c r="Z101" s="126">
        <f t="shared" si="18"/>
        <v>3.9537993670902591</v>
      </c>
      <c r="AA101" s="126">
        <f t="shared" si="19"/>
        <v>1.3406006230087999</v>
      </c>
      <c r="AB101" s="126">
        <f t="shared" si="20"/>
        <v>1.5121445939138831</v>
      </c>
    </row>
    <row r="102" spans="1:28">
      <c r="A102">
        <v>101</v>
      </c>
      <c r="B102" s="119">
        <v>0.74485596707818924</v>
      </c>
      <c r="F102">
        <v>0.6808413351623227</v>
      </c>
      <c r="G102">
        <v>0.12528577960676726</v>
      </c>
      <c r="H102">
        <v>0.4586191129401006</v>
      </c>
      <c r="I102">
        <v>0.79195244627343386</v>
      </c>
      <c r="J102">
        <v>0.23639689071787837</v>
      </c>
      <c r="K102">
        <v>0.56973022405121176</v>
      </c>
      <c r="L102">
        <v>0.90306355738454502</v>
      </c>
      <c r="M102">
        <v>5.1211705532693184E-2</v>
      </c>
      <c r="N102">
        <v>0.38454503886602653</v>
      </c>
      <c r="O102">
        <v>0.7178783721993599</v>
      </c>
      <c r="R102">
        <v>2.5</v>
      </c>
      <c r="S102" s="126">
        <f t="shared" si="11"/>
        <v>2.8059269494527745</v>
      </c>
      <c r="T102" s="126">
        <f t="shared" si="12"/>
        <v>1.624322285285446</v>
      </c>
      <c r="U102" s="126">
        <f t="shared" si="13"/>
        <v>1.8924042071400056</v>
      </c>
      <c r="V102" s="126">
        <f t="shared" si="14"/>
        <v>2.7835890852499237</v>
      </c>
      <c r="W102" s="126">
        <f t="shared" si="15"/>
        <v>1.9686017314415925</v>
      </c>
      <c r="X102" s="126">
        <f t="shared" si="16"/>
        <v>2.2960536196636188</v>
      </c>
      <c r="Y102" s="126">
        <f t="shared" si="17"/>
        <v>3.3873099580413024</v>
      </c>
      <c r="Z102" s="126">
        <f t="shared" si="18"/>
        <v>1.5171122208707803</v>
      </c>
      <c r="AA102" s="126">
        <f t="shared" si="19"/>
        <v>1.6820953646138905</v>
      </c>
      <c r="AB102" s="126">
        <f t="shared" si="20"/>
        <v>2.4826872891050256</v>
      </c>
    </row>
    <row r="103" spans="1:28">
      <c r="A103">
        <v>102</v>
      </c>
      <c r="B103" s="119">
        <v>0.18930041152263374</v>
      </c>
      <c r="F103">
        <v>0.1623228166438043</v>
      </c>
      <c r="G103">
        <v>0.49565614997713764</v>
      </c>
      <c r="H103">
        <v>0.82898948331047084</v>
      </c>
      <c r="I103">
        <v>0.27343392775491543</v>
      </c>
      <c r="J103">
        <v>0.60676726108824874</v>
      </c>
      <c r="K103">
        <v>0.940100594421582</v>
      </c>
      <c r="L103">
        <v>8.8248742569730212E-2</v>
      </c>
      <c r="M103">
        <v>0.42158207590306357</v>
      </c>
      <c r="N103">
        <v>0.75491540923639688</v>
      </c>
      <c r="O103">
        <v>0.19935985368084133</v>
      </c>
      <c r="R103">
        <v>2.5</v>
      </c>
      <c r="S103" s="126">
        <f t="shared" si="11"/>
        <v>1.6058356456582301</v>
      </c>
      <c r="T103" s="126">
        <f t="shared" si="12"/>
        <v>1.959839491464866</v>
      </c>
      <c r="U103" s="126">
        <f t="shared" si="13"/>
        <v>2.9304508521774539</v>
      </c>
      <c r="V103" s="126">
        <f t="shared" si="14"/>
        <v>2.1376628742272707</v>
      </c>
      <c r="W103" s="126">
        <f t="shared" si="15"/>
        <v>2.4595577663397035</v>
      </c>
      <c r="X103" s="126">
        <f t="shared" si="16"/>
        <v>3.6809754014244778</v>
      </c>
      <c r="Y103" s="126">
        <f t="shared" si="17"/>
        <v>1.8969709856156509</v>
      </c>
      <c r="Z103" s="126">
        <f t="shared" si="18"/>
        <v>1.9519601977294327</v>
      </c>
      <c r="AA103" s="126">
        <f t="shared" si="19"/>
        <v>2.7119274327832574</v>
      </c>
      <c r="AB103" s="126">
        <f t="shared" si="20"/>
        <v>1.8286852109797871</v>
      </c>
    </row>
    <row r="104" spans="1:28">
      <c r="A104">
        <v>103</v>
      </c>
      <c r="B104" s="119">
        <v>0.52263374485596703</v>
      </c>
      <c r="F104">
        <v>0.53269318701417456</v>
      </c>
      <c r="G104">
        <v>0.86602652034750782</v>
      </c>
      <c r="H104">
        <v>0.31047096479195246</v>
      </c>
      <c r="I104">
        <v>0.64380429812528572</v>
      </c>
      <c r="J104">
        <v>0.97713763145861898</v>
      </c>
      <c r="K104">
        <v>2.6520347508001824E-2</v>
      </c>
      <c r="L104">
        <v>0.35985368084133518</v>
      </c>
      <c r="M104">
        <v>0.69318701417466844</v>
      </c>
      <c r="N104">
        <v>0.13763145861911294</v>
      </c>
      <c r="O104">
        <v>0.47096479195244628</v>
      </c>
      <c r="R104">
        <v>2.5</v>
      </c>
      <c r="S104" s="126">
        <f t="shared" si="11"/>
        <v>2.4858953588869555</v>
      </c>
      <c r="T104" s="126">
        <f t="shared" si="12"/>
        <v>3.3248542565531292</v>
      </c>
      <c r="U104" s="126">
        <f t="shared" si="13"/>
        <v>2.4249225328767041</v>
      </c>
      <c r="V104" s="126">
        <f t="shared" si="14"/>
        <v>2.684552947042707</v>
      </c>
      <c r="W104" s="126">
        <f t="shared" si="15"/>
        <v>4.1588727075506888</v>
      </c>
      <c r="X104" s="126">
        <f t="shared" si="16"/>
        <v>1.6563274800091716</v>
      </c>
      <c r="Y104" s="126">
        <f t="shared" si="17"/>
        <v>1.6982182130510162</v>
      </c>
      <c r="Z104" s="126">
        <f t="shared" si="18"/>
        <v>2.4316970769989146</v>
      </c>
      <c r="AA104" s="126">
        <f t="shared" si="19"/>
        <v>1.4840229110733492</v>
      </c>
      <c r="AB104" s="126">
        <f t="shared" si="20"/>
        <v>1.8475149262547743</v>
      </c>
    </row>
    <row r="105" spans="1:28">
      <c r="A105">
        <v>104</v>
      </c>
      <c r="B105" s="119">
        <v>0.85596707818930029</v>
      </c>
      <c r="F105">
        <v>0.80429812528577949</v>
      </c>
      <c r="G105">
        <v>0.24874256973022404</v>
      </c>
      <c r="H105">
        <v>0.58207590306355739</v>
      </c>
      <c r="I105">
        <v>0.91540923639689065</v>
      </c>
      <c r="J105">
        <v>6.3557384545038856E-2</v>
      </c>
      <c r="K105">
        <v>0.39689071787837221</v>
      </c>
      <c r="L105">
        <v>0.73022405121170553</v>
      </c>
      <c r="M105">
        <v>0.17466849565614997</v>
      </c>
      <c r="N105">
        <v>0.50800182898948332</v>
      </c>
      <c r="O105">
        <v>0.84133516232281647</v>
      </c>
      <c r="R105">
        <v>2.5</v>
      </c>
      <c r="S105" s="126">
        <f t="shared" si="11"/>
        <v>3.1251424331001432</v>
      </c>
      <c r="T105" s="126">
        <f t="shared" si="12"/>
        <v>2.1728368058743275</v>
      </c>
      <c r="U105" s="126">
        <f t="shared" si="13"/>
        <v>2.4246995594837513</v>
      </c>
      <c r="V105" s="126">
        <f t="shared" si="14"/>
        <v>3.5143482121646192</v>
      </c>
      <c r="W105" s="126">
        <f t="shared" si="15"/>
        <v>1.6697413709121438</v>
      </c>
      <c r="X105" s="126">
        <f t="shared" si="16"/>
        <v>1.7853339291386132</v>
      </c>
      <c r="Y105" s="126">
        <f t="shared" si="17"/>
        <v>2.5650434428593276</v>
      </c>
      <c r="Z105" s="126">
        <f t="shared" si="18"/>
        <v>1.6790076789740951</v>
      </c>
      <c r="AA105" s="126">
        <f t="shared" si="19"/>
        <v>2.0221413262555386</v>
      </c>
      <c r="AB105" s="126">
        <f t="shared" si="20"/>
        <v>3.0028230033310321</v>
      </c>
    </row>
    <row r="106" spans="1:28">
      <c r="A106">
        <v>105</v>
      </c>
      <c r="B106" s="119">
        <v>0.30041152263374482</v>
      </c>
      <c r="F106">
        <v>0.28577960676726111</v>
      </c>
      <c r="G106">
        <v>0.61911294010059437</v>
      </c>
      <c r="H106">
        <v>0.95244627343392763</v>
      </c>
      <c r="I106">
        <v>0.10059442158207589</v>
      </c>
      <c r="J106">
        <v>0.43392775491540925</v>
      </c>
      <c r="K106">
        <v>0.76726108824874251</v>
      </c>
      <c r="L106">
        <v>0.21170553269318701</v>
      </c>
      <c r="M106">
        <v>0.5450388660265203</v>
      </c>
      <c r="N106">
        <v>0.87837219935985356</v>
      </c>
      <c r="O106">
        <v>0.32281664380429814</v>
      </c>
      <c r="R106">
        <v>2.5</v>
      </c>
      <c r="S106" s="126">
        <f t="shared" si="11"/>
        <v>1.9515913482849823</v>
      </c>
      <c r="T106" s="126">
        <f t="shared" si="12"/>
        <v>2.3926369210155194</v>
      </c>
      <c r="U106" s="126">
        <f t="shared" si="13"/>
        <v>3.7408992714913802</v>
      </c>
      <c r="V106" s="126">
        <f t="shared" si="14"/>
        <v>1.9876672808733575</v>
      </c>
      <c r="W106" s="126">
        <f t="shared" si="15"/>
        <v>2.0234962732735573</v>
      </c>
      <c r="X106" s="126">
        <f t="shared" si="16"/>
        <v>2.780722417109978</v>
      </c>
      <c r="Y106" s="126">
        <f t="shared" si="17"/>
        <v>1.899051745401287</v>
      </c>
      <c r="Z106" s="126">
        <f t="shared" si="18"/>
        <v>2.2095059052528856</v>
      </c>
      <c r="AA106" s="126">
        <f t="shared" si="19"/>
        <v>3.2346743330925909</v>
      </c>
      <c r="AB106" s="126">
        <f t="shared" si="20"/>
        <v>2.4082012763088354</v>
      </c>
    </row>
    <row r="107" spans="1:28">
      <c r="A107">
        <v>106</v>
      </c>
      <c r="B107" s="119">
        <v>0.63374485596707819</v>
      </c>
      <c r="F107">
        <v>0.65614997713763146</v>
      </c>
      <c r="G107">
        <v>0.98948331047096472</v>
      </c>
      <c r="H107">
        <v>5.9442158207590311E-3</v>
      </c>
      <c r="I107">
        <v>0.33927754915409236</v>
      </c>
      <c r="J107">
        <v>0.67261088248742562</v>
      </c>
      <c r="K107">
        <v>0.11705532693187012</v>
      </c>
      <c r="L107">
        <v>0.45038866026520347</v>
      </c>
      <c r="M107">
        <v>0.78372199359853667</v>
      </c>
      <c r="N107">
        <v>0.22816643804298126</v>
      </c>
      <c r="O107">
        <v>0.56149977137631457</v>
      </c>
      <c r="R107">
        <v>2.5</v>
      </c>
      <c r="S107" s="126">
        <f t="shared" ref="S107:S170" si="21">NORMINV(F107,0,1)*0.8248+0.4974*(2.3356-R107)+R107</f>
        <v>2.7497790866228247</v>
      </c>
      <c r="T107" s="126">
        <f t="shared" ref="T107:T170" si="22">NORMINV(G107,0,1)*0.8248+0.4974*(2.3356-S107)+S107</f>
        <v>4.4468973739707298</v>
      </c>
      <c r="U107" s="126">
        <f t="shared" ref="U107:U170" si="23">NORMINV(H107,0,1)*0.8248+0.4974*(2.3356-T107)+T107</f>
        <v>1.3220041400135569</v>
      </c>
      <c r="V107" s="126">
        <f t="shared" ref="V107:V170" si="24">NORMINV(I107,0,1)*0.8248+0.4974*(2.3356-U107)+U107</f>
        <v>1.4843402116643811</v>
      </c>
      <c r="W107" s="126">
        <f t="shared" ref="W107:W170" si="25">NORMINV(J107,0,1)*0.8248+0.4974*(2.3356-V107)+V107</f>
        <v>2.2765530409192589</v>
      </c>
      <c r="X107" s="126">
        <f t="shared" ref="X107:X170" si="26">NORMINV(K107,0,1)*0.8248+0.4974*(2.3356-W107)+W107</f>
        <v>1.3245458392402707</v>
      </c>
      <c r="Y107" s="126">
        <f t="shared" ref="Y107:Y170" si="27">NORMINV(L107,0,1)*0.8248+0.4974*(2.3356-X107)+X107</f>
        <v>1.7246085617430313</v>
      </c>
      <c r="Z107" s="126">
        <f t="shared" ref="Z107:Z170" si="28">NORMINV(M107,0,1)*0.8248+0.4974*(2.3356-Y107)+Y107</f>
        <v>2.6758395985541776</v>
      </c>
      <c r="AA107" s="126">
        <f t="shared" ref="AA107:AA170" si="29">NORMINV(N107,0,1)*0.8248+0.4974*(2.3356-Z107)+Z107</f>
        <v>1.8922118585032039</v>
      </c>
      <c r="AB107" s="126">
        <f t="shared" ref="AB107:AB170" si="30">NORMINV(O107,0,1)*0.8248+0.4974*(2.3356-AA107)+AA107</f>
        <v>2.2404097024984924</v>
      </c>
    </row>
    <row r="108" spans="1:28">
      <c r="A108">
        <v>107</v>
      </c>
      <c r="B108" s="119">
        <v>0.96707818930041145</v>
      </c>
      <c r="F108">
        <v>0.89483310470964783</v>
      </c>
      <c r="G108">
        <v>4.2981252857796068E-2</v>
      </c>
      <c r="H108">
        <v>0.3763145861911294</v>
      </c>
      <c r="I108">
        <v>0.70964791952446271</v>
      </c>
      <c r="J108">
        <v>0.15409236396890719</v>
      </c>
      <c r="K108">
        <v>0.4874256973022405</v>
      </c>
      <c r="L108">
        <v>0.82075903063557365</v>
      </c>
      <c r="M108">
        <v>0.26520347508001829</v>
      </c>
      <c r="N108">
        <v>0.59853680841335155</v>
      </c>
      <c r="O108">
        <v>0.93187014174668481</v>
      </c>
      <c r="R108">
        <v>2.5</v>
      </c>
      <c r="S108" s="126">
        <f t="shared" si="21"/>
        <v>3.4514116179076639</v>
      </c>
      <c r="T108" s="126">
        <f t="shared" si="22"/>
        <v>1.4801500788637443</v>
      </c>
      <c r="U108" s="126">
        <f t="shared" si="23"/>
        <v>1.645694949307696</v>
      </c>
      <c r="V108" s="126">
        <f t="shared" si="24"/>
        <v>2.4444373226238212</v>
      </c>
      <c r="W108" s="126">
        <f t="shared" si="25"/>
        <v>1.5497987510266755</v>
      </c>
      <c r="X108" s="126">
        <f t="shared" si="26"/>
        <v>1.9146550304189414</v>
      </c>
      <c r="Y108" s="126">
        <f t="shared" si="27"/>
        <v>2.8814152056220297</v>
      </c>
      <c r="Z108" s="126">
        <f t="shared" si="28"/>
        <v>2.0924596401961821</v>
      </c>
      <c r="AA108" s="126">
        <f t="shared" si="29"/>
        <v>2.4192360784491389</v>
      </c>
      <c r="AB108" s="126">
        <f t="shared" si="30"/>
        <v>3.6064762061008544</v>
      </c>
    </row>
    <row r="109" spans="1:28">
      <c r="A109">
        <v>108</v>
      </c>
      <c r="B109" s="119">
        <v>1.646090534979424E-2</v>
      </c>
      <c r="F109">
        <v>8.0018289894833089E-2</v>
      </c>
      <c r="G109">
        <v>0.41335162322816643</v>
      </c>
      <c r="H109">
        <v>0.74668495656149969</v>
      </c>
      <c r="I109">
        <v>0.19112940100594422</v>
      </c>
      <c r="J109">
        <v>0.52446273433927748</v>
      </c>
      <c r="K109">
        <v>0.85779606767261074</v>
      </c>
      <c r="L109">
        <v>0.30224051211705533</v>
      </c>
      <c r="M109">
        <v>0.63557384545038864</v>
      </c>
      <c r="N109">
        <v>0.9689071787837219</v>
      </c>
      <c r="O109">
        <v>1.8289894833104708E-2</v>
      </c>
      <c r="R109">
        <v>2.5</v>
      </c>
      <c r="S109" s="126">
        <f t="shared" si="21"/>
        <v>1.2594258805966345</v>
      </c>
      <c r="T109" s="126">
        <f t="shared" si="22"/>
        <v>1.6141400151400775</v>
      </c>
      <c r="U109" s="126">
        <f t="shared" si="23"/>
        <v>2.5207390242775887</v>
      </c>
      <c r="V109" s="126">
        <f t="shared" si="24"/>
        <v>1.7079885162877964</v>
      </c>
      <c r="W109" s="126">
        <f t="shared" si="25"/>
        <v>2.0707701004384078</v>
      </c>
      <c r="X109" s="126">
        <f t="shared" si="26"/>
        <v>3.0854200401541565</v>
      </c>
      <c r="Y109" s="126">
        <f t="shared" si="27"/>
        <v>2.285240051776082</v>
      </c>
      <c r="Z109" s="126">
        <f t="shared" si="28"/>
        <v>2.5962081710935538</v>
      </c>
      <c r="AA109" s="126">
        <f t="shared" si="29"/>
        <v>4.0048087284711924</v>
      </c>
      <c r="AB109" s="126">
        <f t="shared" si="30"/>
        <v>1.4503631506429508</v>
      </c>
    </row>
    <row r="110" spans="1:28">
      <c r="A110">
        <v>109</v>
      </c>
      <c r="B110" s="119">
        <v>0.34979423868312753</v>
      </c>
      <c r="F110">
        <v>0.35162322816643804</v>
      </c>
      <c r="G110">
        <v>0.68495656149977124</v>
      </c>
      <c r="H110">
        <v>0.12940100594421583</v>
      </c>
      <c r="I110">
        <v>0.46273433927754914</v>
      </c>
      <c r="J110">
        <v>0.7960676726108824</v>
      </c>
      <c r="K110">
        <v>0.24051211705532693</v>
      </c>
      <c r="L110">
        <v>0.57384545038866031</v>
      </c>
      <c r="M110">
        <v>0.90717878372199356</v>
      </c>
      <c r="N110">
        <v>5.5326931870141746E-2</v>
      </c>
      <c r="O110">
        <v>0.38866026520347507</v>
      </c>
      <c r="R110">
        <v>2.5</v>
      </c>
      <c r="S110" s="126">
        <f t="shared" si="21"/>
        <v>2.1040266671918606</v>
      </c>
      <c r="T110" s="126">
        <f t="shared" si="22"/>
        <v>2.6164386947364315</v>
      </c>
      <c r="U110" s="126">
        <f t="shared" si="23"/>
        <v>1.5453629522436345</v>
      </c>
      <c r="V110" s="126">
        <f t="shared" si="24"/>
        <v>1.8612689471981032</v>
      </c>
      <c r="W110" s="126">
        <f t="shared" si="25"/>
        <v>2.7798528854231175</v>
      </c>
      <c r="X110" s="126">
        <f t="shared" si="26"/>
        <v>1.9776810916923573</v>
      </c>
      <c r="Y110" s="126">
        <f t="shared" si="27"/>
        <v>2.3092654443920795</v>
      </c>
      <c r="Z110" s="126">
        <f t="shared" si="28"/>
        <v>3.4140533801111514</v>
      </c>
      <c r="AA110" s="126">
        <f t="shared" si="29"/>
        <v>1.5618593252601904</v>
      </c>
      <c r="AB110" s="126">
        <f t="shared" si="30"/>
        <v>1.7134541424017091</v>
      </c>
    </row>
    <row r="111" spans="1:28">
      <c r="A111">
        <v>110</v>
      </c>
      <c r="B111" s="119">
        <v>0.68312757201646079</v>
      </c>
      <c r="F111">
        <v>0.72199359853680845</v>
      </c>
      <c r="G111">
        <v>0.16643804298125287</v>
      </c>
      <c r="H111">
        <v>0.49977137631458618</v>
      </c>
      <c r="I111">
        <v>0.83310470964791938</v>
      </c>
      <c r="J111">
        <v>0.27754915409236397</v>
      </c>
      <c r="K111">
        <v>0.61088248742569728</v>
      </c>
      <c r="L111">
        <v>0.94421582075903054</v>
      </c>
      <c r="M111">
        <v>9.2363968907178767E-2</v>
      </c>
      <c r="N111">
        <v>0.42569730224051211</v>
      </c>
      <c r="O111">
        <v>0.75903063557384542</v>
      </c>
      <c r="R111">
        <v>2.5</v>
      </c>
      <c r="S111" s="126">
        <f t="shared" si="21"/>
        <v>2.9038483415203742</v>
      </c>
      <c r="T111" s="126">
        <f t="shared" si="22"/>
        <v>1.8225172491136232</v>
      </c>
      <c r="U111" s="126">
        <f t="shared" si="23"/>
        <v>2.077251937453414</v>
      </c>
      <c r="V111" s="126">
        <f t="shared" si="24"/>
        <v>3.002929179976769</v>
      </c>
      <c r="W111" s="126">
        <f t="shared" si="25"/>
        <v>2.1842540372369013</v>
      </c>
      <c r="X111" s="126">
        <f t="shared" si="26"/>
        <v>2.4918135636188139</v>
      </c>
      <c r="Y111" s="126">
        <f t="shared" si="27"/>
        <v>3.726520818806164</v>
      </c>
      <c r="Z111" s="126">
        <f t="shared" si="28"/>
        <v>1.9407136509461336</v>
      </c>
      <c r="AA111" s="126">
        <f t="shared" si="29"/>
        <v>1.9826126589829505</v>
      </c>
      <c r="AB111" s="126">
        <f t="shared" si="30"/>
        <v>2.7381778496966334</v>
      </c>
    </row>
    <row r="112" spans="1:28">
      <c r="A112">
        <v>111</v>
      </c>
      <c r="B112" s="119">
        <v>0.12757201646090535</v>
      </c>
      <c r="F112">
        <v>0.2034750800182899</v>
      </c>
      <c r="G112">
        <v>0.5368084133516231</v>
      </c>
      <c r="H112">
        <v>0.87014174668495636</v>
      </c>
      <c r="I112">
        <v>0.314586191129401</v>
      </c>
      <c r="J112">
        <v>0.64791952446273426</v>
      </c>
      <c r="K112">
        <v>0.98125285779606752</v>
      </c>
      <c r="L112">
        <v>3.0635573845450386E-2</v>
      </c>
      <c r="M112">
        <v>0.36396890717878372</v>
      </c>
      <c r="N112">
        <v>0.69730224051211698</v>
      </c>
      <c r="O112">
        <v>0.14174668495656151</v>
      </c>
      <c r="R112">
        <v>2.5</v>
      </c>
      <c r="S112" s="126">
        <f t="shared" si="21"/>
        <v>1.7342433824775592</v>
      </c>
      <c r="T112" s="126">
        <f t="shared" si="22"/>
        <v>2.1095666382225202</v>
      </c>
      <c r="U112" s="126">
        <f t="shared" si="23"/>
        <v>3.1515959049954287</v>
      </c>
      <c r="V112" s="126">
        <f t="shared" si="24"/>
        <v>2.3474301736274246</v>
      </c>
      <c r="W112" s="126">
        <f t="shared" si="25"/>
        <v>2.6547303701649305</v>
      </c>
      <c r="X112" s="126">
        <f t="shared" si="26"/>
        <v>4.2118600215502315</v>
      </c>
      <c r="Y112" s="126">
        <f t="shared" si="27"/>
        <v>1.7349673170732771</v>
      </c>
      <c r="Z112" s="126">
        <f t="shared" si="28"/>
        <v>1.7467988354112416</v>
      </c>
      <c r="AA112" s="126">
        <f t="shared" si="29"/>
        <v>2.4658073453414184</v>
      </c>
      <c r="AB112" s="126">
        <f t="shared" si="30"/>
        <v>1.5164402724833952</v>
      </c>
    </row>
    <row r="113" spans="1:28">
      <c r="A113">
        <v>112</v>
      </c>
      <c r="B113" s="119">
        <v>0.46090534979423864</v>
      </c>
      <c r="F113">
        <v>0.47508001828989482</v>
      </c>
      <c r="G113">
        <v>0.80841335162322803</v>
      </c>
      <c r="H113">
        <v>0.25285779606767261</v>
      </c>
      <c r="I113">
        <v>0.58619112940100593</v>
      </c>
      <c r="J113">
        <v>0.91952446273433919</v>
      </c>
      <c r="K113">
        <v>6.7672610882487411E-2</v>
      </c>
      <c r="L113">
        <v>0.40100594421582075</v>
      </c>
      <c r="M113">
        <v>0.73433927754915407</v>
      </c>
      <c r="N113">
        <v>0.17878372199359854</v>
      </c>
      <c r="O113">
        <v>0.51211705532693186</v>
      </c>
      <c r="R113">
        <v>2.5</v>
      </c>
      <c r="S113" s="126">
        <f t="shared" si="21"/>
        <v>2.3666726492599923</v>
      </c>
      <c r="T113" s="126">
        <f t="shared" si="22"/>
        <v>3.0704957537619002</v>
      </c>
      <c r="U113" s="126">
        <f t="shared" si="23"/>
        <v>2.1560346607557825</v>
      </c>
      <c r="V113" s="126">
        <f t="shared" si="24"/>
        <v>2.4249571839383175</v>
      </c>
      <c r="W113" s="126">
        <f t="shared" si="25"/>
        <v>3.5367815701157026</v>
      </c>
      <c r="X113" s="126">
        <f t="shared" si="26"/>
        <v>1.7075976042835881</v>
      </c>
      <c r="Y113" s="126">
        <f t="shared" si="27"/>
        <v>1.8131521829908159</v>
      </c>
      <c r="Z113" s="126">
        <f t="shared" si="28"/>
        <v>2.5893343490388667</v>
      </c>
      <c r="AA113" s="126">
        <f t="shared" si="29"/>
        <v>1.7043024945012815</v>
      </c>
      <c r="AB113" s="126">
        <f t="shared" si="30"/>
        <v>2.0433653387706197</v>
      </c>
    </row>
    <row r="114" spans="1:28">
      <c r="A114">
        <v>113</v>
      </c>
      <c r="B114" s="119">
        <v>0.79423868312757195</v>
      </c>
      <c r="F114">
        <v>0.84545038866026501</v>
      </c>
      <c r="G114">
        <v>0.28989483310470965</v>
      </c>
      <c r="H114">
        <v>0.62322816643804291</v>
      </c>
      <c r="I114">
        <v>0.95656149977137617</v>
      </c>
      <c r="J114">
        <v>0.10470964791952445</v>
      </c>
      <c r="K114">
        <v>0.43804298125285779</v>
      </c>
      <c r="L114">
        <v>0.77137631458619105</v>
      </c>
      <c r="M114">
        <v>0.21582075903063558</v>
      </c>
      <c r="N114">
        <v>0.54915409236396884</v>
      </c>
      <c r="O114">
        <v>0.8824874256973021</v>
      </c>
      <c r="R114">
        <v>2.5</v>
      </c>
      <c r="S114" s="126">
        <f t="shared" si="21"/>
        <v>3.2571430296405786</v>
      </c>
      <c r="T114" s="126">
        <f t="shared" si="22"/>
        <v>2.3420823831863578</v>
      </c>
      <c r="U114" s="126">
        <f t="shared" si="23"/>
        <v>2.5978206721511992</v>
      </c>
      <c r="V114" s="126">
        <f t="shared" si="24"/>
        <v>3.8795377447374295</v>
      </c>
      <c r="W114" s="126">
        <f t="shared" si="25"/>
        <v>2.0763239902003967</v>
      </c>
      <c r="X114" s="126">
        <f t="shared" si="26"/>
        <v>2.0766744743520764</v>
      </c>
      <c r="Y114" s="126">
        <f t="shared" si="27"/>
        <v>2.8186096853307134</v>
      </c>
      <c r="Z114" s="126">
        <f t="shared" si="28"/>
        <v>1.9297496854496283</v>
      </c>
      <c r="AA114" s="126">
        <f t="shared" si="29"/>
        <v>2.2335025972023299</v>
      </c>
      <c r="AB114" s="126">
        <f t="shared" si="30"/>
        <v>3.2637469512335739</v>
      </c>
    </row>
    <row r="115" spans="1:28">
      <c r="A115">
        <v>114</v>
      </c>
      <c r="B115" s="119">
        <v>0.23868312757201646</v>
      </c>
      <c r="F115">
        <v>0.32693187014174668</v>
      </c>
      <c r="G115">
        <v>0.66026520347508</v>
      </c>
      <c r="H115">
        <v>0.99359853680841326</v>
      </c>
      <c r="I115">
        <v>1.0059442158207591E-2</v>
      </c>
      <c r="J115">
        <v>0.34339277549154096</v>
      </c>
      <c r="K115">
        <v>0.67672610882487416</v>
      </c>
      <c r="L115">
        <v>0.12117055326931869</v>
      </c>
      <c r="M115">
        <v>0.45450388660265206</v>
      </c>
      <c r="N115">
        <v>0.78783721993598521</v>
      </c>
      <c r="O115">
        <v>0.2322816643804298</v>
      </c>
      <c r="R115">
        <v>2.5</v>
      </c>
      <c r="S115" s="126">
        <f t="shared" si="21"/>
        <v>2.0483862038303204</v>
      </c>
      <c r="T115" s="126">
        <f t="shared" si="22"/>
        <v>2.5320430048977838</v>
      </c>
      <c r="U115" s="126">
        <f t="shared" si="23"/>
        <v>4.4874282072215719</v>
      </c>
      <c r="V115" s="126">
        <f t="shared" si="24"/>
        <v>1.5001719240946185</v>
      </c>
      <c r="W115" s="126">
        <f t="shared" si="25"/>
        <v>1.5831370546730767</v>
      </c>
      <c r="X115" s="126">
        <f t="shared" si="26"/>
        <v>2.3356351495900296</v>
      </c>
      <c r="Y115" s="126">
        <f t="shared" si="27"/>
        <v>1.3712984557165528</v>
      </c>
      <c r="Z115" s="126">
        <f t="shared" si="28"/>
        <v>1.7566755101312639</v>
      </c>
      <c r="AA115" s="126">
        <f t="shared" si="29"/>
        <v>2.7035977562962716</v>
      </c>
      <c r="AB115" s="126">
        <f t="shared" si="30"/>
        <v>1.9173353983268344</v>
      </c>
    </row>
    <row r="116" spans="1:28">
      <c r="A116">
        <v>115</v>
      </c>
      <c r="B116" s="119">
        <v>0.57201646090534986</v>
      </c>
      <c r="F116">
        <v>0.56561499771376311</v>
      </c>
      <c r="G116">
        <v>0.89894833104709637</v>
      </c>
      <c r="H116">
        <v>4.709647919524463E-2</v>
      </c>
      <c r="I116">
        <v>0.38042981252857799</v>
      </c>
      <c r="J116">
        <v>0.71376314586191125</v>
      </c>
      <c r="K116">
        <v>0.15820759030635573</v>
      </c>
      <c r="L116">
        <v>0.4915409236396891</v>
      </c>
      <c r="M116">
        <v>0.82487425697302219</v>
      </c>
      <c r="N116">
        <v>0.26931870141746689</v>
      </c>
      <c r="O116">
        <v>0.60265203475080009</v>
      </c>
      <c r="R116">
        <v>2.5</v>
      </c>
      <c r="S116" s="126">
        <f t="shared" si="21"/>
        <v>2.5545017545764175</v>
      </c>
      <c r="T116" s="126">
        <f t="shared" si="22"/>
        <v>3.497720014594826</v>
      </c>
      <c r="U116" s="126">
        <f t="shared" si="23"/>
        <v>1.5392279563547877</v>
      </c>
      <c r="V116" s="126">
        <f t="shared" si="24"/>
        <v>1.6843137647836117</v>
      </c>
      <c r="W116" s="126">
        <f t="shared" si="25"/>
        <v>2.4737906354791219</v>
      </c>
      <c r="X116" s="126">
        <f t="shared" si="26"/>
        <v>1.5787272586014998</v>
      </c>
      <c r="Y116" s="126">
        <f t="shared" si="27"/>
        <v>1.9377055882366572</v>
      </c>
      <c r="Z116" s="126">
        <f t="shared" si="28"/>
        <v>2.9060652693584736</v>
      </c>
      <c r="AA116" s="126">
        <f t="shared" si="29"/>
        <v>2.115167105185555</v>
      </c>
      <c r="AB116" s="126">
        <f t="shared" si="30"/>
        <v>2.4394379018836267</v>
      </c>
    </row>
    <row r="117" spans="1:28">
      <c r="A117">
        <v>116</v>
      </c>
      <c r="B117" s="119">
        <v>0.90534979423868311</v>
      </c>
      <c r="F117">
        <v>0.93598536808413335</v>
      </c>
      <c r="G117">
        <v>8.4133516232281658E-2</v>
      </c>
      <c r="H117">
        <v>0.41746684956561503</v>
      </c>
      <c r="I117">
        <v>0.75080018289894823</v>
      </c>
      <c r="J117">
        <v>0.19524462734339276</v>
      </c>
      <c r="K117">
        <v>0.52857796067672602</v>
      </c>
      <c r="L117">
        <v>0.86191129401005928</v>
      </c>
      <c r="M117">
        <v>0.30635573845450392</v>
      </c>
      <c r="N117">
        <v>0.63968907178783718</v>
      </c>
      <c r="O117">
        <v>0.97302240512117044</v>
      </c>
      <c r="R117">
        <v>2.5</v>
      </c>
      <c r="S117" s="126">
        <f t="shared" si="21"/>
        <v>3.6735066062453292</v>
      </c>
      <c r="T117" s="126">
        <f t="shared" si="22"/>
        <v>1.8716277254426874</v>
      </c>
      <c r="U117" s="126">
        <f t="shared" si="23"/>
        <v>1.9305372192409889</v>
      </c>
      <c r="V117" s="126">
        <f t="shared" si="24"/>
        <v>2.6904132624449715</v>
      </c>
      <c r="W117" s="126">
        <f t="shared" si="25"/>
        <v>1.8056482823575162</v>
      </c>
      <c r="X117" s="126">
        <f t="shared" si="26"/>
        <v>2.128380879673037</v>
      </c>
      <c r="Y117" s="126">
        <f t="shared" si="27"/>
        <v>3.1296148684705276</v>
      </c>
      <c r="Z117" s="126">
        <f t="shared" si="28"/>
        <v>2.3171524984540839</v>
      </c>
      <c r="AA117" s="126">
        <f t="shared" si="29"/>
        <v>2.6212997113069014</v>
      </c>
      <c r="AB117" s="126">
        <f t="shared" si="30"/>
        <v>4.0687440583836763</v>
      </c>
    </row>
    <row r="118" spans="1:28">
      <c r="A118">
        <v>117</v>
      </c>
      <c r="B118" s="119">
        <v>5.3497942386831275E-2</v>
      </c>
      <c r="F118">
        <v>2.2405121170553266E-2</v>
      </c>
      <c r="G118">
        <v>0.35573845450388664</v>
      </c>
      <c r="H118">
        <v>0.68907178783721978</v>
      </c>
      <c r="I118">
        <v>0.13351623228166437</v>
      </c>
      <c r="J118">
        <v>0.46684956561499774</v>
      </c>
      <c r="K118">
        <v>0.80018289894833095</v>
      </c>
      <c r="L118">
        <v>0.24462734339277548</v>
      </c>
      <c r="M118">
        <v>0.57796067672610885</v>
      </c>
      <c r="N118">
        <v>0.91129401005944211</v>
      </c>
      <c r="O118">
        <v>5.9442158207590308E-2</v>
      </c>
      <c r="R118">
        <v>2.5</v>
      </c>
      <c r="S118" s="126">
        <f t="shared" si="21"/>
        <v>0.7633228317221854</v>
      </c>
      <c r="T118" s="126">
        <f t="shared" si="22"/>
        <v>1.2403020113885099</v>
      </c>
      <c r="U118" s="126">
        <f t="shared" si="23"/>
        <v>2.1919119314245208</v>
      </c>
      <c r="V118" s="126">
        <f t="shared" si="24"/>
        <v>1.3479183764884877</v>
      </c>
      <c r="W118" s="126">
        <f t="shared" si="25"/>
        <v>1.7705747214955991</v>
      </c>
      <c r="X118" s="126">
        <f t="shared" si="26"/>
        <v>2.7463264780296246</v>
      </c>
      <c r="Y118" s="126">
        <f t="shared" si="27"/>
        <v>1.9716862684933887</v>
      </c>
      <c r="Z118" s="126">
        <f t="shared" si="28"/>
        <v>2.3149179011628767</v>
      </c>
      <c r="AA118" s="126">
        <f t="shared" si="29"/>
        <v>3.4376677816547145</v>
      </c>
      <c r="AB118" s="126">
        <f t="shared" si="30"/>
        <v>1.6032454004230141</v>
      </c>
    </row>
    <row r="119" spans="1:28">
      <c r="A119">
        <v>118</v>
      </c>
      <c r="B119" s="119">
        <v>0.38683127572016457</v>
      </c>
      <c r="F119">
        <v>0.39277549154092367</v>
      </c>
      <c r="G119">
        <v>0.72610882487425699</v>
      </c>
      <c r="H119">
        <v>0.17055326931870141</v>
      </c>
      <c r="I119">
        <v>0.50388660265203467</v>
      </c>
      <c r="J119">
        <v>0.83721993598536792</v>
      </c>
      <c r="K119">
        <v>0.28166438042981257</v>
      </c>
      <c r="L119">
        <v>0.61499771376314583</v>
      </c>
      <c r="M119">
        <v>0.94833104709647909</v>
      </c>
      <c r="N119">
        <v>9.6479195244627336E-2</v>
      </c>
      <c r="O119">
        <v>0.42981252857796071</v>
      </c>
      <c r="R119">
        <v>2.5</v>
      </c>
      <c r="S119" s="126">
        <f t="shared" si="21"/>
        <v>2.1938056391919138</v>
      </c>
      <c r="T119" s="126">
        <f t="shared" si="22"/>
        <v>2.7601103295477012</v>
      </c>
      <c r="U119" s="126">
        <f t="shared" si="23"/>
        <v>1.7637648339787166</v>
      </c>
      <c r="V119" s="126">
        <f t="shared" si="24"/>
        <v>2.0562311954000676</v>
      </c>
      <c r="W119" s="126">
        <f t="shared" si="25"/>
        <v>3.0060469281486029</v>
      </c>
      <c r="X119" s="126">
        <f t="shared" si="26"/>
        <v>2.1959111946573788</v>
      </c>
      <c r="Y119" s="126">
        <f t="shared" si="27"/>
        <v>2.5065382877208147</v>
      </c>
      <c r="Z119" s="126">
        <f t="shared" si="28"/>
        <v>3.7650158289285347</v>
      </c>
      <c r="AA119" s="126">
        <f t="shared" si="29"/>
        <v>1.9802361359993734</v>
      </c>
      <c r="AB119" s="126">
        <f t="shared" si="30"/>
        <v>2.0111270275896671</v>
      </c>
    </row>
    <row r="120" spans="1:28">
      <c r="A120">
        <v>119</v>
      </c>
      <c r="B120" s="119">
        <v>0.72016460905349799</v>
      </c>
      <c r="F120">
        <v>0.76314586191129397</v>
      </c>
      <c r="G120">
        <v>0.20759030635573844</v>
      </c>
      <c r="H120">
        <v>0.54092363968907164</v>
      </c>
      <c r="I120">
        <v>0.8742569730224049</v>
      </c>
      <c r="J120">
        <v>0.3187014174668496</v>
      </c>
      <c r="K120">
        <v>0.65203475080018281</v>
      </c>
      <c r="L120">
        <v>0.98536808413351606</v>
      </c>
      <c r="M120">
        <v>3.4750800182898951E-2</v>
      </c>
      <c r="N120">
        <v>0.36808413351623231</v>
      </c>
      <c r="O120">
        <v>0.70141746684956552</v>
      </c>
      <c r="R120">
        <v>2.5</v>
      </c>
      <c r="S120" s="126">
        <f t="shared" si="21"/>
        <v>3.0091624210575745</v>
      </c>
      <c r="T120" s="126">
        <f t="shared" si="22"/>
        <v>2.0020765174201616</v>
      </c>
      <c r="U120" s="126">
        <f t="shared" si="23"/>
        <v>2.2527283062482044</v>
      </c>
      <c r="V120" s="126">
        <f t="shared" si="24"/>
        <v>3.2397859026946692</v>
      </c>
      <c r="W120" s="126">
        <f t="shared" si="25"/>
        <v>2.40128823944461</v>
      </c>
      <c r="X120" s="126">
        <f t="shared" si="26"/>
        <v>2.6909630132203306</v>
      </c>
      <c r="Y120" s="126">
        <f t="shared" si="27"/>
        <v>4.3121985759078436</v>
      </c>
      <c r="Z120" s="126">
        <f t="shared" si="28"/>
        <v>1.8319066929799614</v>
      </c>
      <c r="AA120" s="126">
        <f t="shared" si="29"/>
        <v>1.8045423454561791</v>
      </c>
      <c r="AB120" s="126">
        <f t="shared" si="30"/>
        <v>2.5045821039653111</v>
      </c>
    </row>
    <row r="121" spans="1:28">
      <c r="A121">
        <v>120</v>
      </c>
      <c r="B121" s="119">
        <v>0.16460905349794239</v>
      </c>
      <c r="F121">
        <v>0.14586191129401005</v>
      </c>
      <c r="G121">
        <v>0.47919524462734342</v>
      </c>
      <c r="H121">
        <v>0.81252857796067657</v>
      </c>
      <c r="I121">
        <v>0.25697302240512121</v>
      </c>
      <c r="J121">
        <v>0.59030635573845447</v>
      </c>
      <c r="K121">
        <v>0.92363968907178773</v>
      </c>
      <c r="L121">
        <v>7.1787837219935979E-2</v>
      </c>
      <c r="M121">
        <v>0.40512117055326935</v>
      </c>
      <c r="N121">
        <v>0.73845450388660261</v>
      </c>
      <c r="O121">
        <v>0.18289894833104708</v>
      </c>
      <c r="R121">
        <v>2.5</v>
      </c>
      <c r="S121" s="126">
        <f t="shared" si="21"/>
        <v>1.5486015742688255</v>
      </c>
      <c r="T121" s="126">
        <f t="shared" si="22"/>
        <v>1.8970219310249412</v>
      </c>
      <c r="U121" s="126">
        <f t="shared" si="23"/>
        <v>2.8469767216925268</v>
      </c>
      <c r="V121" s="126">
        <f t="shared" si="24"/>
        <v>2.0542663016335081</v>
      </c>
      <c r="W121" s="126">
        <f t="shared" si="25"/>
        <v>2.3825308299362775</v>
      </c>
      <c r="X121" s="126">
        <f t="shared" si="26"/>
        <v>3.5386410816260572</v>
      </c>
      <c r="Y121" s="126">
        <f t="shared" si="27"/>
        <v>1.7338923862650972</v>
      </c>
      <c r="Z121" s="126">
        <f t="shared" si="28"/>
        <v>1.8351362154352295</v>
      </c>
      <c r="AA121" s="126">
        <f t="shared" si="29"/>
        <v>2.6107742812237866</v>
      </c>
      <c r="AB121" s="126">
        <f t="shared" si="30"/>
        <v>1.7279761270954574</v>
      </c>
    </row>
    <row r="122" spans="1:28">
      <c r="A122">
        <v>121</v>
      </c>
      <c r="B122" s="119">
        <v>0.49794238683127567</v>
      </c>
      <c r="F122">
        <v>0.5162322816643804</v>
      </c>
      <c r="G122">
        <v>0.84956561499771355</v>
      </c>
      <c r="H122">
        <v>0.29401005944215824</v>
      </c>
      <c r="I122">
        <v>0.62734339277549145</v>
      </c>
      <c r="J122">
        <v>0.96067672610882471</v>
      </c>
      <c r="K122">
        <v>0.10882487425697301</v>
      </c>
      <c r="L122">
        <v>0.44215820759030638</v>
      </c>
      <c r="M122">
        <v>0.77549154092363959</v>
      </c>
      <c r="N122">
        <v>0.21993598536808412</v>
      </c>
      <c r="O122">
        <v>0.55326931870141738</v>
      </c>
      <c r="R122">
        <v>2.5</v>
      </c>
      <c r="S122" s="126">
        <f t="shared" si="21"/>
        <v>2.4517964119519005</v>
      </c>
      <c r="T122" s="126">
        <f t="shared" si="22"/>
        <v>3.2473154185755106</v>
      </c>
      <c r="U122" s="126">
        <f t="shared" si="23"/>
        <v>2.3470279390651232</v>
      </c>
      <c r="V122" s="126">
        <f t="shared" si="24"/>
        <v>2.6092596777589852</v>
      </c>
      <c r="W122" s="126">
        <f t="shared" si="25"/>
        <v>3.9236294185552727</v>
      </c>
      <c r="X122" s="126">
        <f t="shared" si="26"/>
        <v>2.1169287249713111</v>
      </c>
      <c r="Y122" s="126">
        <f t="shared" si="27"/>
        <v>2.1056877299959007</v>
      </c>
      <c r="Z122" s="126">
        <f t="shared" si="28"/>
        <v>2.844465049016164</v>
      </c>
      <c r="AA122" s="126">
        <f t="shared" si="29"/>
        <v>1.9542722761557583</v>
      </c>
      <c r="AB122" s="126">
        <f t="shared" si="30"/>
        <v>2.254406566947468</v>
      </c>
    </row>
    <row r="123" spans="1:28">
      <c r="A123">
        <v>122</v>
      </c>
      <c r="B123" s="119">
        <v>0.83127572016460893</v>
      </c>
      <c r="F123">
        <v>0.88660265203475064</v>
      </c>
      <c r="G123">
        <v>0.33104709647919528</v>
      </c>
      <c r="H123">
        <v>0.66438042981252854</v>
      </c>
      <c r="I123">
        <v>0.9977137631458618</v>
      </c>
      <c r="J123">
        <v>3.200731595793324E-3</v>
      </c>
      <c r="K123">
        <v>0.33653406492912669</v>
      </c>
      <c r="L123">
        <v>0.66986739826246</v>
      </c>
      <c r="M123">
        <v>0.11431184270690442</v>
      </c>
      <c r="N123">
        <v>0.44764517604023779</v>
      </c>
      <c r="O123">
        <v>0.78097850937357105</v>
      </c>
      <c r="R123">
        <v>2.5</v>
      </c>
      <c r="S123" s="126">
        <f t="shared" si="21"/>
        <v>3.4151276308570027</v>
      </c>
      <c r="T123" s="126">
        <f t="shared" si="22"/>
        <v>2.5177134766079208</v>
      </c>
      <c r="U123" s="126">
        <f t="shared" si="23"/>
        <v>2.7772149217691724</v>
      </c>
      <c r="V123" s="126">
        <f t="shared" si="24"/>
        <v>4.8964446965960473</v>
      </c>
      <c r="W123" s="126">
        <f t="shared" si="25"/>
        <v>1.3738832423134926</v>
      </c>
      <c r="X123" s="126">
        <f t="shared" si="26"/>
        <v>1.5042242740690968</v>
      </c>
      <c r="Y123" s="126">
        <f t="shared" si="27"/>
        <v>2.2802889607451031</v>
      </c>
      <c r="Z123" s="126">
        <f t="shared" si="28"/>
        <v>1.3148142509049769</v>
      </c>
      <c r="AA123" s="126">
        <f t="shared" si="29"/>
        <v>1.7139986275665264</v>
      </c>
      <c r="AB123" s="126">
        <f t="shared" si="30"/>
        <v>2.662817343457994</v>
      </c>
    </row>
    <row r="124" spans="1:28">
      <c r="A124">
        <v>123</v>
      </c>
      <c r="B124" s="119">
        <v>0.27572016460905346</v>
      </c>
      <c r="F124">
        <v>0.22542295381801553</v>
      </c>
      <c r="G124">
        <v>0.55875628715134895</v>
      </c>
      <c r="H124">
        <v>0.89208962048468221</v>
      </c>
      <c r="I124">
        <v>4.0237768632830358E-2</v>
      </c>
      <c r="J124">
        <v>0.37357110196616372</v>
      </c>
      <c r="K124">
        <v>0.70690443529949709</v>
      </c>
      <c r="L124">
        <v>0.15134887974394146</v>
      </c>
      <c r="M124">
        <v>0.48468221307727483</v>
      </c>
      <c r="N124">
        <v>0.81801554641060803</v>
      </c>
      <c r="O124">
        <v>0.26245999085505262</v>
      </c>
      <c r="R124">
        <v>2.5</v>
      </c>
      <c r="S124" s="126">
        <f t="shared" si="21"/>
        <v>1.7963236877311686</v>
      </c>
      <c r="T124" s="126">
        <f t="shared" si="22"/>
        <v>2.1864789435129786</v>
      </c>
      <c r="U124" s="126">
        <f t="shared" si="23"/>
        <v>3.2815213042720437</v>
      </c>
      <c r="V124" s="126">
        <f t="shared" si="24"/>
        <v>1.3693244685550217</v>
      </c>
      <c r="W124" s="126">
        <f t="shared" si="25"/>
        <v>1.5840262527575037</v>
      </c>
      <c r="X124" s="126">
        <f t="shared" si="26"/>
        <v>2.4068503232319118</v>
      </c>
      <c r="Y124" s="126">
        <f t="shared" si="27"/>
        <v>1.5213175974827478</v>
      </c>
      <c r="Z124" s="126">
        <f t="shared" si="28"/>
        <v>1.894664860131541</v>
      </c>
      <c r="AA124" s="126">
        <f t="shared" si="29"/>
        <v>2.862762837969675</v>
      </c>
      <c r="AB124" s="126">
        <f t="shared" si="30"/>
        <v>2.0761608967331342</v>
      </c>
    </row>
    <row r="125" spans="1:28">
      <c r="A125">
        <v>124</v>
      </c>
      <c r="B125" s="119">
        <v>0.60905349794238683</v>
      </c>
      <c r="F125">
        <v>0.59579332418838593</v>
      </c>
      <c r="G125">
        <v>0.92912665752171919</v>
      </c>
      <c r="H125">
        <v>7.7274805669867386E-2</v>
      </c>
      <c r="I125">
        <v>0.41060813900320076</v>
      </c>
      <c r="J125">
        <v>0.74394147233653407</v>
      </c>
      <c r="K125">
        <v>0.18838591678097849</v>
      </c>
      <c r="L125">
        <v>0.52171925011431186</v>
      </c>
      <c r="M125">
        <v>0.85505258344764512</v>
      </c>
      <c r="N125">
        <v>0.29949702789208965</v>
      </c>
      <c r="O125">
        <v>0.63283036122542302</v>
      </c>
      <c r="R125">
        <v>2.5</v>
      </c>
      <c r="S125" s="126">
        <f t="shared" si="21"/>
        <v>2.6182195152975969</v>
      </c>
      <c r="T125" s="126">
        <f t="shared" si="22"/>
        <v>3.6895376649718745</v>
      </c>
      <c r="U125" s="126">
        <f t="shared" si="23"/>
        <v>1.841867668167644</v>
      </c>
      <c r="V125" s="126">
        <f t="shared" si="24"/>
        <v>1.901061086153419</v>
      </c>
      <c r="W125" s="126">
        <f t="shared" si="25"/>
        <v>2.6578940889436256</v>
      </c>
      <c r="X125" s="126">
        <f t="shared" si="26"/>
        <v>1.7685773441005859</v>
      </c>
      <c r="Y125" s="126">
        <f t="shared" si="27"/>
        <v>2.0955404511318503</v>
      </c>
      <c r="Z125" s="126">
        <f t="shared" si="28"/>
        <v>3.0878750917685207</v>
      </c>
      <c r="AA125" s="126">
        <f t="shared" si="29"/>
        <v>2.2799743094189155</v>
      </c>
      <c r="AB125" s="126">
        <f t="shared" si="30"/>
        <v>2.587545856948505</v>
      </c>
    </row>
    <row r="126" spans="1:28">
      <c r="A126">
        <v>125</v>
      </c>
      <c r="B126" s="119">
        <v>0.94238683127572009</v>
      </c>
      <c r="F126">
        <v>0.96616369455875628</v>
      </c>
      <c r="G126">
        <v>1.5546410608139003E-2</v>
      </c>
      <c r="H126">
        <v>0.34887974394147236</v>
      </c>
      <c r="I126">
        <v>0.68221307727480562</v>
      </c>
      <c r="J126">
        <v>0.1266575217192501</v>
      </c>
      <c r="K126">
        <v>0.45999085505258347</v>
      </c>
      <c r="L126">
        <v>0.79332418838591678</v>
      </c>
      <c r="M126">
        <v>0.2377686328303612</v>
      </c>
      <c r="N126">
        <v>0.57110196616369469</v>
      </c>
      <c r="O126">
        <v>0.90443529949702794</v>
      </c>
      <c r="R126">
        <v>2.5</v>
      </c>
      <c r="S126" s="126">
        <f t="shared" si="21"/>
        <v>3.925286047563783</v>
      </c>
      <c r="T126" s="126">
        <f t="shared" si="22"/>
        <v>1.3564041095578006</v>
      </c>
      <c r="U126" s="126">
        <f t="shared" si="23"/>
        <v>1.5231477936883697</v>
      </c>
      <c r="V126" s="126">
        <f t="shared" si="24"/>
        <v>2.3181312036631629</v>
      </c>
      <c r="W126" s="126">
        <f t="shared" si="25"/>
        <v>1.3846227617209816</v>
      </c>
      <c r="X126" s="126">
        <f t="shared" si="26"/>
        <v>1.7747821048670489</v>
      </c>
      <c r="Y126" s="126">
        <f t="shared" si="27"/>
        <v>2.7284273630092351</v>
      </c>
      <c r="Z126" s="126">
        <f t="shared" si="28"/>
        <v>1.9445413694017468</v>
      </c>
      <c r="AA126" s="126">
        <f t="shared" si="29"/>
        <v>2.2868419109764506</v>
      </c>
      <c r="AB126" s="126">
        <f t="shared" si="30"/>
        <v>3.3893101420054768</v>
      </c>
    </row>
    <row r="127" spans="1:28">
      <c r="A127">
        <v>126</v>
      </c>
      <c r="B127" s="119">
        <v>9.0534979423868303E-2</v>
      </c>
      <c r="F127">
        <v>5.2583447645176036E-2</v>
      </c>
      <c r="G127">
        <v>0.3859167809785094</v>
      </c>
      <c r="H127">
        <v>0.71925011431184283</v>
      </c>
      <c r="I127">
        <v>0.16369455875628713</v>
      </c>
      <c r="J127">
        <v>0.4970278920896205</v>
      </c>
      <c r="K127">
        <v>0.83036122542295376</v>
      </c>
      <c r="L127">
        <v>0.27480566986739829</v>
      </c>
      <c r="M127">
        <v>0.60813900320073166</v>
      </c>
      <c r="N127">
        <v>0.94147233653406492</v>
      </c>
      <c r="O127">
        <v>8.9620484682213064E-2</v>
      </c>
      <c r="R127">
        <v>2.5</v>
      </c>
      <c r="S127" s="126">
        <f t="shared" si="21"/>
        <v>1.0818003366116056</v>
      </c>
      <c r="T127" s="126">
        <f t="shared" si="22"/>
        <v>1.4662669670066171</v>
      </c>
      <c r="U127" s="126">
        <f t="shared" si="23"/>
        <v>2.3775647009545349</v>
      </c>
      <c r="V127" s="126">
        <f t="shared" si="24"/>
        <v>1.5488935946962257</v>
      </c>
      <c r="W127" s="126">
        <f t="shared" si="25"/>
        <v>1.9340565688244513</v>
      </c>
      <c r="X127" s="126">
        <f t="shared" si="26"/>
        <v>2.921957949515503</v>
      </c>
      <c r="Y127" s="126">
        <f t="shared" si="27"/>
        <v>2.1367905072224169</v>
      </c>
      <c r="Z127" s="126">
        <f t="shared" si="28"/>
        <v>2.4620627738479359</v>
      </c>
      <c r="AA127" s="126">
        <f t="shared" si="29"/>
        <v>3.6918313103086362</v>
      </c>
      <c r="AB127" s="126">
        <f t="shared" si="30"/>
        <v>1.9094564763315856</v>
      </c>
    </row>
    <row r="128" spans="1:28">
      <c r="A128">
        <v>127</v>
      </c>
      <c r="B128" s="119">
        <v>0.4238683127572016</v>
      </c>
      <c r="F128">
        <v>0.42295381801554643</v>
      </c>
      <c r="G128">
        <v>0.7562871513488798</v>
      </c>
      <c r="H128">
        <v>0.20073159579332417</v>
      </c>
      <c r="I128">
        <v>0.53406492912665748</v>
      </c>
      <c r="J128">
        <v>0.86739826245999074</v>
      </c>
      <c r="K128">
        <v>0.31184270690443533</v>
      </c>
      <c r="L128">
        <v>0.64517604023776864</v>
      </c>
      <c r="M128">
        <v>0.9785093735711019</v>
      </c>
      <c r="N128">
        <v>2.7892089620484679E-2</v>
      </c>
      <c r="O128">
        <v>0.36122542295381804</v>
      </c>
      <c r="R128">
        <v>2.5</v>
      </c>
      <c r="S128" s="126">
        <f t="shared" si="21"/>
        <v>2.2579336683207094</v>
      </c>
      <c r="T128" s="126">
        <f t="shared" si="22"/>
        <v>2.8693135157922951</v>
      </c>
      <c r="U128" s="126">
        <f t="shared" si="23"/>
        <v>1.911828220633998</v>
      </c>
      <c r="V128" s="126">
        <f t="shared" si="24"/>
        <v>2.1931262230659163</v>
      </c>
      <c r="W128" s="126">
        <f t="shared" si="25"/>
        <v>3.1829654565942724</v>
      </c>
      <c r="X128" s="126">
        <f t="shared" si="26"/>
        <v>2.3568110478033995</v>
      </c>
      <c r="Y128" s="126">
        <f t="shared" si="27"/>
        <v>2.653357620579393</v>
      </c>
      <c r="Z128" s="126">
        <f t="shared" si="28"/>
        <v>4.1646112010465766</v>
      </c>
      <c r="AA128" s="126">
        <f t="shared" si="29"/>
        <v>1.6772513241213729</v>
      </c>
      <c r="AB128" s="126">
        <f t="shared" si="30"/>
        <v>1.7117571963615799</v>
      </c>
    </row>
    <row r="129" spans="1:28">
      <c r="A129">
        <v>128</v>
      </c>
      <c r="B129" s="119">
        <v>0.75720164609053497</v>
      </c>
      <c r="F129">
        <v>0.69455875628715136</v>
      </c>
      <c r="G129">
        <v>0.13900320073159578</v>
      </c>
      <c r="H129">
        <v>0.47233653406492915</v>
      </c>
      <c r="I129">
        <v>0.80566986739826241</v>
      </c>
      <c r="J129">
        <v>0.25011431184270688</v>
      </c>
      <c r="K129">
        <v>0.58344764517604031</v>
      </c>
      <c r="L129">
        <v>0.91678097850937357</v>
      </c>
      <c r="M129">
        <v>6.4929126657521707E-2</v>
      </c>
      <c r="N129">
        <v>0.39826245999085508</v>
      </c>
      <c r="O129">
        <v>0.73159579332418845</v>
      </c>
      <c r="R129">
        <v>2.5</v>
      </c>
      <c r="S129" s="126">
        <f t="shared" si="21"/>
        <v>2.8378973658590279</v>
      </c>
      <c r="T129" s="126">
        <f t="shared" si="22"/>
        <v>1.693304458946834</v>
      </c>
      <c r="U129" s="126">
        <f t="shared" si="23"/>
        <v>1.9555430469024275</v>
      </c>
      <c r="V129" s="126">
        <f t="shared" si="24"/>
        <v>2.8556018238831156</v>
      </c>
      <c r="W129" s="126">
        <f t="shared" si="25"/>
        <v>2.0409304350506785</v>
      </c>
      <c r="X129" s="126">
        <f t="shared" si="26"/>
        <v>2.361302050490905</v>
      </c>
      <c r="Y129" s="126">
        <f t="shared" si="27"/>
        <v>3.4898267045726659</v>
      </c>
      <c r="Z129" s="126">
        <f t="shared" si="28"/>
        <v>1.6664218760289078</v>
      </c>
      <c r="AA129" s="126">
        <f t="shared" si="29"/>
        <v>1.7865987946625852</v>
      </c>
      <c r="AB129" s="126">
        <f t="shared" si="30"/>
        <v>2.5691067924665791</v>
      </c>
    </row>
    <row r="130" spans="1:28">
      <c r="A130">
        <v>129</v>
      </c>
      <c r="B130" s="119">
        <v>0.20164609053497942</v>
      </c>
      <c r="F130">
        <v>0.17604023776863281</v>
      </c>
      <c r="G130">
        <v>0.50937357110196624</v>
      </c>
      <c r="H130">
        <v>0.84270690443529939</v>
      </c>
      <c r="I130">
        <v>0.28715134887974397</v>
      </c>
      <c r="J130">
        <v>0.62048468221307729</v>
      </c>
      <c r="K130">
        <v>0.95381801554641055</v>
      </c>
      <c r="L130">
        <v>0.10196616369455874</v>
      </c>
      <c r="M130">
        <v>0.43529949702789211</v>
      </c>
      <c r="N130">
        <v>0.76863283036122543</v>
      </c>
      <c r="O130">
        <v>0.21307727480566985</v>
      </c>
      <c r="R130">
        <v>2.5</v>
      </c>
      <c r="S130" s="126">
        <f t="shared" si="21"/>
        <v>1.6507003753528153</v>
      </c>
      <c r="T130" s="126">
        <f t="shared" si="22"/>
        <v>2.010750781058666</v>
      </c>
      <c r="U130" s="126">
        <f t="shared" si="23"/>
        <v>3.0017870834111324</v>
      </c>
      <c r="V130" s="126">
        <f t="shared" si="24"/>
        <v>2.2071140000371328</v>
      </c>
      <c r="W130" s="126">
        <f t="shared" si="25"/>
        <v>2.5240336229377958</v>
      </c>
      <c r="X130" s="126">
        <f t="shared" si="26"/>
        <v>3.8184925303188</v>
      </c>
      <c r="Y130" s="126">
        <f t="shared" si="27"/>
        <v>2.0330530324230334</v>
      </c>
      <c r="Z130" s="126">
        <f t="shared" si="28"/>
        <v>2.049181884000483</v>
      </c>
      <c r="AA130" s="126">
        <f t="shared" si="29"/>
        <v>2.7973396408717774</v>
      </c>
      <c r="AB130" s="126">
        <f t="shared" si="30"/>
        <v>1.9113033822490708</v>
      </c>
    </row>
    <row r="131" spans="1:28">
      <c r="A131">
        <v>130</v>
      </c>
      <c r="B131" s="119">
        <v>0.53497942386831265</v>
      </c>
      <c r="F131">
        <v>0.54641060813900322</v>
      </c>
      <c r="G131">
        <v>0.87974394147233648</v>
      </c>
      <c r="H131">
        <v>0.32418838591678101</v>
      </c>
      <c r="I131">
        <v>0.65752171925011438</v>
      </c>
      <c r="J131">
        <v>0.99085505258344764</v>
      </c>
      <c r="K131">
        <v>7.3159579332418845E-3</v>
      </c>
      <c r="L131">
        <v>0.34064929126657523</v>
      </c>
      <c r="M131">
        <v>0.67398262459990854</v>
      </c>
      <c r="N131">
        <v>0.11842706904435298</v>
      </c>
      <c r="O131">
        <v>0.45176040237768633</v>
      </c>
      <c r="R131">
        <v>2.5</v>
      </c>
      <c r="S131" s="126">
        <f t="shared" si="21"/>
        <v>2.5143973027940616</v>
      </c>
      <c r="T131" s="126">
        <f t="shared" si="22"/>
        <v>3.3935376516899369</v>
      </c>
      <c r="U131" s="126">
        <f t="shared" si="23"/>
        <v>2.4911955160290997</v>
      </c>
      <c r="V131" s="126">
        <f t="shared" si="24"/>
        <v>2.7484309404238911</v>
      </c>
      <c r="W131" s="126">
        <f t="shared" si="25"/>
        <v>4.4893664497160861</v>
      </c>
      <c r="X131" s="126">
        <f t="shared" si="26"/>
        <v>1.4044463468881485</v>
      </c>
      <c r="Y131" s="126">
        <f t="shared" si="27"/>
        <v>1.5288636246475056</v>
      </c>
      <c r="Z131" s="126">
        <f t="shared" si="28"/>
        <v>2.3020673696746972</v>
      </c>
      <c r="AA131" s="126">
        <f t="shared" si="29"/>
        <v>1.3431017261339446</v>
      </c>
      <c r="AB131" s="126">
        <f t="shared" si="30"/>
        <v>1.7367922994039953</v>
      </c>
    </row>
    <row r="132" spans="1:28">
      <c r="A132">
        <v>131</v>
      </c>
      <c r="B132" s="119">
        <v>0.86831275720164591</v>
      </c>
      <c r="F132">
        <v>0.78509373571101959</v>
      </c>
      <c r="G132">
        <v>0.22953818015546409</v>
      </c>
      <c r="H132">
        <v>0.56287151348879749</v>
      </c>
      <c r="I132">
        <v>0.89620484682213075</v>
      </c>
      <c r="J132">
        <v>4.4352994970278919E-2</v>
      </c>
      <c r="K132">
        <v>0.37768632830361226</v>
      </c>
      <c r="L132">
        <v>0.71101966163694563</v>
      </c>
      <c r="M132">
        <v>0.15546410608139002</v>
      </c>
      <c r="N132">
        <v>0.48879743941472337</v>
      </c>
      <c r="O132">
        <v>0.82213077274805657</v>
      </c>
      <c r="R132">
        <v>2.5</v>
      </c>
      <c r="S132" s="126">
        <f t="shared" si="21"/>
        <v>3.0694173475341602</v>
      </c>
      <c r="T132" s="126">
        <f t="shared" si="22"/>
        <v>2.0937605695087775</v>
      </c>
      <c r="U132" s="126">
        <f t="shared" si="23"/>
        <v>2.3445790674628464</v>
      </c>
      <c r="V132" s="126">
        <f t="shared" si="24"/>
        <v>3.3795416573728518</v>
      </c>
      <c r="W132" s="126">
        <f t="shared" si="25"/>
        <v>1.4562581691877732</v>
      </c>
      <c r="X132" s="126">
        <f t="shared" si="26"/>
        <v>1.6366656328323606</v>
      </c>
      <c r="Y132" s="126">
        <f t="shared" si="27"/>
        <v>2.443206264054004</v>
      </c>
      <c r="Z132" s="126">
        <f t="shared" si="28"/>
        <v>1.5539326292268762</v>
      </c>
      <c r="AA132" s="126">
        <f t="shared" si="29"/>
        <v>1.919570010452285</v>
      </c>
      <c r="AB132" s="126">
        <f t="shared" si="30"/>
        <v>2.8882191842495804</v>
      </c>
    </row>
    <row r="133" spans="1:28">
      <c r="A133">
        <v>132</v>
      </c>
      <c r="B133" s="119">
        <v>0.3127572016460905</v>
      </c>
      <c r="F133">
        <v>0.26657521719250116</v>
      </c>
      <c r="G133">
        <v>0.59990855052583447</v>
      </c>
      <c r="H133">
        <v>0.93324188385916773</v>
      </c>
      <c r="I133">
        <v>8.1390032007315941E-2</v>
      </c>
      <c r="J133">
        <v>0.4147233653406493</v>
      </c>
      <c r="K133">
        <v>0.74805669867398261</v>
      </c>
      <c r="L133">
        <v>0.19250114311842706</v>
      </c>
      <c r="M133">
        <v>0.5258344764517604</v>
      </c>
      <c r="N133">
        <v>0.85916780978509366</v>
      </c>
      <c r="O133">
        <v>0.30361225422953819</v>
      </c>
      <c r="R133">
        <v>2.5</v>
      </c>
      <c r="S133" s="126">
        <f t="shared" si="21"/>
        <v>1.9042087317173089</v>
      </c>
      <c r="T133" s="126">
        <f t="shared" si="22"/>
        <v>2.3275482102301952</v>
      </c>
      <c r="U133" s="126">
        <f t="shared" si="23"/>
        <v>3.5690658455559254</v>
      </c>
      <c r="V133" s="126">
        <f t="shared" si="24"/>
        <v>1.8042986983939873</v>
      </c>
      <c r="W133" s="126">
        <f t="shared" si="25"/>
        <v>1.890896799641083</v>
      </c>
      <c r="X133" s="126">
        <f t="shared" si="26"/>
        <v>2.6633777547780486</v>
      </c>
      <c r="Y133" s="126">
        <f t="shared" si="27"/>
        <v>1.783823838904798</v>
      </c>
      <c r="Z133" s="126">
        <f t="shared" si="28"/>
        <v>2.1117266145800859</v>
      </c>
      <c r="AA133" s="126">
        <f t="shared" si="29"/>
        <v>3.1110509951741774</v>
      </c>
      <c r="AB133" s="126">
        <f t="shared" si="30"/>
        <v>2.3013620486055144</v>
      </c>
    </row>
    <row r="134" spans="1:28">
      <c r="A134">
        <v>133</v>
      </c>
      <c r="B134" s="119">
        <v>0.64609053497942381</v>
      </c>
      <c r="F134">
        <v>0.63694558756287156</v>
      </c>
      <c r="G134">
        <v>0.97027892089620482</v>
      </c>
      <c r="H134">
        <v>1.9661636945587563E-2</v>
      </c>
      <c r="I134">
        <v>0.35299497027892091</v>
      </c>
      <c r="J134">
        <v>0.68632830361225416</v>
      </c>
      <c r="K134">
        <v>0.13077274805669867</v>
      </c>
      <c r="L134">
        <v>0.46410608139003201</v>
      </c>
      <c r="M134">
        <v>0.79743941472336533</v>
      </c>
      <c r="N134">
        <v>0.24188385916780977</v>
      </c>
      <c r="O134">
        <v>0.57521719250114323</v>
      </c>
      <c r="R134">
        <v>2.5</v>
      </c>
      <c r="S134" s="126">
        <f t="shared" si="21"/>
        <v>2.7071600903781761</v>
      </c>
      <c r="T134" s="126">
        <f t="shared" si="22"/>
        <v>4.0770188406403935</v>
      </c>
      <c r="U134" s="126">
        <f t="shared" si="23"/>
        <v>1.5110992022085403</v>
      </c>
      <c r="V134" s="126">
        <f t="shared" si="24"/>
        <v>1.6100524462550956</v>
      </c>
      <c r="W134" s="126">
        <f t="shared" si="25"/>
        <v>2.3713549849971889</v>
      </c>
      <c r="X134" s="126">
        <f t="shared" si="26"/>
        <v>1.4275297695994336</v>
      </c>
      <c r="Y134" s="126">
        <f t="shared" si="27"/>
        <v>1.8048940031999368</v>
      </c>
      <c r="Z134" s="126">
        <f t="shared" si="28"/>
        <v>2.7555213635704785</v>
      </c>
      <c r="AA134" s="126">
        <f t="shared" si="29"/>
        <v>1.9690816899148329</v>
      </c>
      <c r="AB134" s="126">
        <f t="shared" si="30"/>
        <v>2.3078299399867728</v>
      </c>
    </row>
    <row r="135" spans="1:28">
      <c r="A135">
        <v>134</v>
      </c>
      <c r="B135" s="119">
        <v>0.97942386831275707</v>
      </c>
      <c r="F135">
        <v>0.90855052583447649</v>
      </c>
      <c r="G135">
        <v>5.6698673982624598E-2</v>
      </c>
      <c r="H135">
        <v>0.39003200731595794</v>
      </c>
      <c r="I135">
        <v>0.72336534064929137</v>
      </c>
      <c r="J135">
        <v>0.1678097850937357</v>
      </c>
      <c r="K135">
        <v>0.50114311842706905</v>
      </c>
      <c r="L135">
        <v>0.8344764517604023</v>
      </c>
      <c r="M135">
        <v>0.27892089620484684</v>
      </c>
      <c r="N135">
        <v>0.61225422953818021</v>
      </c>
      <c r="O135">
        <v>0.94558756287151347</v>
      </c>
      <c r="R135">
        <v>2.5</v>
      </c>
      <c r="S135" s="126">
        <f t="shared" si="21"/>
        <v>3.5167637598979944</v>
      </c>
      <c r="T135" s="126">
        <f t="shared" si="22"/>
        <v>1.6235072277293399</v>
      </c>
      <c r="U135" s="126">
        <f t="shared" si="23"/>
        <v>1.7473886387451272</v>
      </c>
      <c r="V135" s="126">
        <f t="shared" si="24"/>
        <v>2.5289627136179358</v>
      </c>
      <c r="W135" s="126">
        <f t="shared" si="25"/>
        <v>1.6386201047455642</v>
      </c>
      <c r="X135" s="126">
        <f t="shared" si="26"/>
        <v>1.9876612675052399</v>
      </c>
      <c r="Y135" s="126">
        <f t="shared" si="27"/>
        <v>2.9624373163694107</v>
      </c>
      <c r="Z135" s="126">
        <f t="shared" si="28"/>
        <v>2.1672742446411117</v>
      </c>
      <c r="AA135" s="126">
        <f t="shared" si="29"/>
        <v>2.4862317672327161</v>
      </c>
      <c r="AB135" s="126">
        <f t="shared" si="30"/>
        <v>3.7338722132827149</v>
      </c>
    </row>
    <row r="136" spans="1:28">
      <c r="A136">
        <v>135</v>
      </c>
      <c r="B136" s="119">
        <v>2.8806584362139918E-2</v>
      </c>
      <c r="F136">
        <v>9.3735711019661619E-2</v>
      </c>
      <c r="G136">
        <v>0.42706904435299498</v>
      </c>
      <c r="H136">
        <v>0.76040237768632835</v>
      </c>
      <c r="I136">
        <v>0.20484682213077274</v>
      </c>
      <c r="J136">
        <v>0.53818015546410602</v>
      </c>
      <c r="K136">
        <v>0.87151348879743928</v>
      </c>
      <c r="L136">
        <v>0.31595793324188387</v>
      </c>
      <c r="M136">
        <v>0.64929126657521719</v>
      </c>
      <c r="N136">
        <v>0.98262459990855044</v>
      </c>
      <c r="O136">
        <v>3.2007315957933241E-2</v>
      </c>
      <c r="R136">
        <v>2.5</v>
      </c>
      <c r="S136" s="126">
        <f t="shared" si="21"/>
        <v>1.3310616341480084</v>
      </c>
      <c r="T136" s="126">
        <f t="shared" si="22"/>
        <v>1.6790868530618002</v>
      </c>
      <c r="U136" s="126">
        <f t="shared" si="23"/>
        <v>2.5892629119085253</v>
      </c>
      <c r="V136" s="126">
        <f t="shared" si="24"/>
        <v>1.7830987480174876</v>
      </c>
      <c r="W136" s="126">
        <f t="shared" si="25"/>
        <v>2.1369699682046548</v>
      </c>
      <c r="X136" s="126">
        <f t="shared" si="26"/>
        <v>3.1707408959436867</v>
      </c>
      <c r="Y136" s="126">
        <f t="shared" si="27"/>
        <v>2.360236223774308</v>
      </c>
      <c r="Z136" s="126">
        <f t="shared" si="28"/>
        <v>2.6642168683311374</v>
      </c>
      <c r="AA136" s="126">
        <f t="shared" si="29"/>
        <v>4.2421221168244854</v>
      </c>
      <c r="AB136" s="126">
        <f t="shared" si="30"/>
        <v>1.7662241319393965</v>
      </c>
    </row>
    <row r="137" spans="1:28">
      <c r="A137">
        <v>136</v>
      </c>
      <c r="B137" s="119">
        <v>0.36213991769547321</v>
      </c>
      <c r="F137">
        <v>0.36534064929126658</v>
      </c>
      <c r="G137">
        <v>0.6986739826245999</v>
      </c>
      <c r="H137">
        <v>0.14311842706904435</v>
      </c>
      <c r="I137">
        <v>0.47645176040237769</v>
      </c>
      <c r="J137">
        <v>0.80978509373571095</v>
      </c>
      <c r="K137">
        <v>0.25422953818015548</v>
      </c>
      <c r="L137">
        <v>0.58756287151348885</v>
      </c>
      <c r="M137">
        <v>0.92089620484682211</v>
      </c>
      <c r="N137">
        <v>6.9044352994970262E-2</v>
      </c>
      <c r="O137">
        <v>0.40237768632830362</v>
      </c>
      <c r="R137">
        <v>2.5</v>
      </c>
      <c r="S137" s="126">
        <f t="shared" si="21"/>
        <v>2.1343152842512856</v>
      </c>
      <c r="T137" s="126">
        <f t="shared" si="22"/>
        <v>2.6638173863833967</v>
      </c>
      <c r="U137" s="126">
        <f t="shared" si="23"/>
        <v>1.6209843723123376</v>
      </c>
      <c r="V137" s="126">
        <f t="shared" si="24"/>
        <v>1.9277206716099218</v>
      </c>
      <c r="W137" s="126">
        <f t="shared" si="25"/>
        <v>2.8540357446964042</v>
      </c>
      <c r="X137" s="126">
        <f t="shared" si="26"/>
        <v>2.0507759067901299</v>
      </c>
      <c r="Y137" s="126">
        <f t="shared" si="27"/>
        <v>2.374959329256658</v>
      </c>
      <c r="Z137" s="126">
        <f t="shared" si="28"/>
        <v>3.5192783727178822</v>
      </c>
      <c r="AA137" s="126">
        <f t="shared" si="29"/>
        <v>1.7073827264830943</v>
      </c>
      <c r="AB137" s="126">
        <f t="shared" si="30"/>
        <v>1.8159694925131871</v>
      </c>
    </row>
    <row r="138" spans="1:28">
      <c r="A138">
        <v>137</v>
      </c>
      <c r="B138" s="119">
        <v>0.69547325102880653</v>
      </c>
      <c r="F138">
        <v>0.73571101966163699</v>
      </c>
      <c r="G138">
        <v>0.18015546410608138</v>
      </c>
      <c r="H138">
        <v>0.51348879743941478</v>
      </c>
      <c r="I138">
        <v>0.84682213077274793</v>
      </c>
      <c r="J138">
        <v>0.29126657521719251</v>
      </c>
      <c r="K138">
        <v>0.62459990855052583</v>
      </c>
      <c r="L138">
        <v>0.95793324188385909</v>
      </c>
      <c r="M138">
        <v>0.1060813900320073</v>
      </c>
      <c r="N138">
        <v>0.43941472336534065</v>
      </c>
      <c r="O138">
        <v>0.77274805669867397</v>
      </c>
      <c r="R138">
        <v>2.5</v>
      </c>
      <c r="S138" s="126">
        <f t="shared" si="21"/>
        <v>2.9379984696738188</v>
      </c>
      <c r="T138" s="126">
        <f t="shared" si="22"/>
        <v>1.8838608831272221</v>
      </c>
      <c r="U138" s="126">
        <f t="shared" si="23"/>
        <v>2.1364488791509864</v>
      </c>
      <c r="V138" s="126">
        <f t="shared" si="24"/>
        <v>3.0791935044922791</v>
      </c>
      <c r="W138" s="126">
        <f t="shared" si="25"/>
        <v>2.2559471462442238</v>
      </c>
      <c r="X138" s="126">
        <f t="shared" si="26"/>
        <v>2.5575101171696377</v>
      </c>
      <c r="Y138" s="126">
        <f t="shared" si="27"/>
        <v>3.8717184745368129</v>
      </c>
      <c r="Z138" s="126">
        <f t="shared" si="28"/>
        <v>2.078599351364077</v>
      </c>
      <c r="AA138" s="126">
        <f t="shared" si="29"/>
        <v>2.0806880190561401</v>
      </c>
      <c r="AB138" s="126">
        <f t="shared" si="30"/>
        <v>2.8243718438129632</v>
      </c>
    </row>
    <row r="139" spans="1:28">
      <c r="A139">
        <v>138</v>
      </c>
      <c r="B139" s="119">
        <v>0.13991769547325103</v>
      </c>
      <c r="F139">
        <v>0.21719250114311842</v>
      </c>
      <c r="G139">
        <v>0.55052583447645176</v>
      </c>
      <c r="H139">
        <v>0.88385916780978502</v>
      </c>
      <c r="I139">
        <v>0.32830361225422955</v>
      </c>
      <c r="J139">
        <v>0.66163694558756292</v>
      </c>
      <c r="K139">
        <v>0.99497027892089618</v>
      </c>
      <c r="L139">
        <v>1.1431184270690445E-2</v>
      </c>
      <c r="M139">
        <v>0.34476451760402382</v>
      </c>
      <c r="N139">
        <v>0.67809785093735708</v>
      </c>
      <c r="O139">
        <v>0.12254229538180154</v>
      </c>
      <c r="R139">
        <v>2.5</v>
      </c>
      <c r="S139" s="126">
        <f t="shared" si="21"/>
        <v>1.7734730023581478</v>
      </c>
      <c r="T139" s="126">
        <f t="shared" si="22"/>
        <v>2.1578163045051992</v>
      </c>
      <c r="U139" s="126">
        <f t="shared" si="23"/>
        <v>3.2314711525504278</v>
      </c>
      <c r="V139" s="126">
        <f t="shared" si="24"/>
        <v>2.4191569092611327</v>
      </c>
      <c r="W139" s="126">
        <f t="shared" si="25"/>
        <v>2.721483513939138</v>
      </c>
      <c r="X139" s="126">
        <f t="shared" si="26"/>
        <v>4.6523982108491131</v>
      </c>
      <c r="Y139" s="126">
        <f t="shared" si="27"/>
        <v>1.6230033472359118</v>
      </c>
      <c r="Z139" s="126">
        <f t="shared" si="28"/>
        <v>1.6479460375086312</v>
      </c>
      <c r="AA139" s="126">
        <f t="shared" si="29"/>
        <v>2.3713613662352326</v>
      </c>
      <c r="AB139" s="126">
        <f t="shared" si="30"/>
        <v>1.3948496413428209</v>
      </c>
    </row>
    <row r="140" spans="1:28">
      <c r="A140">
        <v>139</v>
      </c>
      <c r="B140" s="119">
        <v>0.47325102880658432</v>
      </c>
      <c r="F140">
        <v>0.45587562871513493</v>
      </c>
      <c r="G140">
        <v>0.78920896204846813</v>
      </c>
      <c r="H140">
        <v>0.23365340649291264</v>
      </c>
      <c r="I140">
        <v>0.56698673982624603</v>
      </c>
      <c r="J140">
        <v>0.90032007315957929</v>
      </c>
      <c r="K140">
        <v>4.8468221307727481E-2</v>
      </c>
      <c r="L140">
        <v>0.38180155464106086</v>
      </c>
      <c r="M140">
        <v>0.71513488797439417</v>
      </c>
      <c r="N140">
        <v>0.15957933241883857</v>
      </c>
      <c r="O140">
        <v>0.49291266575217196</v>
      </c>
      <c r="R140">
        <v>2.5</v>
      </c>
      <c r="S140" s="126">
        <f t="shared" si="21"/>
        <v>2.3268149621889718</v>
      </c>
      <c r="T140" s="126">
        <f t="shared" si="22"/>
        <v>2.994059520855382</v>
      </c>
      <c r="U140" s="126">
        <f t="shared" si="23"/>
        <v>2.0670210169251551</v>
      </c>
      <c r="V140" s="126">
        <f t="shared" si="24"/>
        <v>2.3397623576132607</v>
      </c>
      <c r="W140" s="126">
        <f t="shared" si="25"/>
        <v>3.3962217606906697</v>
      </c>
      <c r="X140" s="126">
        <f t="shared" si="26"/>
        <v>1.499590647182103</v>
      </c>
      <c r="Y140" s="126">
        <f t="shared" si="27"/>
        <v>1.6673609047655442</v>
      </c>
      <c r="Z140" s="126">
        <f t="shared" si="28"/>
        <v>2.4685996473277712</v>
      </c>
      <c r="AA140" s="126">
        <f t="shared" si="29"/>
        <v>1.5807895158876462</v>
      </c>
      <c r="AB140" s="126">
        <f t="shared" si="30"/>
        <v>1.9415786501638477</v>
      </c>
    </row>
    <row r="141" spans="1:28">
      <c r="A141">
        <v>140</v>
      </c>
      <c r="B141" s="119">
        <v>0.80658436213991758</v>
      </c>
      <c r="F141">
        <v>0.82624599908550511</v>
      </c>
      <c r="G141">
        <v>0.27069044352994975</v>
      </c>
      <c r="H141">
        <v>0.60402377686328301</v>
      </c>
      <c r="I141">
        <v>0.93735711019661627</v>
      </c>
      <c r="J141">
        <v>8.5505258344764509E-2</v>
      </c>
      <c r="K141">
        <v>0.41883859167809789</v>
      </c>
      <c r="L141">
        <v>0.75217192501143115</v>
      </c>
      <c r="M141">
        <v>0.1966163694558756</v>
      </c>
      <c r="N141">
        <v>0.52994970278920894</v>
      </c>
      <c r="O141">
        <v>0.8632830361225422</v>
      </c>
      <c r="R141">
        <v>2.5</v>
      </c>
      <c r="S141" s="126">
        <f t="shared" si="21"/>
        <v>3.1930725414610066</v>
      </c>
      <c r="T141" s="126">
        <f t="shared" si="22"/>
        <v>2.2628387658511482</v>
      </c>
      <c r="U141" s="126">
        <f t="shared" si="23"/>
        <v>2.5165927370804537</v>
      </c>
      <c r="V141" s="126">
        <f t="shared" si="24"/>
        <v>3.6909521275038992</v>
      </c>
      <c r="W141" s="126">
        <f t="shared" si="25"/>
        <v>1.887678441381105</v>
      </c>
      <c r="X141" s="126">
        <f t="shared" si="26"/>
        <v>1.9415015315765325</v>
      </c>
      <c r="Y141" s="126">
        <f t="shared" si="27"/>
        <v>2.6994956398680383</v>
      </c>
      <c r="Z141" s="126">
        <f t="shared" si="28"/>
        <v>1.8143048976209866</v>
      </c>
      <c r="AA141" s="126">
        <f t="shared" si="29"/>
        <v>2.1355753814847867</v>
      </c>
      <c r="AB141" s="126">
        <f t="shared" si="30"/>
        <v>3.1383793558412307</v>
      </c>
    </row>
    <row r="142" spans="1:28">
      <c r="A142">
        <v>141</v>
      </c>
      <c r="B142" s="119">
        <v>0.25102880658436211</v>
      </c>
      <c r="F142">
        <v>0.30772748056698679</v>
      </c>
      <c r="G142">
        <v>0.6410608139003201</v>
      </c>
      <c r="H142">
        <v>0.97439414723365336</v>
      </c>
      <c r="I142">
        <v>2.3776863283036121E-2</v>
      </c>
      <c r="J142">
        <v>0.3571101966163695</v>
      </c>
      <c r="K142">
        <v>0.69044352994970271</v>
      </c>
      <c r="L142">
        <v>0.13488797439414721</v>
      </c>
      <c r="M142">
        <v>0.46822130772748061</v>
      </c>
      <c r="N142">
        <v>0.80155464106081387</v>
      </c>
      <c r="O142">
        <v>0.24599908550525831</v>
      </c>
      <c r="R142">
        <v>2.5</v>
      </c>
      <c r="S142" s="126">
        <f t="shared" si="21"/>
        <v>2.0039285845072428</v>
      </c>
      <c r="T142" s="126">
        <f t="shared" si="22"/>
        <v>2.4668986792632399</v>
      </c>
      <c r="U142" s="126">
        <f t="shared" si="23"/>
        <v>4.0097045265806077</v>
      </c>
      <c r="V142" s="126">
        <f t="shared" si="24"/>
        <v>1.542799891402888</v>
      </c>
      <c r="W142" s="126">
        <f t="shared" si="25"/>
        <v>1.635101936242735</v>
      </c>
      <c r="X142" s="126">
        <f t="shared" si="26"/>
        <v>2.3935442969870646</v>
      </c>
      <c r="Y142" s="126">
        <f t="shared" si="27"/>
        <v>1.4544911179685605</v>
      </c>
      <c r="Z142" s="126">
        <f t="shared" si="28"/>
        <v>1.8269836410773703</v>
      </c>
      <c r="AA142" s="126">
        <f t="shared" si="29"/>
        <v>2.7787295227362563</v>
      </c>
      <c r="AB142" s="126">
        <f t="shared" si="30"/>
        <v>1.9915686186569159</v>
      </c>
    </row>
    <row r="143" spans="1:28">
      <c r="A143">
        <v>142</v>
      </c>
      <c r="B143" s="119">
        <v>0.58436213991769548</v>
      </c>
      <c r="F143">
        <v>0.57933241883859177</v>
      </c>
      <c r="G143">
        <v>0.91266575217192503</v>
      </c>
      <c r="H143">
        <v>6.081390032007316E-2</v>
      </c>
      <c r="I143">
        <v>0.39414723365340654</v>
      </c>
      <c r="J143">
        <v>0.72748056698673991</v>
      </c>
      <c r="K143">
        <v>0.17192501143118424</v>
      </c>
      <c r="L143">
        <v>0.50525834476451759</v>
      </c>
      <c r="M143">
        <v>0.83859167809785085</v>
      </c>
      <c r="N143">
        <v>0.28303612254229543</v>
      </c>
      <c r="O143">
        <v>0.61636945587562875</v>
      </c>
      <c r="R143">
        <v>2.5</v>
      </c>
      <c r="S143" s="126">
        <f t="shared" si="21"/>
        <v>2.5833408038885839</v>
      </c>
      <c r="T143" s="126">
        <f t="shared" si="22"/>
        <v>3.5796607856944975</v>
      </c>
      <c r="U143" s="126">
        <f t="shared" si="23"/>
        <v>1.6840934064872761</v>
      </c>
      <c r="V143" s="126">
        <f t="shared" si="24"/>
        <v>1.7866725444152638</v>
      </c>
      <c r="W143" s="126">
        <f t="shared" si="25"/>
        <v>2.5588870213948782</v>
      </c>
      <c r="X143" s="126">
        <f t="shared" si="26"/>
        <v>1.6670803160986676</v>
      </c>
      <c r="Y143" s="126">
        <f t="shared" si="27"/>
        <v>2.0104737759556617</v>
      </c>
      <c r="Z143" s="126">
        <f t="shared" si="28"/>
        <v>2.9876600267335651</v>
      </c>
      <c r="AA143" s="126">
        <f t="shared" si="29"/>
        <v>2.1900174660553322</v>
      </c>
      <c r="AB143" s="126">
        <f t="shared" si="30"/>
        <v>2.5065375304373392</v>
      </c>
    </row>
    <row r="144" spans="1:28">
      <c r="A144">
        <v>143</v>
      </c>
      <c r="B144" s="119">
        <v>0.91769547325102874</v>
      </c>
      <c r="F144">
        <v>0.94970278920896201</v>
      </c>
      <c r="G144">
        <v>9.7850937357110188E-2</v>
      </c>
      <c r="H144">
        <v>0.43118427069044357</v>
      </c>
      <c r="I144">
        <v>0.76451760402377689</v>
      </c>
      <c r="J144">
        <v>0.20896204846822128</v>
      </c>
      <c r="K144">
        <v>0.54229538180155457</v>
      </c>
      <c r="L144">
        <v>0.87562871513488783</v>
      </c>
      <c r="M144">
        <v>0.32007315957933247</v>
      </c>
      <c r="N144">
        <v>0.65340649291266573</v>
      </c>
      <c r="O144">
        <v>0.98673982624599899</v>
      </c>
      <c r="R144">
        <v>2.5</v>
      </c>
      <c r="S144" s="126">
        <f t="shared" si="21"/>
        <v>3.7725314590632264</v>
      </c>
      <c r="T144" s="126">
        <f t="shared" si="22"/>
        <v>1.9905975919840162</v>
      </c>
      <c r="U144" s="126">
        <f t="shared" si="23"/>
        <v>2.0192145425385757</v>
      </c>
      <c r="V144" s="126">
        <f t="shared" si="24"/>
        <v>2.7711913683135041</v>
      </c>
      <c r="W144" s="126">
        <f t="shared" si="25"/>
        <v>1.8864171469310165</v>
      </c>
      <c r="X144" s="126">
        <f t="shared" si="26"/>
        <v>2.1974494639239106</v>
      </c>
      <c r="Y144" s="126">
        <f t="shared" si="27"/>
        <v>3.2174972423775694</v>
      </c>
      <c r="Z144" s="126">
        <f t="shared" si="28"/>
        <v>2.3932523129414673</v>
      </c>
      <c r="AA144" s="126">
        <f t="shared" si="29"/>
        <v>2.6899874901424026</v>
      </c>
      <c r="AB144" s="126">
        <f t="shared" si="30"/>
        <v>4.3435389429533666</v>
      </c>
    </row>
    <row r="145" spans="1:28">
      <c r="A145">
        <v>144</v>
      </c>
      <c r="B145" s="119">
        <v>6.5843621399176946E-2</v>
      </c>
      <c r="F145">
        <v>3.6122542295381803E-2</v>
      </c>
      <c r="G145">
        <v>0.36945587562871518</v>
      </c>
      <c r="H145">
        <v>0.70278920896204844</v>
      </c>
      <c r="I145">
        <v>0.14723365340649289</v>
      </c>
      <c r="J145">
        <v>0.48056698673982629</v>
      </c>
      <c r="K145">
        <v>0.81390032007315949</v>
      </c>
      <c r="L145">
        <v>0.25834476451760408</v>
      </c>
      <c r="M145">
        <v>0.59167809785093739</v>
      </c>
      <c r="N145">
        <v>0.92501143118427065</v>
      </c>
      <c r="O145">
        <v>7.3159579332418831E-2</v>
      </c>
      <c r="R145">
        <v>2.5</v>
      </c>
      <c r="S145" s="126">
        <f t="shared" si="21"/>
        <v>0.93559122866319044</v>
      </c>
      <c r="T145" s="126">
        <f t="shared" si="22"/>
        <v>1.357054026323451</v>
      </c>
      <c r="U145" s="126">
        <f t="shared" si="23"/>
        <v>2.2829389546177303</v>
      </c>
      <c r="V145" s="126">
        <f t="shared" si="24"/>
        <v>1.444435436930755</v>
      </c>
      <c r="W145" s="126">
        <f t="shared" si="25"/>
        <v>1.8475076750752217</v>
      </c>
      <c r="X145" s="126">
        <f t="shared" si="26"/>
        <v>2.8263043167353943</v>
      </c>
      <c r="Y145" s="126">
        <f t="shared" si="27"/>
        <v>2.0473808028570422</v>
      </c>
      <c r="Z145" s="126">
        <f t="shared" si="28"/>
        <v>2.3819822910766977</v>
      </c>
      <c r="AA145" s="126">
        <f t="shared" si="29"/>
        <v>3.5463039065992632</v>
      </c>
      <c r="AB145" s="126">
        <f t="shared" si="30"/>
        <v>1.7459487267934239</v>
      </c>
    </row>
    <row r="146" spans="1:28">
      <c r="A146">
        <v>145</v>
      </c>
      <c r="B146" s="119">
        <v>0.39917695473251025</v>
      </c>
      <c r="F146">
        <v>0.40649291266575222</v>
      </c>
      <c r="G146">
        <v>0.73982624599908553</v>
      </c>
      <c r="H146">
        <v>0.18427069044352992</v>
      </c>
      <c r="I146">
        <v>0.51760402377686332</v>
      </c>
      <c r="J146">
        <v>0.85093735711019647</v>
      </c>
      <c r="K146">
        <v>0.29538180155464111</v>
      </c>
      <c r="L146">
        <v>0.62871513488797437</v>
      </c>
      <c r="M146">
        <v>0.96204846822130763</v>
      </c>
      <c r="N146">
        <v>0.11019661636945587</v>
      </c>
      <c r="O146">
        <v>0.44352994970278925</v>
      </c>
      <c r="R146">
        <v>2.5</v>
      </c>
      <c r="S146" s="126">
        <f t="shared" si="21"/>
        <v>2.2230996449214269</v>
      </c>
      <c r="T146" s="126">
        <f t="shared" si="22"/>
        <v>2.809246864113041</v>
      </c>
      <c r="U146" s="126">
        <f t="shared" si="23"/>
        <v>1.8319873825880419</v>
      </c>
      <c r="V146" s="126">
        <f t="shared" si="24"/>
        <v>2.1188918562324583</v>
      </c>
      <c r="W146" s="126">
        <f t="shared" si="25"/>
        <v>3.0848555871971639</v>
      </c>
      <c r="X146" s="126">
        <f t="shared" si="26"/>
        <v>2.2686563194794953</v>
      </c>
      <c r="Y146" s="126">
        <f t="shared" si="27"/>
        <v>2.5728615352082858</v>
      </c>
      <c r="Z146" s="126">
        <f t="shared" si="28"/>
        <v>3.9188417909999158</v>
      </c>
      <c r="AA146" s="126">
        <f t="shared" si="29"/>
        <v>2.1205588172087362</v>
      </c>
      <c r="AB146" s="126">
        <f t="shared" si="30"/>
        <v>2.1103777063454898</v>
      </c>
    </row>
    <row r="147" spans="1:28">
      <c r="A147">
        <v>146</v>
      </c>
      <c r="B147" s="119">
        <v>0.73251028806584362</v>
      </c>
      <c r="F147">
        <v>0.77686328303612251</v>
      </c>
      <c r="G147">
        <v>0.22130772748056696</v>
      </c>
      <c r="H147">
        <v>0.5546410608139003</v>
      </c>
      <c r="I147">
        <v>0.88797439414723356</v>
      </c>
      <c r="J147">
        <v>0.33241883859167815</v>
      </c>
      <c r="K147">
        <v>0.66575217192501146</v>
      </c>
      <c r="L147">
        <v>0.99908550525834472</v>
      </c>
      <c r="M147">
        <v>9.1449474165523545E-4</v>
      </c>
      <c r="N147">
        <v>0.33424782807498854</v>
      </c>
      <c r="O147">
        <v>0.66758116140832191</v>
      </c>
      <c r="R147">
        <v>2.5</v>
      </c>
      <c r="S147" s="126">
        <f t="shared" si="21"/>
        <v>3.0464301298841088</v>
      </c>
      <c r="T147" s="126">
        <f t="shared" si="22"/>
        <v>2.0595948874602072</v>
      </c>
      <c r="U147" s="126">
        <f t="shared" si="23"/>
        <v>2.3102039617336163</v>
      </c>
      <c r="V147" s="126">
        <f t="shared" si="24"/>
        <v>3.3256492370114374</v>
      </c>
      <c r="W147" s="126">
        <f t="shared" si="25"/>
        <v>2.4758592776910913</v>
      </c>
      <c r="X147" s="126">
        <f t="shared" si="26"/>
        <v>2.759284844391058</v>
      </c>
      <c r="Y147" s="126">
        <f t="shared" si="27"/>
        <v>5.1191830462092094</v>
      </c>
      <c r="Z147" s="126">
        <f t="shared" si="28"/>
        <v>1.1639897956064851</v>
      </c>
      <c r="AA147" s="126">
        <f t="shared" si="29"/>
        <v>1.3935581798483034</v>
      </c>
      <c r="AB147" s="126">
        <f t="shared" si="30"/>
        <v>2.2194692500226147</v>
      </c>
    </row>
    <row r="148" spans="1:28">
      <c r="A148">
        <v>147</v>
      </c>
      <c r="B148" s="119">
        <v>0.17695473251028807</v>
      </c>
      <c r="F148">
        <v>0.11202560585276634</v>
      </c>
      <c r="G148">
        <v>0.44535893918609964</v>
      </c>
      <c r="H148">
        <v>0.77869227251943296</v>
      </c>
      <c r="I148">
        <v>0.22313671696387744</v>
      </c>
      <c r="J148">
        <v>0.55647005029721086</v>
      </c>
      <c r="K148">
        <v>0.88980338363054412</v>
      </c>
      <c r="L148">
        <v>3.7951531778692267E-2</v>
      </c>
      <c r="M148">
        <v>0.37128486511202557</v>
      </c>
      <c r="N148">
        <v>0.704618198445359</v>
      </c>
      <c r="O148">
        <v>0.14906264288980337</v>
      </c>
      <c r="R148">
        <v>2.5</v>
      </c>
      <c r="S148" s="126">
        <f t="shared" si="21"/>
        <v>1.4154141541558773</v>
      </c>
      <c r="T148" s="126">
        <f t="shared" si="22"/>
        <v>1.7597904625826275</v>
      </c>
      <c r="U148" s="126">
        <f t="shared" si="23"/>
        <v>2.6794664623135742</v>
      </c>
      <c r="V148" s="126">
        <f t="shared" si="24"/>
        <v>1.8802245940746931</v>
      </c>
      <c r="W148" s="126">
        <f t="shared" si="25"/>
        <v>2.2238709161655614</v>
      </c>
      <c r="X148" s="126">
        <f t="shared" si="26"/>
        <v>3.2902234694126324</v>
      </c>
      <c r="Y148" s="126">
        <f t="shared" si="27"/>
        <v>1.3513996123225578</v>
      </c>
      <c r="Z148" s="126">
        <f t="shared" si="28"/>
        <v>1.5700334561154259</v>
      </c>
      <c r="AA148" s="126">
        <f t="shared" si="29"/>
        <v>2.3943457936894124</v>
      </c>
      <c r="AB148" s="126">
        <f t="shared" si="30"/>
        <v>1.5069525356535678</v>
      </c>
    </row>
    <row r="149" spans="1:28">
      <c r="A149">
        <v>148</v>
      </c>
      <c r="B149" s="119">
        <v>0.51028806584362141</v>
      </c>
      <c r="F149">
        <v>0.48239597622313668</v>
      </c>
      <c r="G149">
        <v>0.81572930955646994</v>
      </c>
      <c r="H149">
        <v>0.26017375400091447</v>
      </c>
      <c r="I149">
        <v>0.59350708733424784</v>
      </c>
      <c r="J149">
        <v>0.9268404206675811</v>
      </c>
      <c r="K149">
        <v>7.4988568815729309E-2</v>
      </c>
      <c r="L149">
        <v>0.40832190214906261</v>
      </c>
      <c r="M149">
        <v>0.74165523548239598</v>
      </c>
      <c r="N149">
        <v>0.1860996799268404</v>
      </c>
      <c r="O149">
        <v>0.51943301326017377</v>
      </c>
      <c r="R149">
        <v>2.5</v>
      </c>
      <c r="S149" s="126">
        <f t="shared" si="21"/>
        <v>2.3818198822562913</v>
      </c>
      <c r="T149" s="126">
        <f t="shared" si="22"/>
        <v>3.1004976441371839</v>
      </c>
      <c r="U149" s="126">
        <f t="shared" si="23"/>
        <v>2.1898480133678162</v>
      </c>
      <c r="V149" s="126">
        <f t="shared" si="24"/>
        <v>2.4574728465972373</v>
      </c>
      <c r="W149" s="126">
        <f t="shared" si="25"/>
        <v>3.5950043493631361</v>
      </c>
      <c r="X149" s="126">
        <f t="shared" si="26"/>
        <v>1.781184458885797</v>
      </c>
      <c r="Y149" s="126">
        <f t="shared" si="27"/>
        <v>1.8657094894752531</v>
      </c>
      <c r="Z149" s="126">
        <f t="shared" si="28"/>
        <v>2.634280216144429</v>
      </c>
      <c r="AA149" s="126">
        <f t="shared" si="29"/>
        <v>1.7496971573916014</v>
      </c>
      <c r="AB149" s="126">
        <f t="shared" si="30"/>
        <v>2.0813182468311946</v>
      </c>
    </row>
    <row r="150" spans="1:28">
      <c r="A150">
        <v>149</v>
      </c>
      <c r="B150" s="119">
        <v>0.84362139917695456</v>
      </c>
      <c r="F150">
        <v>0.85276634659350703</v>
      </c>
      <c r="G150">
        <v>0.29721079103795151</v>
      </c>
      <c r="H150">
        <v>0.63054412437128493</v>
      </c>
      <c r="I150">
        <v>0.96387745770461819</v>
      </c>
      <c r="J150">
        <v>1.3260173754000914E-2</v>
      </c>
      <c r="K150">
        <v>0.34659350708733422</v>
      </c>
      <c r="L150">
        <v>0.67992684042066753</v>
      </c>
      <c r="M150">
        <v>0.12437128486511202</v>
      </c>
      <c r="N150">
        <v>0.45770461819844532</v>
      </c>
      <c r="O150">
        <v>0.79103795153177869</v>
      </c>
      <c r="R150">
        <v>2.5</v>
      </c>
      <c r="S150" s="126">
        <f t="shared" si="21"/>
        <v>3.2829245616601161</v>
      </c>
      <c r="T150" s="126">
        <f t="shared" si="22"/>
        <v>2.3725691637028099</v>
      </c>
      <c r="U150" s="126">
        <f t="shared" si="23"/>
        <v>2.6290822668797009</v>
      </c>
      <c r="V150" s="126">
        <f t="shared" si="24"/>
        <v>3.9657403986705466</v>
      </c>
      <c r="W150" s="126">
        <f t="shared" si="25"/>
        <v>1.3250847739640177</v>
      </c>
      <c r="X150" s="126">
        <f t="shared" si="26"/>
        <v>1.5023036097362938</v>
      </c>
      <c r="Y150" s="126">
        <f t="shared" si="27"/>
        <v>2.3023744753309598</v>
      </c>
      <c r="Z150" s="126">
        <f t="shared" si="28"/>
        <v>1.3675691494919273</v>
      </c>
      <c r="AA150" s="126">
        <f t="shared" si="29"/>
        <v>1.7614589286582603</v>
      </c>
      <c r="AB150" s="126">
        <f t="shared" si="30"/>
        <v>2.7151477723269917</v>
      </c>
    </row>
    <row r="151" spans="1:28">
      <c r="A151">
        <v>150</v>
      </c>
      <c r="B151" s="119">
        <v>0.28806584362139914</v>
      </c>
      <c r="F151">
        <v>0.23548239597622311</v>
      </c>
      <c r="G151">
        <v>0.56881572930955659</v>
      </c>
      <c r="H151">
        <v>0.90214906264288985</v>
      </c>
      <c r="I151">
        <v>5.0297210791037945E-2</v>
      </c>
      <c r="J151">
        <v>0.38363054412437125</v>
      </c>
      <c r="K151">
        <v>0.71696387745770473</v>
      </c>
      <c r="L151">
        <v>0.16140832190214904</v>
      </c>
      <c r="M151">
        <v>0.49474165523548236</v>
      </c>
      <c r="N151">
        <v>0.82807498856881567</v>
      </c>
      <c r="O151">
        <v>0.27251943301326015</v>
      </c>
      <c r="R151">
        <v>2.5</v>
      </c>
      <c r="S151" s="126">
        <f t="shared" si="21"/>
        <v>1.8236207407663834</v>
      </c>
      <c r="T151" s="126">
        <f t="shared" si="22"/>
        <v>2.2212664715017754</v>
      </c>
      <c r="U151" s="126">
        <f t="shared" si="23"/>
        <v>3.3453401279179538</v>
      </c>
      <c r="V151" s="126">
        <f t="shared" si="24"/>
        <v>1.4887913692283359</v>
      </c>
      <c r="W151" s="126">
        <f t="shared" si="25"/>
        <v>1.6658866701762318</v>
      </c>
      <c r="X151" s="126">
        <f t="shared" si="26"/>
        <v>2.4723099838115319</v>
      </c>
      <c r="Y151" s="126">
        <f t="shared" si="27"/>
        <v>1.5888419709254256</v>
      </c>
      <c r="Z151" s="126">
        <f t="shared" si="28"/>
        <v>1.9494076455026472</v>
      </c>
      <c r="AA151" s="126">
        <f t="shared" si="29"/>
        <v>2.922243463484028</v>
      </c>
      <c r="AB151" s="126">
        <f t="shared" si="30"/>
        <v>2.1312690441753057</v>
      </c>
    </row>
    <row r="152" spans="1:28">
      <c r="A152">
        <v>151</v>
      </c>
      <c r="B152" s="119">
        <v>0.62139917695473246</v>
      </c>
      <c r="F152">
        <v>0.60585276634659357</v>
      </c>
      <c r="G152">
        <v>0.93918609967992683</v>
      </c>
      <c r="H152">
        <v>8.7334247828074987E-2</v>
      </c>
      <c r="I152">
        <v>0.42066758116140829</v>
      </c>
      <c r="J152">
        <v>0.75400091449474171</v>
      </c>
      <c r="K152">
        <v>0.19844535893918608</v>
      </c>
      <c r="L152">
        <v>0.53177869227251939</v>
      </c>
      <c r="M152">
        <v>0.86511202560585265</v>
      </c>
      <c r="N152">
        <v>0.30955647005029718</v>
      </c>
      <c r="O152">
        <v>0.64288980338363055</v>
      </c>
      <c r="R152">
        <v>2.5</v>
      </c>
      <c r="S152" s="126">
        <f t="shared" si="21"/>
        <v>2.6397076816852412</v>
      </c>
      <c r="T152" s="126">
        <f t="shared" si="22"/>
        <v>3.7652160652177789</v>
      </c>
      <c r="U152" s="126">
        <f t="shared" si="23"/>
        <v>1.9345787767183604</v>
      </c>
      <c r="V152" s="126">
        <f t="shared" si="24"/>
        <v>1.9689333692900641</v>
      </c>
      <c r="W152" s="126">
        <f t="shared" si="25"/>
        <v>2.7180616308755123</v>
      </c>
      <c r="X152" s="126">
        <f t="shared" si="26"/>
        <v>1.829065110947262</v>
      </c>
      <c r="Y152" s="126">
        <f t="shared" si="27"/>
        <v>2.1467865995757216</v>
      </c>
      <c r="Z152" s="126">
        <f t="shared" si="28"/>
        <v>3.1509340706438946</v>
      </c>
      <c r="AA152" s="126">
        <f t="shared" si="29"/>
        <v>2.335372280074155</v>
      </c>
      <c r="AB152" s="126">
        <f t="shared" si="30"/>
        <v>2.6375222771416267</v>
      </c>
    </row>
    <row r="153" spans="1:28">
      <c r="A153">
        <v>152</v>
      </c>
      <c r="B153" s="119">
        <v>0.95473251028806572</v>
      </c>
      <c r="F153">
        <v>0.97622313671696381</v>
      </c>
      <c r="G153">
        <v>2.5605852766346592E-2</v>
      </c>
      <c r="H153">
        <v>0.3589391860996799</v>
      </c>
      <c r="I153">
        <v>0.69227251943301327</v>
      </c>
      <c r="J153">
        <v>0.13671696387745769</v>
      </c>
      <c r="K153">
        <v>0.470050297210791</v>
      </c>
      <c r="L153">
        <v>0.80338363054412432</v>
      </c>
      <c r="M153">
        <v>0.24782807498856879</v>
      </c>
      <c r="N153">
        <v>0.58116140832190222</v>
      </c>
      <c r="O153">
        <v>0.91449474165523548</v>
      </c>
      <c r="R153">
        <v>2.5</v>
      </c>
      <c r="S153" s="126">
        <f t="shared" si="21"/>
        <v>4.0524324836565233</v>
      </c>
      <c r="T153" s="126">
        <f t="shared" si="22"/>
        <v>1.5903661959028641</v>
      </c>
      <c r="U153" s="126">
        <f t="shared" si="23"/>
        <v>1.6630487573708796</v>
      </c>
      <c r="V153" s="126">
        <f t="shared" si="24"/>
        <v>2.4118746009473613</v>
      </c>
      <c r="W153" s="126">
        <f t="shared" si="25"/>
        <v>1.4706238853291662</v>
      </c>
      <c r="X153" s="126">
        <f t="shared" si="26"/>
        <v>1.8388847048259596</v>
      </c>
      <c r="Y153" s="126">
        <f t="shared" si="27"/>
        <v>2.7901399436222167</v>
      </c>
      <c r="Z153" s="126">
        <f t="shared" si="28"/>
        <v>2.0020822455668528</v>
      </c>
      <c r="AA153" s="126">
        <f t="shared" si="29"/>
        <v>2.3369470696835108</v>
      </c>
      <c r="AB153" s="126">
        <f t="shared" si="30"/>
        <v>3.4653985751252869</v>
      </c>
    </row>
    <row r="154" spans="1:28">
      <c r="A154">
        <v>153</v>
      </c>
      <c r="B154" s="119">
        <v>0.10288065843621398</v>
      </c>
      <c r="F154">
        <v>6.2642889803383631E-2</v>
      </c>
      <c r="G154">
        <v>0.39597622313671693</v>
      </c>
      <c r="H154">
        <v>0.72930955647005036</v>
      </c>
      <c r="I154">
        <v>0.17375400091449472</v>
      </c>
      <c r="J154">
        <v>0.50708733424782815</v>
      </c>
      <c r="K154">
        <v>0.8404206675811613</v>
      </c>
      <c r="L154">
        <v>0.28486511202560583</v>
      </c>
      <c r="M154">
        <v>0.6181984453589392</v>
      </c>
      <c r="N154">
        <v>0.95153177869227246</v>
      </c>
      <c r="O154">
        <v>9.9679926840420666E-2</v>
      </c>
      <c r="R154">
        <v>2.5</v>
      </c>
      <c r="S154" s="126">
        <f t="shared" si="21"/>
        <v>1.1538422621527358</v>
      </c>
      <c r="T154" s="126">
        <f t="shared" si="22"/>
        <v>1.5240860275942982</v>
      </c>
      <c r="U154" s="126">
        <f t="shared" si="23"/>
        <v>2.431460010956048</v>
      </c>
      <c r="V154" s="126">
        <f t="shared" si="24"/>
        <v>1.6089341400455024</v>
      </c>
      <c r="W154" s="126">
        <f t="shared" si="25"/>
        <v>1.9850313393081527</v>
      </c>
      <c r="X154" s="126">
        <f t="shared" si="26"/>
        <v>2.9810602979955685</v>
      </c>
      <c r="Y154" s="126">
        <f t="shared" si="27"/>
        <v>2.1911517291799636</v>
      </c>
      <c r="Z154" s="126">
        <f t="shared" si="28"/>
        <v>2.5110610935940301</v>
      </c>
      <c r="AA154" s="126">
        <f t="shared" si="29"/>
        <v>3.7928645953813866</v>
      </c>
      <c r="AB154" s="126">
        <f t="shared" si="30"/>
        <v>2.009491425884439</v>
      </c>
    </row>
    <row r="155" spans="1:28">
      <c r="A155">
        <v>154</v>
      </c>
      <c r="B155" s="119">
        <v>0.43621399176954728</v>
      </c>
      <c r="F155">
        <v>0.43301326017375397</v>
      </c>
      <c r="G155">
        <v>0.76634659350708734</v>
      </c>
      <c r="H155">
        <v>0.21079103795153176</v>
      </c>
      <c r="I155">
        <v>0.54412437128486513</v>
      </c>
      <c r="J155">
        <v>0.87745770461819839</v>
      </c>
      <c r="K155">
        <v>0.32190214906264286</v>
      </c>
      <c r="L155">
        <v>0.65523548239597629</v>
      </c>
      <c r="M155">
        <v>0.98856881572930955</v>
      </c>
      <c r="N155">
        <v>5.0297210791037956E-3</v>
      </c>
      <c r="O155">
        <v>0.33836305441243708</v>
      </c>
      <c r="R155">
        <v>2.5</v>
      </c>
      <c r="S155" s="126">
        <f t="shared" si="21"/>
        <v>2.2790772854933219</v>
      </c>
      <c r="T155" s="126">
        <f t="shared" si="22"/>
        <v>2.9067124219457035</v>
      </c>
      <c r="U155" s="126">
        <f t="shared" si="23"/>
        <v>1.9597662224107046</v>
      </c>
      <c r="V155" s="126">
        <f t="shared" si="24"/>
        <v>2.2381184211946481</v>
      </c>
      <c r="W155" s="126">
        <f t="shared" si="25"/>
        <v>3.2453297798194365</v>
      </c>
      <c r="X155" s="126">
        <f t="shared" si="26"/>
        <v>2.4114539395538541</v>
      </c>
      <c r="Y155" s="126">
        <f t="shared" si="27"/>
        <v>2.7032270748319052</v>
      </c>
      <c r="Z155" s="126">
        <f t="shared" si="28"/>
        <v>4.397388801347363</v>
      </c>
      <c r="AA155" s="126">
        <f t="shared" si="29"/>
        <v>1.2490018948138788</v>
      </c>
      <c r="AB155" s="126">
        <f t="shared" si="30"/>
        <v>1.4455879809889627</v>
      </c>
    </row>
    <row r="156" spans="1:28">
      <c r="A156">
        <v>155</v>
      </c>
      <c r="B156" s="119">
        <v>0.7695473251028806</v>
      </c>
      <c r="F156">
        <v>0.67169638774577045</v>
      </c>
      <c r="G156">
        <v>0.1161408321902149</v>
      </c>
      <c r="H156">
        <v>0.44947416552354819</v>
      </c>
      <c r="I156">
        <v>0.7828074988568815</v>
      </c>
      <c r="J156">
        <v>0.227251943301326</v>
      </c>
      <c r="K156">
        <v>0.5605852766346594</v>
      </c>
      <c r="L156">
        <v>0.89391860996799266</v>
      </c>
      <c r="M156">
        <v>4.2066758116140829E-2</v>
      </c>
      <c r="N156">
        <v>0.37540009144947412</v>
      </c>
      <c r="O156">
        <v>0.70873342478280754</v>
      </c>
      <c r="R156">
        <v>2.5</v>
      </c>
      <c r="S156" s="126">
        <f t="shared" si="21"/>
        <v>2.784935372010712</v>
      </c>
      <c r="T156" s="126">
        <f t="shared" si="22"/>
        <v>1.5762107200664683</v>
      </c>
      <c r="U156" s="126">
        <f t="shared" si="23"/>
        <v>1.8491896143854127</v>
      </c>
      <c r="V156" s="126">
        <f t="shared" si="24"/>
        <v>2.7358845778319605</v>
      </c>
      <c r="W156" s="126">
        <f t="shared" si="25"/>
        <v>1.9198924233829955</v>
      </c>
      <c r="X156" s="126">
        <f t="shared" si="26"/>
        <v>2.2524088269317386</v>
      </c>
      <c r="Y156" s="126">
        <f t="shared" si="27"/>
        <v>3.3228419103540165</v>
      </c>
      <c r="Z156" s="126">
        <f t="shared" si="28"/>
        <v>1.4072013344965737</v>
      </c>
      <c r="AA156" s="126">
        <f t="shared" si="29"/>
        <v>1.6070431892506867</v>
      </c>
      <c r="AB156" s="126">
        <f t="shared" si="30"/>
        <v>2.4228102960309905</v>
      </c>
    </row>
    <row r="157" spans="1:28">
      <c r="A157">
        <v>156</v>
      </c>
      <c r="B157" s="119">
        <v>0.2139917695473251</v>
      </c>
      <c r="F157">
        <v>0.15317786922725193</v>
      </c>
      <c r="G157">
        <v>0.48651120256058522</v>
      </c>
      <c r="H157">
        <v>0.81984453589391848</v>
      </c>
      <c r="I157">
        <v>0.26428898033836301</v>
      </c>
      <c r="J157">
        <v>0.59762231367169638</v>
      </c>
      <c r="K157">
        <v>0.93095564700502964</v>
      </c>
      <c r="L157">
        <v>7.9103795153177864E-2</v>
      </c>
      <c r="M157">
        <v>0.41243712848651115</v>
      </c>
      <c r="N157">
        <v>0.74577046181984452</v>
      </c>
      <c r="O157">
        <v>0.19021490626428897</v>
      </c>
      <c r="R157">
        <v>2.5</v>
      </c>
      <c r="S157" s="126">
        <f t="shared" si="21"/>
        <v>1.5745405821690059</v>
      </c>
      <c r="T157" s="126">
        <f t="shared" si="22"/>
        <v>1.9251985773068974</v>
      </c>
      <c r="U157" s="126">
        <f t="shared" si="23"/>
        <v>2.8838368326852848</v>
      </c>
      <c r="V157" s="126">
        <f t="shared" si="24"/>
        <v>2.0913728024338045</v>
      </c>
      <c r="W157" s="126">
        <f t="shared" si="25"/>
        <v>2.4167399163204459</v>
      </c>
      <c r="X157" s="126">
        <f t="shared" si="26"/>
        <v>3.5995149455875692</v>
      </c>
      <c r="Y157" s="126">
        <f t="shared" si="27"/>
        <v>1.8069472778188254</v>
      </c>
      <c r="Z157" s="126">
        <f t="shared" si="28"/>
        <v>1.8873872233278024</v>
      </c>
      <c r="AA157" s="126">
        <f t="shared" si="29"/>
        <v>2.6557181569388355</v>
      </c>
      <c r="AB157" s="126">
        <f t="shared" si="30"/>
        <v>1.7730554905322005</v>
      </c>
    </row>
    <row r="158" spans="1:28">
      <c r="A158">
        <v>157</v>
      </c>
      <c r="B158" s="119">
        <v>0.54732510288065839</v>
      </c>
      <c r="F158">
        <v>0.52354823959762231</v>
      </c>
      <c r="G158">
        <v>0.85688157293095557</v>
      </c>
      <c r="H158">
        <v>0.30132601737540005</v>
      </c>
      <c r="I158">
        <v>0.63465935070873347</v>
      </c>
      <c r="J158">
        <v>0.96799268404206673</v>
      </c>
      <c r="K158">
        <v>1.7375400091449476E-2</v>
      </c>
      <c r="L158">
        <v>0.35070873342478276</v>
      </c>
      <c r="M158">
        <v>0.68404206675811607</v>
      </c>
      <c r="N158">
        <v>0.12848651120256058</v>
      </c>
      <c r="O158">
        <v>0.46181984453589386</v>
      </c>
      <c r="R158">
        <v>2.5</v>
      </c>
      <c r="S158" s="126">
        <f t="shared" si="21"/>
        <v>2.4669409539142588</v>
      </c>
      <c r="T158" s="126">
        <f t="shared" si="22"/>
        <v>3.2811896495212634</v>
      </c>
      <c r="U158" s="126">
        <f t="shared" si="23"/>
        <v>2.3814702733306863</v>
      </c>
      <c r="V158" s="126">
        <f t="shared" si="24"/>
        <v>2.6425665551247173</v>
      </c>
      <c r="W158" s="126">
        <f t="shared" si="25"/>
        <v>4.0174752745822717</v>
      </c>
      <c r="X158" s="126">
        <f t="shared" si="26"/>
        <v>1.4395512342037931</v>
      </c>
      <c r="Y158" s="126">
        <f t="shared" si="27"/>
        <v>1.5690111880486559</v>
      </c>
      <c r="Z158" s="126">
        <f t="shared" si="28"/>
        <v>2.3454180536402434</v>
      </c>
      <c r="AA158" s="126">
        <f t="shared" si="29"/>
        <v>1.4055622038355584</v>
      </c>
      <c r="AB158" s="126">
        <f t="shared" si="30"/>
        <v>1.7891059061966859</v>
      </c>
    </row>
    <row r="159" spans="1:28">
      <c r="A159">
        <v>158</v>
      </c>
      <c r="B159" s="119">
        <v>0.88065843621399165</v>
      </c>
      <c r="F159">
        <v>0.79515317786922723</v>
      </c>
      <c r="G159">
        <v>0.23959762231367168</v>
      </c>
      <c r="H159">
        <v>0.57293095564700514</v>
      </c>
      <c r="I159">
        <v>0.90626428898033839</v>
      </c>
      <c r="J159">
        <v>5.4412437128486507E-2</v>
      </c>
      <c r="K159">
        <v>0.38774577046181979</v>
      </c>
      <c r="L159">
        <v>0.72107910379515328</v>
      </c>
      <c r="M159">
        <v>0.16552354823959761</v>
      </c>
      <c r="N159">
        <v>0.4988568815729309</v>
      </c>
      <c r="O159">
        <v>0.83219021490626421</v>
      </c>
      <c r="R159">
        <v>2.5</v>
      </c>
      <c r="S159" s="126">
        <f t="shared" si="21"/>
        <v>3.0982196715077368</v>
      </c>
      <c r="T159" s="126">
        <f t="shared" si="22"/>
        <v>2.1352662273401242</v>
      </c>
      <c r="U159" s="126">
        <f t="shared" si="23"/>
        <v>2.3865444101221351</v>
      </c>
      <c r="V159" s="126">
        <f t="shared" si="24"/>
        <v>3.4483704663793766</v>
      </c>
      <c r="W159" s="126">
        <f t="shared" si="25"/>
        <v>1.5723137493307218</v>
      </c>
      <c r="X159" s="126">
        <f t="shared" si="26"/>
        <v>1.7167400385375271</v>
      </c>
      <c r="Y159" s="126">
        <f t="shared" si="27"/>
        <v>2.5079351739351154</v>
      </c>
      <c r="Z159" s="126">
        <f t="shared" si="28"/>
        <v>1.620504335098512</v>
      </c>
      <c r="AA159" s="126">
        <f t="shared" si="29"/>
        <v>1.9738295559603922</v>
      </c>
      <c r="AB159" s="126">
        <f t="shared" si="30"/>
        <v>2.9479381699445031</v>
      </c>
    </row>
    <row r="160" spans="1:28">
      <c r="A160">
        <v>159</v>
      </c>
      <c r="B160" s="119">
        <v>0.32510288065843618</v>
      </c>
      <c r="F160">
        <v>0.27663465935070869</v>
      </c>
      <c r="G160">
        <v>0.60996799268404212</v>
      </c>
      <c r="H160">
        <v>0.94330132601737537</v>
      </c>
      <c r="I160">
        <v>9.1449474165523542E-2</v>
      </c>
      <c r="J160">
        <v>0.42478280749885683</v>
      </c>
      <c r="K160">
        <v>0.75811614083219026</v>
      </c>
      <c r="L160">
        <v>0.20256058527663465</v>
      </c>
      <c r="M160">
        <v>0.53589391860996793</v>
      </c>
      <c r="N160">
        <v>0.86922725194330119</v>
      </c>
      <c r="O160">
        <v>0.31367169638774572</v>
      </c>
      <c r="R160">
        <v>2.5</v>
      </c>
      <c r="S160" s="126">
        <f t="shared" si="21"/>
        <v>1.9292296962153652</v>
      </c>
      <c r="T160" s="126">
        <f t="shared" si="22"/>
        <v>2.3616718192294814</v>
      </c>
      <c r="U160" s="126">
        <f t="shared" si="23"/>
        <v>3.6544493743401287</v>
      </c>
      <c r="V160" s="126">
        <f t="shared" si="24"/>
        <v>1.8999173756453542</v>
      </c>
      <c r="W160" s="126">
        <f t="shared" si="25"/>
        <v>1.9601838703637771</v>
      </c>
      <c r="X160" s="126">
        <f t="shared" si="26"/>
        <v>2.7244866406605239</v>
      </c>
      <c r="Y160" s="126">
        <f t="shared" si="27"/>
        <v>1.844400228033789</v>
      </c>
      <c r="Z160" s="126">
        <f t="shared" si="28"/>
        <v>2.163032893610521</v>
      </c>
      <c r="AA160" s="126">
        <f t="shared" si="29"/>
        <v>3.1749084581888001</v>
      </c>
      <c r="AB160" s="126">
        <f t="shared" si="30"/>
        <v>2.3570212455763127</v>
      </c>
    </row>
    <row r="161" spans="1:28">
      <c r="A161">
        <v>160</v>
      </c>
      <c r="B161" s="119">
        <v>0.65843621399176955</v>
      </c>
      <c r="F161">
        <v>0.64700502972107909</v>
      </c>
      <c r="G161">
        <v>0.98033836305441235</v>
      </c>
      <c r="H161">
        <v>2.9721079103795154E-2</v>
      </c>
      <c r="I161">
        <v>0.36305441243712844</v>
      </c>
      <c r="J161">
        <v>0.69638774577046181</v>
      </c>
      <c r="K161">
        <v>0.14083219021490626</v>
      </c>
      <c r="L161">
        <v>0.47416552354823954</v>
      </c>
      <c r="M161">
        <v>0.80749885688157286</v>
      </c>
      <c r="N161">
        <v>0.25194330132601733</v>
      </c>
      <c r="O161">
        <v>0.58527663465935076</v>
      </c>
      <c r="R161">
        <v>2.5</v>
      </c>
      <c r="S161" s="126">
        <f t="shared" si="21"/>
        <v>2.7293808927749166</v>
      </c>
      <c r="T161" s="126">
        <f t="shared" si="22"/>
        <v>4.2332521838059911</v>
      </c>
      <c r="U161" s="126">
        <f t="shared" si="23"/>
        <v>1.7346872483645672</v>
      </c>
      <c r="V161" s="126">
        <f t="shared" si="24"/>
        <v>1.7446486006498552</v>
      </c>
      <c r="W161" s="126">
        <f t="shared" si="25"/>
        <v>2.4625674482556441</v>
      </c>
      <c r="X161" s="126">
        <f t="shared" si="26"/>
        <v>1.5114440808070599</v>
      </c>
      <c r="Y161" s="126">
        <f t="shared" si="27"/>
        <v>1.8679299218670935</v>
      </c>
      <c r="Z161" s="126">
        <f t="shared" si="28"/>
        <v>2.81706627937705</v>
      </c>
      <c r="AA161" s="126">
        <f t="shared" si="29"/>
        <v>2.0262993687364643</v>
      </c>
      <c r="AB161" s="126">
        <f t="shared" si="30"/>
        <v>2.3578166688986819</v>
      </c>
    </row>
    <row r="162" spans="1:28">
      <c r="A162">
        <v>161</v>
      </c>
      <c r="B162" s="119">
        <v>0.99176954732510281</v>
      </c>
      <c r="F162">
        <v>0.91860996799268402</v>
      </c>
      <c r="G162">
        <v>6.6758116140832185E-2</v>
      </c>
      <c r="H162">
        <v>0.40009144947416547</v>
      </c>
      <c r="I162">
        <v>0.7334247828074989</v>
      </c>
      <c r="J162">
        <v>0.17786922725194329</v>
      </c>
      <c r="K162">
        <v>0.51120256058527669</v>
      </c>
      <c r="L162">
        <v>0.84453589391860984</v>
      </c>
      <c r="M162">
        <v>0.28898033836305437</v>
      </c>
      <c r="N162">
        <v>0.62231367169638774</v>
      </c>
      <c r="O162">
        <v>0.955647005029721</v>
      </c>
      <c r="R162">
        <v>2.5</v>
      </c>
      <c r="S162" s="126">
        <f t="shared" si="21"/>
        <v>3.5694686755824199</v>
      </c>
      <c r="T162" s="126">
        <f t="shared" si="22"/>
        <v>1.7182297212534947</v>
      </c>
      <c r="U162" s="126">
        <f t="shared" si="23"/>
        <v>1.81654423623293</v>
      </c>
      <c r="V162" s="126">
        <f t="shared" si="24"/>
        <v>2.5887412814133617</v>
      </c>
      <c r="W162" s="126">
        <f t="shared" si="25"/>
        <v>1.7011129510420926</v>
      </c>
      <c r="X162" s="126">
        <f t="shared" si="26"/>
        <v>2.0398707781908989</v>
      </c>
      <c r="Y162" s="126">
        <f t="shared" si="27"/>
        <v>3.0227167722054111</v>
      </c>
      <c r="Z162" s="126">
        <f t="shared" si="28"/>
        <v>2.2220542127179796</v>
      </c>
      <c r="AA162" s="126">
        <f t="shared" si="29"/>
        <v>2.5355090503134705</v>
      </c>
      <c r="AB162" s="126">
        <f t="shared" si="30"/>
        <v>3.8401011964953708</v>
      </c>
    </row>
    <row r="163" spans="1:28">
      <c r="A163">
        <v>162</v>
      </c>
      <c r="B163" s="119">
        <v>8.23045267489712E-3</v>
      </c>
      <c r="F163">
        <v>0.10379515317786922</v>
      </c>
      <c r="G163">
        <v>0.43712848651120251</v>
      </c>
      <c r="H163">
        <v>0.77046181984453588</v>
      </c>
      <c r="I163">
        <v>0.21490626428898033</v>
      </c>
      <c r="J163">
        <v>0.54823959762231367</v>
      </c>
      <c r="K163">
        <v>0.88157293095564693</v>
      </c>
      <c r="L163">
        <v>0.3260173754000914</v>
      </c>
      <c r="M163">
        <v>0.65935070873342483</v>
      </c>
      <c r="N163">
        <v>0.99268404206675809</v>
      </c>
      <c r="O163">
        <v>9.1449474165523556E-3</v>
      </c>
      <c r="R163">
        <v>2.5</v>
      </c>
      <c r="S163" s="126">
        <f t="shared" si="21"/>
        <v>1.378798661933974</v>
      </c>
      <c r="T163" s="126">
        <f t="shared" si="22"/>
        <v>1.7241840822602801</v>
      </c>
      <c r="U163" s="126">
        <f t="shared" si="23"/>
        <v>2.6389583891059076</v>
      </c>
      <c r="V163" s="126">
        <f t="shared" si="24"/>
        <v>1.8368780188304688</v>
      </c>
      <c r="W163" s="126">
        <f t="shared" si="25"/>
        <v>2.1849204004151184</v>
      </c>
      <c r="X163" s="126">
        <f t="shared" si="26"/>
        <v>3.235513207113196</v>
      </c>
      <c r="Y163" s="126">
        <f t="shared" si="27"/>
        <v>2.4159633059682308</v>
      </c>
      <c r="Z163" s="126">
        <f t="shared" si="28"/>
        <v>2.7147291468781107</v>
      </c>
      <c r="AA163" s="126">
        <f t="shared" si="29"/>
        <v>4.5397869799600938</v>
      </c>
      <c r="AB163" s="126">
        <f t="shared" si="30"/>
        <v>1.4971467570688981</v>
      </c>
    </row>
    <row r="164" spans="1:28">
      <c r="A164">
        <v>163</v>
      </c>
      <c r="B164" s="119">
        <v>0.34156378600823045</v>
      </c>
      <c r="F164">
        <v>0.34247828074988568</v>
      </c>
      <c r="G164">
        <v>0.67581161408321899</v>
      </c>
      <c r="H164">
        <v>0.12025605852766347</v>
      </c>
      <c r="I164">
        <v>0.45358939186099678</v>
      </c>
      <c r="J164">
        <v>0.78692272519433004</v>
      </c>
      <c r="K164">
        <v>0.23136716963877454</v>
      </c>
      <c r="L164">
        <v>0.56470050297210794</v>
      </c>
      <c r="M164">
        <v>0.8980338363054412</v>
      </c>
      <c r="N164">
        <v>4.6181984453589391E-2</v>
      </c>
      <c r="O164">
        <v>0.37951531778692271</v>
      </c>
      <c r="R164">
        <v>2.5</v>
      </c>
      <c r="S164" s="126">
        <f t="shared" si="21"/>
        <v>2.0835988059323345</v>
      </c>
      <c r="T164" s="126">
        <f t="shared" si="22"/>
        <v>2.5850681475718531</v>
      </c>
      <c r="U164" s="126">
        <f t="shared" si="23"/>
        <v>1.4929085636639707</v>
      </c>
      <c r="V164" s="126">
        <f t="shared" si="24"/>
        <v>1.8158934213034497</v>
      </c>
      <c r="W164" s="126">
        <f t="shared" si="25"/>
        <v>2.7307624348001975</v>
      </c>
      <c r="X164" s="126">
        <f t="shared" si="26"/>
        <v>1.9285152537574444</v>
      </c>
      <c r="Y164" s="126">
        <f t="shared" si="27"/>
        <v>2.2653572166338249</v>
      </c>
      <c r="Z164" s="126">
        <f t="shared" si="28"/>
        <v>3.3481447303953553</v>
      </c>
      <c r="AA164" s="126">
        <f t="shared" si="29"/>
        <v>1.4563191900664414</v>
      </c>
      <c r="AB164" s="126">
        <f t="shared" si="30"/>
        <v>1.6406627784082604</v>
      </c>
    </row>
    <row r="165" spans="1:28">
      <c r="A165">
        <v>164</v>
      </c>
      <c r="B165" s="119">
        <v>0.67489711934156371</v>
      </c>
      <c r="F165">
        <v>0.71284865112025608</v>
      </c>
      <c r="G165">
        <v>0.15729309556470047</v>
      </c>
      <c r="H165">
        <v>0.49062642889803382</v>
      </c>
      <c r="I165">
        <v>0.82395976223136702</v>
      </c>
      <c r="J165">
        <v>0.26840420667581161</v>
      </c>
      <c r="K165">
        <v>0.60173754000914492</v>
      </c>
      <c r="L165">
        <v>0.93507087334247818</v>
      </c>
      <c r="M165">
        <v>8.3219021490626433E-2</v>
      </c>
      <c r="N165">
        <v>0.41655235482395975</v>
      </c>
      <c r="O165">
        <v>0.74988568815729306</v>
      </c>
      <c r="R165">
        <v>2.5</v>
      </c>
      <c r="S165" s="126">
        <f t="shared" si="21"/>
        <v>2.8815390680853019</v>
      </c>
      <c r="T165" s="126">
        <f t="shared" si="22"/>
        <v>1.7805326747686254</v>
      </c>
      <c r="U165" s="126">
        <f t="shared" si="23"/>
        <v>2.0372418299323698</v>
      </c>
      <c r="V165" s="126">
        <f t="shared" si="24"/>
        <v>2.9531722483711933</v>
      </c>
      <c r="W165" s="126">
        <f t="shared" si="25"/>
        <v>2.1365570137621974</v>
      </c>
      <c r="X165" s="126">
        <f t="shared" si="26"/>
        <v>2.448233275346424</v>
      </c>
      <c r="Y165" s="126">
        <f t="shared" si="27"/>
        <v>3.6415019498784251</v>
      </c>
      <c r="Z165" s="126">
        <f t="shared" si="28"/>
        <v>1.8506374660129592</v>
      </c>
      <c r="AA165" s="126">
        <f t="shared" si="29"/>
        <v>1.9180548565836792</v>
      </c>
      <c r="AB165" s="126">
        <f t="shared" si="30"/>
        <v>2.6817642925519323</v>
      </c>
    </row>
    <row r="166" spans="1:28">
      <c r="A166">
        <v>165</v>
      </c>
      <c r="B166" s="119">
        <v>0.11934156378600823</v>
      </c>
      <c r="F166">
        <v>0.19433013260173751</v>
      </c>
      <c r="G166">
        <v>0.52766346593507085</v>
      </c>
      <c r="H166">
        <v>0.86099679926840411</v>
      </c>
      <c r="I166">
        <v>0.30544124371284864</v>
      </c>
      <c r="J166">
        <v>0.63877457704618201</v>
      </c>
      <c r="K166">
        <v>0.97210791037951527</v>
      </c>
      <c r="L166">
        <v>2.1490626428898034E-2</v>
      </c>
      <c r="M166">
        <v>0.35482395976223136</v>
      </c>
      <c r="N166">
        <v>0.68815729309556462</v>
      </c>
      <c r="O166">
        <v>0.13260173754000912</v>
      </c>
      <c r="R166">
        <v>2.5</v>
      </c>
      <c r="S166" s="126">
        <f t="shared" si="21"/>
        <v>1.7072089914900439</v>
      </c>
      <c r="T166" s="126">
        <f t="shared" si="22"/>
        <v>2.0770098932871468</v>
      </c>
      <c r="U166" s="126">
        <f t="shared" si="23"/>
        <v>3.1003828095000325</v>
      </c>
      <c r="V166" s="126">
        <f t="shared" si="24"/>
        <v>2.3003099141956884</v>
      </c>
      <c r="W166" s="126">
        <f t="shared" si="25"/>
        <v>2.6108199620165751</v>
      </c>
      <c r="X166" s="126">
        <f t="shared" si="26"/>
        <v>4.051535258434166</v>
      </c>
      <c r="Y166" s="126">
        <f t="shared" si="27"/>
        <v>1.5287228399456345</v>
      </c>
      <c r="Z166" s="126">
        <f t="shared" si="28"/>
        <v>1.6229665914032709</v>
      </c>
      <c r="AA166" s="126">
        <f t="shared" si="29"/>
        <v>2.3821052795201654</v>
      </c>
      <c r="AB166" s="126">
        <f t="shared" si="30"/>
        <v>1.4400007766054914</v>
      </c>
    </row>
    <row r="167" spans="1:28">
      <c r="A167">
        <v>166</v>
      </c>
      <c r="B167" s="119">
        <v>0.45267489711934156</v>
      </c>
      <c r="F167">
        <v>0.46593507087334246</v>
      </c>
      <c r="G167">
        <v>0.79926840420667578</v>
      </c>
      <c r="H167">
        <v>0.24371284865112022</v>
      </c>
      <c r="I167">
        <v>0.57704618198445368</v>
      </c>
      <c r="J167">
        <v>0.91037951531778694</v>
      </c>
      <c r="K167">
        <v>5.8527663465935069E-2</v>
      </c>
      <c r="L167">
        <v>0.39186099679926839</v>
      </c>
      <c r="M167">
        <v>0.72519433013260182</v>
      </c>
      <c r="N167">
        <v>0.16963877457704615</v>
      </c>
      <c r="O167">
        <v>0.5029721079103795</v>
      </c>
      <c r="R167">
        <v>2.5</v>
      </c>
      <c r="S167" s="126">
        <f t="shared" si="21"/>
        <v>2.3477135206247306</v>
      </c>
      <c r="T167" s="126">
        <f t="shared" si="22"/>
        <v>3.0337044478691984</v>
      </c>
      <c r="U167" s="126">
        <f t="shared" si="23"/>
        <v>2.1137186814047522</v>
      </c>
      <c r="V167" s="126">
        <f t="shared" si="24"/>
        <v>2.3843762209533188</v>
      </c>
      <c r="W167" s="126">
        <f t="shared" si="25"/>
        <v>3.4679003088806724</v>
      </c>
      <c r="X167" s="126">
        <f t="shared" si="26"/>
        <v>1.6120230150707615</v>
      </c>
      <c r="Y167" s="126">
        <f t="shared" si="27"/>
        <v>1.7455457824566156</v>
      </c>
      <c r="Z167" s="126">
        <f t="shared" si="28"/>
        <v>2.5325517484667697</v>
      </c>
      <c r="AA167" s="126">
        <f t="shared" si="29"/>
        <v>1.6464142707550642</v>
      </c>
      <c r="AB167" s="126">
        <f t="shared" si="30"/>
        <v>1.9953600443513666</v>
      </c>
    </row>
    <row r="168" spans="1:28">
      <c r="A168">
        <v>167</v>
      </c>
      <c r="B168" s="119">
        <v>0.78600823045267476</v>
      </c>
      <c r="F168">
        <v>0.83630544124371275</v>
      </c>
      <c r="G168">
        <v>0.28074988568815729</v>
      </c>
      <c r="H168">
        <v>0.61408321902149066</v>
      </c>
      <c r="I168">
        <v>0.94741655235482392</v>
      </c>
      <c r="J168">
        <v>9.5564700502972111E-2</v>
      </c>
      <c r="K168">
        <v>0.42889803383630543</v>
      </c>
      <c r="L168">
        <v>0.7622313671696388</v>
      </c>
      <c r="M168">
        <v>0.20667581161408319</v>
      </c>
      <c r="N168">
        <v>0.54000914494741648</v>
      </c>
      <c r="O168">
        <v>0.87334247828074973</v>
      </c>
      <c r="R168">
        <v>2.5</v>
      </c>
      <c r="S168" s="126">
        <f t="shared" si="21"/>
        <v>3.2260253040035227</v>
      </c>
      <c r="T168" s="126">
        <f t="shared" si="22"/>
        <v>2.3042362744551612</v>
      </c>
      <c r="U168" s="126">
        <f t="shared" si="23"/>
        <v>2.5590099137155398</v>
      </c>
      <c r="V168" s="126">
        <f t="shared" si="24"/>
        <v>3.7843129260218227</v>
      </c>
      <c r="W168" s="126">
        <f t="shared" si="25"/>
        <v>1.9855071590698552</v>
      </c>
      <c r="X168" s="126">
        <f t="shared" si="26"/>
        <v>2.0118553594333766</v>
      </c>
      <c r="Y168" s="126">
        <f t="shared" si="27"/>
        <v>2.7613796068979091</v>
      </c>
      <c r="Z168" s="126">
        <f t="shared" si="28"/>
        <v>1.8749023933238322</v>
      </c>
      <c r="AA168" s="126">
        <f t="shared" si="29"/>
        <v>2.1869101180584742</v>
      </c>
      <c r="AB168" s="126">
        <f t="shared" si="30"/>
        <v>3.2030658865763115</v>
      </c>
    </row>
    <row r="169" spans="1:28">
      <c r="A169">
        <v>168</v>
      </c>
      <c r="B169" s="119">
        <v>0.23045267489711932</v>
      </c>
      <c r="F169">
        <v>0.31778692272519432</v>
      </c>
      <c r="G169">
        <v>0.65112025605852764</v>
      </c>
      <c r="H169">
        <v>0.98445358939186089</v>
      </c>
      <c r="I169">
        <v>3.3836305441243712E-2</v>
      </c>
      <c r="J169">
        <v>0.36716963877457703</v>
      </c>
      <c r="K169">
        <v>0.70050297210791035</v>
      </c>
      <c r="L169">
        <v>0.1449474165523548</v>
      </c>
      <c r="M169">
        <v>0.47828074988568814</v>
      </c>
      <c r="N169">
        <v>0.8116140832190214</v>
      </c>
      <c r="O169">
        <v>0.25605852766346593</v>
      </c>
      <c r="R169">
        <v>2.5</v>
      </c>
      <c r="S169" s="126">
        <f t="shared" si="21"/>
        <v>2.0273577574446113</v>
      </c>
      <c r="T169" s="126">
        <f t="shared" si="22"/>
        <v>2.500985800667042</v>
      </c>
      <c r="U169" s="126">
        <f t="shared" si="23"/>
        <v>4.1968950013630089</v>
      </c>
      <c r="V169" s="126">
        <f t="shared" si="24"/>
        <v>1.7640282601212647</v>
      </c>
      <c r="W169" s="126">
        <f t="shared" si="25"/>
        <v>1.7684247145023897</v>
      </c>
      <c r="X169" s="126">
        <f t="shared" si="26"/>
        <v>2.4842568532128437</v>
      </c>
      <c r="Y169" s="126">
        <f t="shared" si="27"/>
        <v>1.537385913395122</v>
      </c>
      <c r="Z169" s="126">
        <f t="shared" si="28"/>
        <v>1.8894915620854922</v>
      </c>
      <c r="AA169" s="126">
        <f t="shared" si="29"/>
        <v>2.8403935641066478</v>
      </c>
      <c r="AB169" s="126">
        <f t="shared" si="30"/>
        <v>2.0486158982770832</v>
      </c>
    </row>
    <row r="170" spans="1:28">
      <c r="A170">
        <v>169</v>
      </c>
      <c r="B170" s="119">
        <v>0.56378600823045266</v>
      </c>
      <c r="F170">
        <v>0.5893918609967993</v>
      </c>
      <c r="G170">
        <v>0.92272519433013256</v>
      </c>
      <c r="H170">
        <v>7.0873342478280754E-2</v>
      </c>
      <c r="I170">
        <v>0.40420667581161407</v>
      </c>
      <c r="J170">
        <v>0.73754000914494744</v>
      </c>
      <c r="K170">
        <v>0.18198445358939183</v>
      </c>
      <c r="L170">
        <v>0.51531778692272523</v>
      </c>
      <c r="M170">
        <v>0.84865112025605838</v>
      </c>
      <c r="N170">
        <v>0.29309556470050296</v>
      </c>
      <c r="O170">
        <v>0.62642889803383628</v>
      </c>
      <c r="R170">
        <v>2.5</v>
      </c>
      <c r="S170" s="126">
        <f t="shared" si="21"/>
        <v>2.6046164838676389</v>
      </c>
      <c r="T170" s="126">
        <f t="shared" si="22"/>
        <v>3.6450290870390951</v>
      </c>
      <c r="U170" s="126">
        <f t="shared" si="23"/>
        <v>1.7818259625625459</v>
      </c>
      <c r="V170" s="126">
        <f t="shared" si="24"/>
        <v>1.8572810934863384</v>
      </c>
      <c r="W170" s="126">
        <f t="shared" si="25"/>
        <v>2.6195880632166579</v>
      </c>
      <c r="X170" s="126">
        <f t="shared" si="26"/>
        <v>1.7295555613051286</v>
      </c>
      <c r="Y170" s="126">
        <f t="shared" si="27"/>
        <v>2.0626788694752456</v>
      </c>
      <c r="Z170" s="126">
        <f t="shared" si="28"/>
        <v>3.0485226547718685</v>
      </c>
      <c r="AA170" s="126">
        <f t="shared" si="29"/>
        <v>2.2449236376923505</v>
      </c>
      <c r="AB170" s="126">
        <f t="shared" si="30"/>
        <v>2.5559497254424253</v>
      </c>
    </row>
    <row r="171" spans="1:28">
      <c r="A171">
        <v>170</v>
      </c>
      <c r="B171" s="119">
        <v>0.89711934156378592</v>
      </c>
      <c r="F171">
        <v>0.95976223136716954</v>
      </c>
      <c r="G171">
        <v>0.10791037951531779</v>
      </c>
      <c r="H171">
        <v>0.4412437128486511</v>
      </c>
      <c r="I171">
        <v>0.77457704618198442</v>
      </c>
      <c r="J171">
        <v>0.21902149062642887</v>
      </c>
      <c r="K171">
        <v>0.55235482395976221</v>
      </c>
      <c r="L171">
        <v>0.88568815729309547</v>
      </c>
      <c r="M171">
        <v>0.33013260173754</v>
      </c>
      <c r="N171">
        <v>0.66346593507087337</v>
      </c>
      <c r="O171">
        <v>0.99679926840420663</v>
      </c>
      <c r="R171">
        <v>2.5</v>
      </c>
      <c r="S171" s="126">
        <f t="shared" ref="S171:S234" si="31">NORMINV(F171,0,1)*0.8248+0.4974*(2.3356-R171)+R171</f>
        <v>3.8599230189721072</v>
      </c>
      <c r="T171" s="126">
        <f t="shared" ref="T171:T234" si="32">NORMINV(G171,0,1)*0.8248+0.4974*(2.3356-S171)+S171</f>
        <v>2.0808552020729598</v>
      </c>
      <c r="U171" s="126">
        <f t="shared" ref="U171:U234" si="33">NORMINV(H171,0,1)*0.8248+0.4974*(2.3356-T171)+T171</f>
        <v>2.0856460465025761</v>
      </c>
      <c r="V171" s="126">
        <f t="shared" ref="V171:V234" si="34">NORMINV(I171,0,1)*0.8248+0.4974*(2.3356-U171)+U171</f>
        <v>2.831876895241026</v>
      </c>
      <c r="W171" s="126">
        <f t="shared" ref="W171:W234" si="35">NORMINV(J171,0,1)*0.8248+0.4974*(2.3356-V171)+V171</f>
        <v>1.9453945743050816</v>
      </c>
      <c r="X171" s="126">
        <f t="shared" ref="X171:X234" si="36">NORMINV(K171,0,1)*0.8248+0.4974*(2.3356-W171)+W171</f>
        <v>2.2480372079840487</v>
      </c>
      <c r="Y171" s="126">
        <f t="shared" ref="Y171:Y234" si="37">NORMINV(L171,0,1)*0.8248+0.4974*(2.3356-X171)+X171</f>
        <v>3.2845773614982932</v>
      </c>
      <c r="Z171" s="126">
        <f t="shared" ref="Z171:Z234" si="38">NORMINV(M171,0,1)*0.8248+0.4974*(2.3356-Y171)+Y171</f>
        <v>2.4500176212910665</v>
      </c>
      <c r="AA171" s="126">
        <f t="shared" ref="AA171:AA234" si="39">NORMINV(N171,0,1)*0.8248+0.4974*(2.3356-Z171)+Z171</f>
        <v>2.7411231799785547</v>
      </c>
      <c r="AB171" s="126">
        <f t="shared" ref="AB171:AB234" si="40">NORMINV(O171,0,1)*0.8248+0.4974*(2.3356-AA171)+AA171</f>
        <v>4.7882132524528815</v>
      </c>
    </row>
    <row r="172" spans="1:28">
      <c r="A172">
        <v>171</v>
      </c>
      <c r="B172" s="119">
        <v>4.5267489711934158E-2</v>
      </c>
      <c r="F172">
        <v>2.2862368541380885E-3</v>
      </c>
      <c r="G172">
        <v>0.33561957018747141</v>
      </c>
      <c r="H172">
        <v>0.66895290352080472</v>
      </c>
      <c r="I172">
        <v>0.1133973479652492</v>
      </c>
      <c r="J172">
        <v>0.44673068129858251</v>
      </c>
      <c r="K172">
        <v>0.78006401463191577</v>
      </c>
      <c r="L172">
        <v>0.2245084590763603</v>
      </c>
      <c r="M172">
        <v>0.55784179240969367</v>
      </c>
      <c r="N172">
        <v>0.89117512574302693</v>
      </c>
      <c r="O172">
        <v>3.9323273891175119E-2</v>
      </c>
      <c r="R172">
        <v>2.5</v>
      </c>
      <c r="S172" s="126">
        <f t="shared" si="31"/>
        <v>7.9338403085122966E-2</v>
      </c>
      <c r="T172" s="126">
        <f t="shared" si="32"/>
        <v>0.85151823296455109</v>
      </c>
      <c r="U172" s="126">
        <f t="shared" si="33"/>
        <v>1.9501576145487918</v>
      </c>
      <c r="V172" s="126">
        <f t="shared" si="34"/>
        <v>1.1449764662152189</v>
      </c>
      <c r="W172" s="126">
        <f t="shared" si="35"/>
        <v>1.6267307309681847</v>
      </c>
      <c r="X172" s="126">
        <f t="shared" si="36"/>
        <v>2.6164056028643747</v>
      </c>
      <c r="Y172" s="126">
        <f t="shared" si="37"/>
        <v>1.8523139400794097</v>
      </c>
      <c r="Z172" s="126">
        <f t="shared" si="38"/>
        <v>2.2127085134585913</v>
      </c>
      <c r="AA172" s="126">
        <f t="shared" si="39"/>
        <v>3.2906495996588561</v>
      </c>
      <c r="AB172" s="126">
        <f t="shared" si="40"/>
        <v>1.3651198642749323</v>
      </c>
    </row>
    <row r="173" spans="1:28">
      <c r="A173">
        <v>172</v>
      </c>
      <c r="B173" s="119">
        <v>0.37860082304526749</v>
      </c>
      <c r="F173">
        <v>0.37265660722450844</v>
      </c>
      <c r="G173">
        <v>0.70598994055784181</v>
      </c>
      <c r="H173">
        <v>0.15043438500228623</v>
      </c>
      <c r="I173">
        <v>0.48376771833561955</v>
      </c>
      <c r="J173">
        <v>0.81710105166895275</v>
      </c>
      <c r="K173">
        <v>0.26154549611339734</v>
      </c>
      <c r="L173">
        <v>0.59487882944673065</v>
      </c>
      <c r="M173">
        <v>0.92821216278006391</v>
      </c>
      <c r="N173">
        <v>7.6360310928212161E-2</v>
      </c>
      <c r="O173">
        <v>0.40969364426154548</v>
      </c>
      <c r="R173">
        <v>2.5</v>
      </c>
      <c r="S173" s="126">
        <f t="shared" si="31"/>
        <v>2.1503114444151454</v>
      </c>
      <c r="T173" s="126">
        <f t="shared" si="32"/>
        <v>2.6892742022739804</v>
      </c>
      <c r="U173" s="126">
        <f t="shared" si="33"/>
        <v>1.6600415521344156</v>
      </c>
      <c r="V173" s="126">
        <f t="shared" si="34"/>
        <v>1.9624953521508566</v>
      </c>
      <c r="W173" s="126">
        <f t="shared" si="35"/>
        <v>2.8940040706386374</v>
      </c>
      <c r="X173" s="126">
        <f t="shared" si="36"/>
        <v>2.0895465065569381</v>
      </c>
      <c r="Y173" s="126">
        <f t="shared" si="37"/>
        <v>2.4099790520971252</v>
      </c>
      <c r="Z173" s="126">
        <f t="shared" si="38"/>
        <v>3.5793389729441731</v>
      </c>
      <c r="AA173" s="126">
        <f t="shared" si="39"/>
        <v>1.7812495613016561</v>
      </c>
      <c r="AB173" s="126">
        <f t="shared" si="40"/>
        <v>1.8686543227749357</v>
      </c>
    </row>
    <row r="174" spans="1:28">
      <c r="A174">
        <v>173</v>
      </c>
      <c r="B174" s="119">
        <v>0.7119341563786008</v>
      </c>
      <c r="F174">
        <v>0.74302697759487879</v>
      </c>
      <c r="G174">
        <v>0.18747142203932327</v>
      </c>
      <c r="H174">
        <v>0.52080475537265658</v>
      </c>
      <c r="I174">
        <v>0.85413808870598984</v>
      </c>
      <c r="J174">
        <v>0.29858253315043437</v>
      </c>
      <c r="K174">
        <v>0.63191586648376774</v>
      </c>
      <c r="L174">
        <v>0.965249199817101</v>
      </c>
      <c r="M174">
        <v>1.4631915866483767E-2</v>
      </c>
      <c r="N174">
        <v>0.34796524919981708</v>
      </c>
      <c r="O174">
        <v>0.68129858253315034</v>
      </c>
      <c r="R174">
        <v>2.5</v>
      </c>
      <c r="S174" s="126">
        <f t="shared" si="31"/>
        <v>2.9565790786891557</v>
      </c>
      <c r="T174" s="126">
        <f t="shared" si="32"/>
        <v>1.9158980257897773</v>
      </c>
      <c r="U174" s="126">
        <f t="shared" si="33"/>
        <v>2.1676904479645125</v>
      </c>
      <c r="V174" s="126">
        <f t="shared" si="34"/>
        <v>3.1208345248781377</v>
      </c>
      <c r="W174" s="126">
        <f t="shared" si="35"/>
        <v>2.2943671910647154</v>
      </c>
      <c r="X174" s="126">
        <f t="shared" si="36"/>
        <v>2.5927777886646757</v>
      </c>
      <c r="Y174" s="126">
        <f t="shared" si="37"/>
        <v>3.9619893078541861</v>
      </c>
      <c r="Z174" s="126">
        <f t="shared" si="38"/>
        <v>1.3550301406642062</v>
      </c>
      <c r="AA174" s="126">
        <f t="shared" si="39"/>
        <v>1.5204174846223597</v>
      </c>
      <c r="AB174" s="126">
        <f t="shared" si="40"/>
        <v>2.3146448630209284</v>
      </c>
    </row>
    <row r="175" spans="1:28">
      <c r="A175">
        <v>174</v>
      </c>
      <c r="B175" s="119">
        <v>0.15637860082304525</v>
      </c>
      <c r="F175">
        <v>0.12574302697759487</v>
      </c>
      <c r="G175">
        <v>0.45907636031092819</v>
      </c>
      <c r="H175">
        <v>0.7924096936442615</v>
      </c>
      <c r="I175">
        <v>0.23685413808870598</v>
      </c>
      <c r="J175">
        <v>0.5701874714220394</v>
      </c>
      <c r="K175">
        <v>0.90352080475537266</v>
      </c>
      <c r="L175">
        <v>5.1668952903520797E-2</v>
      </c>
      <c r="M175">
        <v>0.38500228623685412</v>
      </c>
      <c r="N175">
        <v>0.71833561957018754</v>
      </c>
      <c r="O175">
        <v>0.16278006401463191</v>
      </c>
      <c r="R175">
        <v>2.5</v>
      </c>
      <c r="S175" s="126">
        <f t="shared" si="31"/>
        <v>1.4723902240256774</v>
      </c>
      <c r="T175" s="126">
        <f t="shared" si="32"/>
        <v>1.8169935580024739</v>
      </c>
      <c r="U175" s="126">
        <f t="shared" si="33"/>
        <v>2.7470043576554182</v>
      </c>
      <c r="V175" s="126">
        <f t="shared" si="34"/>
        <v>1.9514368491000385</v>
      </c>
      <c r="W175" s="126">
        <f t="shared" si="35"/>
        <v>2.2883866947212974</v>
      </c>
      <c r="X175" s="126">
        <f t="shared" si="36"/>
        <v>3.3856588523870315</v>
      </c>
      <c r="Y175" s="126">
        <f t="shared" si="37"/>
        <v>1.5198573336896672</v>
      </c>
      <c r="Z175" s="126">
        <f t="shared" si="38"/>
        <v>1.6844618546264103</v>
      </c>
      <c r="AA175" s="126">
        <f t="shared" si="39"/>
        <v>2.4849933995653428</v>
      </c>
      <c r="AB175" s="126">
        <f t="shared" si="40"/>
        <v>1.5998274332810116</v>
      </c>
    </row>
    <row r="176" spans="1:28">
      <c r="A176">
        <v>175</v>
      </c>
      <c r="B176" s="119">
        <v>0.48971193415637859</v>
      </c>
      <c r="F176">
        <v>0.49611339734796522</v>
      </c>
      <c r="G176">
        <v>0.82944673068129848</v>
      </c>
      <c r="H176">
        <v>0.27389117512574301</v>
      </c>
      <c r="I176">
        <v>0.60722450845907638</v>
      </c>
      <c r="J176">
        <v>0.94055784179240964</v>
      </c>
      <c r="K176">
        <v>8.8705989940557839E-2</v>
      </c>
      <c r="L176">
        <v>0.42203932327389115</v>
      </c>
      <c r="M176">
        <v>0.75537265660722452</v>
      </c>
      <c r="N176">
        <v>0.19981710105166894</v>
      </c>
      <c r="O176">
        <v>0.5331504343850022</v>
      </c>
      <c r="R176">
        <v>2.5</v>
      </c>
      <c r="S176" s="126">
        <f t="shared" si="31"/>
        <v>2.4101918901576345</v>
      </c>
      <c r="T176" s="126">
        <f t="shared" si="32"/>
        <v>3.158283941645184</v>
      </c>
      <c r="U176" s="126">
        <f t="shared" si="33"/>
        <v>2.2533047737810237</v>
      </c>
      <c r="V176" s="126">
        <f t="shared" si="34"/>
        <v>2.5186602201104282</v>
      </c>
      <c r="W176" s="126">
        <f t="shared" si="35"/>
        <v>3.7138599332641453</v>
      </c>
      <c r="X176" s="126">
        <f t="shared" si="36"/>
        <v>1.9158508379283057</v>
      </c>
      <c r="Y176" s="126">
        <f t="shared" si="37"/>
        <v>1.9624131285246664</v>
      </c>
      <c r="Z176" s="126">
        <f t="shared" si="38"/>
        <v>2.7183811377607974</v>
      </c>
      <c r="AA176" s="126">
        <f t="shared" si="39"/>
        <v>1.8332776168326395</v>
      </c>
      <c r="AB176" s="126">
        <f t="shared" si="40"/>
        <v>2.1517492647475991</v>
      </c>
    </row>
    <row r="177" spans="1:28">
      <c r="A177">
        <v>176</v>
      </c>
      <c r="B177" s="119">
        <v>0.82304526748971174</v>
      </c>
      <c r="F177">
        <v>0.86648376771833546</v>
      </c>
      <c r="G177">
        <v>0.31092821216278005</v>
      </c>
      <c r="H177">
        <v>0.64426154549611336</v>
      </c>
      <c r="I177">
        <v>0.97759487882944662</v>
      </c>
      <c r="J177">
        <v>2.6977594878829444E-2</v>
      </c>
      <c r="K177">
        <v>0.36031092821216276</v>
      </c>
      <c r="L177">
        <v>0.69364426154549608</v>
      </c>
      <c r="M177">
        <v>0.13808870598994055</v>
      </c>
      <c r="N177">
        <v>0.47142203932327387</v>
      </c>
      <c r="O177">
        <v>0.80475537265660713</v>
      </c>
      <c r="R177">
        <v>2.5</v>
      </c>
      <c r="S177" s="126">
        <f t="shared" si="31"/>
        <v>3.333691440245476</v>
      </c>
      <c r="T177" s="126">
        <f t="shared" si="32"/>
        <v>2.43043205736672</v>
      </c>
      <c r="U177" s="126">
        <f t="shared" si="33"/>
        <v>2.6883340758675738</v>
      </c>
      <c r="V177" s="126">
        <f t="shared" si="34"/>
        <v>4.1677887548088517</v>
      </c>
      <c r="W177" s="126">
        <f t="shared" si="35"/>
        <v>1.6669066846860976</v>
      </c>
      <c r="X177" s="126">
        <f t="shared" si="36"/>
        <v>1.7045433141393536</v>
      </c>
      <c r="Y177" s="126">
        <f t="shared" si="37"/>
        <v>2.4359502841256422</v>
      </c>
      <c r="Z177" s="126">
        <f t="shared" si="38"/>
        <v>1.487872854454688</v>
      </c>
      <c r="AA177" s="126">
        <f t="shared" si="39"/>
        <v>1.8503977236887763</v>
      </c>
      <c r="AB177" s="126">
        <f t="shared" si="40"/>
        <v>2.8000181992733051</v>
      </c>
    </row>
    <row r="178" spans="1:28">
      <c r="A178">
        <v>177</v>
      </c>
      <c r="B178" s="119">
        <v>0.26748971193415638</v>
      </c>
      <c r="F178">
        <v>0.24919981710105166</v>
      </c>
      <c r="G178">
        <v>0.58253315043438503</v>
      </c>
      <c r="H178">
        <v>0.91586648376771829</v>
      </c>
      <c r="I178">
        <v>6.4014631915866482E-2</v>
      </c>
      <c r="J178">
        <v>0.3973479652491998</v>
      </c>
      <c r="K178">
        <v>0.73068129858253317</v>
      </c>
      <c r="L178">
        <v>0.17512574302697759</v>
      </c>
      <c r="M178">
        <v>0.50845907636031096</v>
      </c>
      <c r="N178">
        <v>0.84179240969364411</v>
      </c>
      <c r="O178">
        <v>0.28623685413808869</v>
      </c>
      <c r="R178">
        <v>2.5</v>
      </c>
      <c r="S178" s="126">
        <f t="shared" si="31"/>
        <v>1.8598296239455487</v>
      </c>
      <c r="T178" s="126">
        <f t="shared" si="32"/>
        <v>2.2683481245615384</v>
      </c>
      <c r="U178" s="126">
        <f t="shared" si="33"/>
        <v>3.4382033422608442</v>
      </c>
      <c r="V178" s="126">
        <f t="shared" si="34"/>
        <v>1.6344892735749696</v>
      </c>
      <c r="W178" s="126">
        <f t="shared" si="35"/>
        <v>1.7685942740814125</v>
      </c>
      <c r="X178" s="126">
        <f t="shared" si="36"/>
        <v>2.5577716613473314</v>
      </c>
      <c r="Y178" s="126">
        <f t="shared" si="37"/>
        <v>1.676816476282438</v>
      </c>
      <c r="Z178" s="126">
        <f t="shared" si="38"/>
        <v>2.0219855729160097</v>
      </c>
      <c r="AA178" s="126">
        <f t="shared" si="39"/>
        <v>3.0043047437378925</v>
      </c>
      <c r="AB178" s="126">
        <f t="shared" si="40"/>
        <v>2.2061639069037859</v>
      </c>
    </row>
    <row r="179" spans="1:28">
      <c r="A179">
        <v>178</v>
      </c>
      <c r="B179" s="119">
        <v>0.60082304526748964</v>
      </c>
      <c r="F179">
        <v>0.61957018747142201</v>
      </c>
      <c r="G179">
        <v>0.95290352080475527</v>
      </c>
      <c r="H179">
        <v>0.10105166895290352</v>
      </c>
      <c r="I179">
        <v>0.43438500228623683</v>
      </c>
      <c r="J179">
        <v>0.76771833561957015</v>
      </c>
      <c r="K179">
        <v>0.21216278006401462</v>
      </c>
      <c r="L179">
        <v>0.54549611339734794</v>
      </c>
      <c r="M179">
        <v>0.8788294467306812</v>
      </c>
      <c r="N179">
        <v>0.32327389117512573</v>
      </c>
      <c r="O179">
        <v>0.6566072245084591</v>
      </c>
      <c r="R179">
        <v>2.5</v>
      </c>
      <c r="S179" s="126">
        <f t="shared" si="31"/>
        <v>2.6692570860803042</v>
      </c>
      <c r="T179" s="126">
        <f t="shared" si="32"/>
        <v>3.8837496144445325</v>
      </c>
      <c r="U179" s="126">
        <f t="shared" si="33"/>
        <v>2.0616000034751023</v>
      </c>
      <c r="V179" s="126">
        <f t="shared" si="34"/>
        <v>2.0616132871701685</v>
      </c>
      <c r="W179" s="126">
        <f t="shared" si="35"/>
        <v>2.8011145521193983</v>
      </c>
      <c r="X179" s="126">
        <f t="shared" si="36"/>
        <v>1.9106024089909106</v>
      </c>
      <c r="Y179" s="126">
        <f t="shared" si="37"/>
        <v>2.2162627444707068</v>
      </c>
      <c r="Z179" s="126">
        <f t="shared" si="38"/>
        <v>3.2399403058383722</v>
      </c>
      <c r="AA179" s="126">
        <f t="shared" si="39"/>
        <v>2.411898411803024</v>
      </c>
      <c r="AB179" s="126">
        <f t="shared" si="40"/>
        <v>2.706524376149078</v>
      </c>
    </row>
    <row r="180" spans="1:28">
      <c r="A180">
        <v>179</v>
      </c>
      <c r="B180" s="119">
        <v>0.9341563786008229</v>
      </c>
      <c r="F180">
        <v>0.98994055784179236</v>
      </c>
      <c r="G180">
        <v>6.4014631915866489E-3</v>
      </c>
      <c r="H180">
        <v>0.33973479652491995</v>
      </c>
      <c r="I180">
        <v>0.67306812985825326</v>
      </c>
      <c r="J180">
        <v>0.11751257430269775</v>
      </c>
      <c r="K180">
        <v>0.45084590763603105</v>
      </c>
      <c r="L180">
        <v>0.78417924096936431</v>
      </c>
      <c r="M180">
        <v>0.22862368541380887</v>
      </c>
      <c r="N180">
        <v>0.56195701874714221</v>
      </c>
      <c r="O180">
        <v>0.89529035208047547</v>
      </c>
      <c r="R180">
        <v>2.5</v>
      </c>
      <c r="S180" s="126">
        <f t="shared" si="31"/>
        <v>4.3351643728549405</v>
      </c>
      <c r="T180" s="126">
        <f t="shared" si="32"/>
        <v>1.2874851008369443</v>
      </c>
      <c r="U180" s="126">
        <f t="shared" si="33"/>
        <v>1.4680207928279829</v>
      </c>
      <c r="V180" s="126">
        <f t="shared" si="34"/>
        <v>2.2693959266450237</v>
      </c>
      <c r="W180" s="126">
        <f t="shared" si="35"/>
        <v>1.322864726852105</v>
      </c>
      <c r="X180" s="126">
        <f t="shared" si="36"/>
        <v>1.7247162864205206</v>
      </c>
      <c r="Y180" s="126">
        <f t="shared" si="37"/>
        <v>2.6771808279525411</v>
      </c>
      <c r="Z180" s="126">
        <f t="shared" si="38"/>
        <v>1.8941328696075868</v>
      </c>
      <c r="AA180" s="126">
        <f t="shared" si="39"/>
        <v>2.2423320233874158</v>
      </c>
      <c r="AB180" s="126">
        <f t="shared" si="40"/>
        <v>3.3239826352591502</v>
      </c>
    </row>
    <row r="181" spans="1:28">
      <c r="A181">
        <v>180</v>
      </c>
      <c r="B181" s="119">
        <v>8.2304526748971193E-2</v>
      </c>
      <c r="F181">
        <v>4.343850022862368E-2</v>
      </c>
      <c r="G181">
        <v>0.37677183356195698</v>
      </c>
      <c r="H181">
        <v>0.71010516689529035</v>
      </c>
      <c r="I181">
        <v>0.1545496113397348</v>
      </c>
      <c r="J181">
        <v>0.48788294467306809</v>
      </c>
      <c r="K181">
        <v>0.82121627800640129</v>
      </c>
      <c r="L181">
        <v>0.26566072245084588</v>
      </c>
      <c r="M181">
        <v>0.59899405578417919</v>
      </c>
      <c r="N181">
        <v>0.93232738911751245</v>
      </c>
      <c r="O181">
        <v>8.0475537265660715E-2</v>
      </c>
      <c r="R181">
        <v>2.5</v>
      </c>
      <c r="S181" s="126">
        <f t="shared" si="31"/>
        <v>1.0060818050857614</v>
      </c>
      <c r="T181" s="126">
        <f t="shared" si="32"/>
        <v>1.4084215288743673</v>
      </c>
      <c r="U181" s="126">
        <f t="shared" si="33"/>
        <v>2.3262852439232535</v>
      </c>
      <c r="V181" s="126">
        <f t="shared" si="34"/>
        <v>1.4920028139552475</v>
      </c>
      <c r="W181" s="126">
        <f t="shared" si="35"/>
        <v>1.8865525892596313</v>
      </c>
      <c r="X181" s="126">
        <f t="shared" si="36"/>
        <v>2.868733160687543</v>
      </c>
      <c r="Y181" s="126">
        <f t="shared" si="37"/>
        <v>2.0872361046938757</v>
      </c>
      <c r="Z181" s="126">
        <f t="shared" si="38"/>
        <v>2.4175861191412569</v>
      </c>
      <c r="AA181" s="126">
        <f t="shared" si="39"/>
        <v>3.6085224763369586</v>
      </c>
      <c r="AB181" s="126">
        <f t="shared" si="40"/>
        <v>1.8191001871386503</v>
      </c>
    </row>
    <row r="182" spans="1:28">
      <c r="A182">
        <v>181</v>
      </c>
      <c r="B182" s="119">
        <v>0.41563786008230452</v>
      </c>
      <c r="F182">
        <v>0.41380887059899402</v>
      </c>
      <c r="G182">
        <v>0.74714220393232733</v>
      </c>
      <c r="H182">
        <v>0.19158664837677183</v>
      </c>
      <c r="I182">
        <v>0.52491998171010512</v>
      </c>
      <c r="J182">
        <v>0.85825331504343838</v>
      </c>
      <c r="K182">
        <v>0.30269775948788291</v>
      </c>
      <c r="L182">
        <v>0.63603109282121628</v>
      </c>
      <c r="M182">
        <v>0.96936442615454954</v>
      </c>
      <c r="N182">
        <v>1.8747142203932327E-2</v>
      </c>
      <c r="O182">
        <v>0.35208047553726562</v>
      </c>
      <c r="R182">
        <v>2.5</v>
      </c>
      <c r="S182" s="126">
        <f t="shared" si="31"/>
        <v>2.2386207165575387</v>
      </c>
      <c r="T182" s="126">
        <f t="shared" si="32"/>
        <v>2.8357821572267672</v>
      </c>
      <c r="U182" s="126">
        <f t="shared" si="33"/>
        <v>1.8677129119783444</v>
      </c>
      <c r="V182" s="126">
        <f t="shared" si="34"/>
        <v>2.1519947403003234</v>
      </c>
      <c r="W182" s="126">
        <f t="shared" si="35"/>
        <v>3.1279219357601433</v>
      </c>
      <c r="X182" s="126">
        <f t="shared" si="36"/>
        <v>2.3076821942493186</v>
      </c>
      <c r="Y182" s="126">
        <f t="shared" si="37"/>
        <v>2.6084916889794947</v>
      </c>
      <c r="Z182" s="126">
        <f t="shared" si="38"/>
        <v>4.0163963326389611</v>
      </c>
      <c r="AA182" s="126">
        <f t="shared" si="39"/>
        <v>1.4645031392789987</v>
      </c>
      <c r="AB182" s="126">
        <f t="shared" si="40"/>
        <v>1.5846021929018372</v>
      </c>
    </row>
    <row r="183" spans="1:28">
      <c r="A183">
        <v>182</v>
      </c>
      <c r="B183" s="119">
        <v>0.74897119341563778</v>
      </c>
      <c r="F183">
        <v>0.68541380887059888</v>
      </c>
      <c r="G183">
        <v>0.12985825331504344</v>
      </c>
      <c r="H183">
        <v>0.46319158664837673</v>
      </c>
      <c r="I183">
        <v>0.79652491998171004</v>
      </c>
      <c r="J183">
        <v>0.24096936442615455</v>
      </c>
      <c r="K183">
        <v>0.57430269775948795</v>
      </c>
      <c r="L183">
        <v>0.9076360310928212</v>
      </c>
      <c r="M183">
        <v>5.5784179240969359E-2</v>
      </c>
      <c r="N183">
        <v>0.38911751257430266</v>
      </c>
      <c r="O183">
        <v>0.72245084590763609</v>
      </c>
      <c r="R183">
        <v>2.5</v>
      </c>
      <c r="S183" s="126">
        <f t="shared" si="31"/>
        <v>2.8165168082232772</v>
      </c>
      <c r="T183" s="126">
        <f t="shared" si="32"/>
        <v>1.647708515188228</v>
      </c>
      <c r="U183" s="126">
        <f t="shared" si="33"/>
        <v>1.9136572655443036</v>
      </c>
      <c r="V183" s="126">
        <f t="shared" si="34"/>
        <v>2.8075156391850076</v>
      </c>
      <c r="W183" s="126">
        <f t="shared" si="35"/>
        <v>1.9927955129625816</v>
      </c>
      <c r="X183" s="126">
        <f t="shared" si="36"/>
        <v>2.3178239267975695</v>
      </c>
      <c r="Y183" s="126">
        <f t="shared" si="37"/>
        <v>3.4206288981943023</v>
      </c>
      <c r="Z183" s="126">
        <f t="shared" si="38"/>
        <v>1.568527642501107</v>
      </c>
      <c r="AA183" s="126">
        <f t="shared" si="39"/>
        <v>1.7177893886175089</v>
      </c>
      <c r="AB183" s="126">
        <f t="shared" si="40"/>
        <v>2.5118339953385824</v>
      </c>
    </row>
    <row r="184" spans="1:28">
      <c r="A184">
        <v>183</v>
      </c>
      <c r="B184" s="119">
        <v>0.19341563786008228</v>
      </c>
      <c r="F184">
        <v>0.16689529035208048</v>
      </c>
      <c r="G184">
        <v>0.50022862368541376</v>
      </c>
      <c r="H184">
        <v>0.83356195701874702</v>
      </c>
      <c r="I184">
        <v>0.27800640146319155</v>
      </c>
      <c r="J184">
        <v>0.61133973479652493</v>
      </c>
      <c r="K184">
        <v>0.94467306812985818</v>
      </c>
      <c r="L184">
        <v>9.2821216278006394E-2</v>
      </c>
      <c r="M184">
        <v>0.42615454961133969</v>
      </c>
      <c r="N184">
        <v>0.75948788294467307</v>
      </c>
      <c r="O184">
        <v>0.20393232738911751</v>
      </c>
      <c r="R184">
        <v>2.5</v>
      </c>
      <c r="S184" s="126">
        <f t="shared" si="31"/>
        <v>1.6210525237873161</v>
      </c>
      <c r="T184" s="126">
        <f t="shared" si="32"/>
        <v>1.9769411104065977</v>
      </c>
      <c r="U184" s="126">
        <f t="shared" si="33"/>
        <v>2.9540224094248719</v>
      </c>
      <c r="V184" s="126">
        <f t="shared" si="34"/>
        <v>2.1607982014565659</v>
      </c>
      <c r="W184" s="126">
        <f t="shared" si="35"/>
        <v>2.4810084105261323</v>
      </c>
      <c r="X184" s="126">
        <f t="shared" si="36"/>
        <v>3.7244536107141073</v>
      </c>
      <c r="Y184" s="126">
        <f t="shared" si="37"/>
        <v>1.9419486969852175</v>
      </c>
      <c r="Z184" s="126">
        <f t="shared" si="38"/>
        <v>1.9841953673972694</v>
      </c>
      <c r="AA184" s="126">
        <f t="shared" si="39"/>
        <v>2.7401844401751689</v>
      </c>
      <c r="AB184" s="126">
        <f t="shared" si="40"/>
        <v>1.8562924670706888</v>
      </c>
    </row>
    <row r="185" spans="1:28">
      <c r="A185">
        <v>184</v>
      </c>
      <c r="B185" s="119">
        <v>0.52674897119341557</v>
      </c>
      <c r="F185">
        <v>0.53726566072245074</v>
      </c>
      <c r="G185">
        <v>0.870598994055784</v>
      </c>
      <c r="H185">
        <v>0.31504343850022859</v>
      </c>
      <c r="I185">
        <v>0.6483767718335619</v>
      </c>
      <c r="J185">
        <v>0.98171010516689516</v>
      </c>
      <c r="K185">
        <v>3.1092821216278006E-2</v>
      </c>
      <c r="L185">
        <v>0.3644261545496113</v>
      </c>
      <c r="M185">
        <v>0.69775948788294462</v>
      </c>
      <c r="N185">
        <v>0.14220393232738912</v>
      </c>
      <c r="O185">
        <v>0.47553726566072241</v>
      </c>
      <c r="R185">
        <v>2.5</v>
      </c>
      <c r="S185" s="126">
        <f t="shared" si="31"/>
        <v>2.4953853525995471</v>
      </c>
      <c r="T185" s="126">
        <f t="shared" si="32"/>
        <v>3.3472946939474277</v>
      </c>
      <c r="U185" s="126">
        <f t="shared" si="33"/>
        <v>2.4468503013721747</v>
      </c>
      <c r="V185" s="126">
        <f t="shared" si="34"/>
        <v>2.7057151742777945</v>
      </c>
      <c r="W185" s="126">
        <f t="shared" si="35"/>
        <v>4.2458010428786839</v>
      </c>
      <c r="X185" s="126">
        <f t="shared" si="36"/>
        <v>1.7574399824712525</v>
      </c>
      <c r="Y185" s="126">
        <f t="shared" si="37"/>
        <v>1.7590976941191563</v>
      </c>
      <c r="Z185" s="126">
        <f t="shared" si="38"/>
        <v>2.4730694414696845</v>
      </c>
      <c r="AA185" s="126">
        <f t="shared" si="39"/>
        <v>1.5217685936088494</v>
      </c>
      <c r="AB185" s="126">
        <f t="shared" si="40"/>
        <v>1.8759607029956458</v>
      </c>
    </row>
    <row r="186" spans="1:28">
      <c r="A186">
        <v>185</v>
      </c>
      <c r="B186" s="119">
        <v>0.86008230452674883</v>
      </c>
      <c r="F186">
        <v>0.80887059899405567</v>
      </c>
      <c r="G186">
        <v>0.2533150434385002</v>
      </c>
      <c r="H186">
        <v>0.58664837677183357</v>
      </c>
      <c r="I186">
        <v>0.91998171010516683</v>
      </c>
      <c r="J186">
        <v>6.8129858253315037E-2</v>
      </c>
      <c r="K186">
        <v>0.40146319158664834</v>
      </c>
      <c r="L186">
        <v>0.73479652491998171</v>
      </c>
      <c r="M186">
        <v>0.17924096936442616</v>
      </c>
      <c r="N186">
        <v>0.5125743026977595</v>
      </c>
      <c r="O186">
        <v>0.84590763603109265</v>
      </c>
      <c r="R186">
        <v>2.5</v>
      </c>
      <c r="S186" s="126">
        <f t="shared" si="31"/>
        <v>3.138889797314119</v>
      </c>
      <c r="T186" s="126">
        <f t="shared" si="32"/>
        <v>2.19158863946189</v>
      </c>
      <c r="U186" s="126">
        <f t="shared" si="33"/>
        <v>2.4437947626413363</v>
      </c>
      <c r="V186" s="126">
        <f t="shared" si="34"/>
        <v>3.5487802471069001</v>
      </c>
      <c r="W186" s="126">
        <f t="shared" si="35"/>
        <v>1.7165036791236095</v>
      </c>
      <c r="X186" s="126">
        <f t="shared" si="36"/>
        <v>1.8186037658409877</v>
      </c>
      <c r="Y186" s="126">
        <f t="shared" si="37"/>
        <v>2.5932247748611297</v>
      </c>
      <c r="Z186" s="126">
        <f t="shared" si="38"/>
        <v>1.7077000645117335</v>
      </c>
      <c r="AA186" s="126">
        <f t="shared" si="39"/>
        <v>2.0460187542706629</v>
      </c>
      <c r="AB186" s="126">
        <f t="shared" si="40"/>
        <v>3.0305593532204913</v>
      </c>
    </row>
    <row r="187" spans="1:28">
      <c r="A187">
        <v>186</v>
      </c>
      <c r="B187" s="119">
        <v>0.30452674897119342</v>
      </c>
      <c r="F187">
        <v>0.29035208047553723</v>
      </c>
      <c r="G187">
        <v>0.62368541380887055</v>
      </c>
      <c r="H187">
        <v>0.95701874714220381</v>
      </c>
      <c r="I187">
        <v>0.10516689529035207</v>
      </c>
      <c r="J187">
        <v>0.43850022862368537</v>
      </c>
      <c r="K187">
        <v>0.77183356195701869</v>
      </c>
      <c r="L187">
        <v>0.21627800640146319</v>
      </c>
      <c r="M187">
        <v>0.54961133973479648</v>
      </c>
      <c r="N187">
        <v>0.88294467306812974</v>
      </c>
      <c r="O187">
        <v>0.32738911751257427</v>
      </c>
      <c r="R187">
        <v>2.5</v>
      </c>
      <c r="S187" s="126">
        <f t="shared" si="31"/>
        <v>1.9626438388982264</v>
      </c>
      <c r="T187" s="126">
        <f t="shared" si="32"/>
        <v>2.40810815375947</v>
      </c>
      <c r="U187" s="126">
        <f t="shared" si="33"/>
        <v>3.7882994383761552</v>
      </c>
      <c r="V187" s="126">
        <f t="shared" si="34"/>
        <v>2.0325425598201905</v>
      </c>
      <c r="W187" s="126">
        <f t="shared" si="35"/>
        <v>2.0556267481508455</v>
      </c>
      <c r="X187" s="126">
        <f t="shared" si="36"/>
        <v>2.80927800735074</v>
      </c>
      <c r="Y187" s="126">
        <f t="shared" si="37"/>
        <v>1.9263466710723509</v>
      </c>
      <c r="Z187" s="126">
        <f t="shared" si="38"/>
        <v>2.232744893940092</v>
      </c>
      <c r="AA187" s="126">
        <f t="shared" si="39"/>
        <v>3.2652821828200378</v>
      </c>
      <c r="AB187" s="126">
        <f t="shared" si="40"/>
        <v>2.4340620545486096</v>
      </c>
    </row>
    <row r="188" spans="1:28">
      <c r="A188">
        <v>187</v>
      </c>
      <c r="B188" s="119">
        <v>0.63786008230452673</v>
      </c>
      <c r="F188">
        <v>0.66072245084590764</v>
      </c>
      <c r="G188">
        <v>0.9940557841792409</v>
      </c>
      <c r="H188">
        <v>1.0516689529035209E-2</v>
      </c>
      <c r="I188">
        <v>0.34385002286236854</v>
      </c>
      <c r="J188">
        <v>0.6771833561957018</v>
      </c>
      <c r="K188">
        <v>0.12162780064014632</v>
      </c>
      <c r="L188">
        <v>0.45496113397347965</v>
      </c>
      <c r="M188">
        <v>0.78829446730681285</v>
      </c>
      <c r="N188">
        <v>0.23273891175125741</v>
      </c>
      <c r="O188">
        <v>0.56607224508459075</v>
      </c>
      <c r="R188">
        <v>2.5</v>
      </c>
      <c r="S188" s="126">
        <f t="shared" si="31"/>
        <v>2.7600539491064322</v>
      </c>
      <c r="T188" s="126">
        <f t="shared" si="32"/>
        <v>4.6236644749650244</v>
      </c>
      <c r="U188" s="126">
        <f t="shared" si="33"/>
        <v>1.5824502400833209</v>
      </c>
      <c r="V188" s="126">
        <f t="shared" si="34"/>
        <v>1.6255152840430522</v>
      </c>
      <c r="W188" s="126">
        <f t="shared" si="35"/>
        <v>2.3579849052635389</v>
      </c>
      <c r="X188" s="126">
        <f t="shared" si="36"/>
        <v>1.3844014282729626</v>
      </c>
      <c r="Y188" s="126">
        <f t="shared" si="37"/>
        <v>1.7642125398357917</v>
      </c>
      <c r="Z188" s="126">
        <f t="shared" si="38"/>
        <v>2.7086874439596564</v>
      </c>
      <c r="AA188" s="126">
        <f t="shared" si="39"/>
        <v>1.9211279991714347</v>
      </c>
      <c r="AB188" s="126">
        <f t="shared" si="40"/>
        <v>2.264519114476955</v>
      </c>
    </row>
    <row r="189" spans="1:28">
      <c r="A189">
        <v>188</v>
      </c>
      <c r="B189" s="119">
        <v>0.97119341563785999</v>
      </c>
      <c r="F189">
        <v>0.89940557841792401</v>
      </c>
      <c r="G189">
        <v>4.7553726566072242E-2</v>
      </c>
      <c r="H189">
        <v>0.38088705989940558</v>
      </c>
      <c r="I189">
        <v>0.71422039323273889</v>
      </c>
      <c r="J189">
        <v>0.15866483767718334</v>
      </c>
      <c r="K189">
        <v>0.49199817101051668</v>
      </c>
      <c r="L189">
        <v>0.82533150434384983</v>
      </c>
      <c r="M189">
        <v>0.26977594878829447</v>
      </c>
      <c r="N189">
        <v>0.60310928212162773</v>
      </c>
      <c r="O189">
        <v>0.93644261545496099</v>
      </c>
      <c r="R189">
        <v>2.5</v>
      </c>
      <c r="S189" s="126">
        <f t="shared" si="31"/>
        <v>3.4724635729782092</v>
      </c>
      <c r="T189" s="126">
        <f t="shared" si="32"/>
        <v>1.5303551167898652</v>
      </c>
      <c r="U189" s="126">
        <f t="shared" si="33"/>
        <v>1.6808442523310985</v>
      </c>
      <c r="V189" s="126">
        <f t="shared" si="34"/>
        <v>2.4731558529366273</v>
      </c>
      <c r="W189" s="126">
        <f t="shared" si="35"/>
        <v>1.5799682389309495</v>
      </c>
      <c r="X189" s="126">
        <f t="shared" si="36"/>
        <v>1.9392748500835366</v>
      </c>
      <c r="Y189" s="126">
        <f t="shared" si="37"/>
        <v>2.9083175750589878</v>
      </c>
      <c r="Z189" s="126">
        <f t="shared" si="38"/>
        <v>2.1174406831503858</v>
      </c>
      <c r="AA189" s="126">
        <f t="shared" si="39"/>
        <v>2.4415586512332137</v>
      </c>
      <c r="AB189" s="126">
        <f t="shared" si="40"/>
        <v>3.6471522986316058</v>
      </c>
    </row>
    <row r="190" spans="1:28">
      <c r="A190">
        <v>189</v>
      </c>
      <c r="B190" s="119">
        <v>2.0576131687242798E-2</v>
      </c>
      <c r="F190">
        <v>8.4590763603109284E-2</v>
      </c>
      <c r="G190">
        <v>0.41792409693644261</v>
      </c>
      <c r="H190">
        <v>0.75125743026977587</v>
      </c>
      <c r="I190">
        <v>0.19570187471422038</v>
      </c>
      <c r="J190">
        <v>0.52903520804755366</v>
      </c>
      <c r="K190">
        <v>0.86236854138088692</v>
      </c>
      <c r="L190">
        <v>0.30681298582533151</v>
      </c>
      <c r="M190">
        <v>0.64014631915866482</v>
      </c>
      <c r="N190">
        <v>0.97347965249199808</v>
      </c>
      <c r="O190">
        <v>2.2862368541380886E-2</v>
      </c>
      <c r="R190">
        <v>2.5</v>
      </c>
      <c r="S190" s="126">
        <f t="shared" si="31"/>
        <v>1.2842606664319141</v>
      </c>
      <c r="T190" s="126">
        <f t="shared" si="32"/>
        <v>1.6362925100973653</v>
      </c>
      <c r="U190" s="126">
        <f t="shared" si="33"/>
        <v>2.5437152765767399</v>
      </c>
      <c r="V190" s="126">
        <f t="shared" si="34"/>
        <v>1.7332837449073255</v>
      </c>
      <c r="W190" s="126">
        <f t="shared" si="35"/>
        <v>2.0929582790411123</v>
      </c>
      <c r="X190" s="126">
        <f t="shared" si="36"/>
        <v>3.1135237508723672</v>
      </c>
      <c r="Y190" s="126">
        <f t="shared" si="37"/>
        <v>2.3101393140689774</v>
      </c>
      <c r="Z190" s="126">
        <f t="shared" si="38"/>
        <v>2.6187828776526612</v>
      </c>
      <c r="AA190" s="126">
        <f t="shared" si="39"/>
        <v>4.0735770971140299</v>
      </c>
      <c r="AB190" s="126">
        <f t="shared" si="40"/>
        <v>1.5612183326424836</v>
      </c>
    </row>
    <row r="191" spans="1:28">
      <c r="A191">
        <v>190</v>
      </c>
      <c r="B191" s="119">
        <v>0.35390946502057613</v>
      </c>
      <c r="F191">
        <v>0.35619570187471422</v>
      </c>
      <c r="G191">
        <v>0.68952903520804742</v>
      </c>
      <c r="H191">
        <v>0.13397347965249198</v>
      </c>
      <c r="I191">
        <v>0.46730681298582533</v>
      </c>
      <c r="J191">
        <v>0.80064014631915859</v>
      </c>
      <c r="K191">
        <v>0.24508459076360309</v>
      </c>
      <c r="L191">
        <v>0.57841792409693649</v>
      </c>
      <c r="M191">
        <v>0.91175125743026975</v>
      </c>
      <c r="N191">
        <v>5.9899405578417921E-2</v>
      </c>
      <c r="O191">
        <v>0.39323273891175126</v>
      </c>
      <c r="R191">
        <v>2.5</v>
      </c>
      <c r="S191" s="126">
        <f t="shared" si="31"/>
        <v>2.1141679979811245</v>
      </c>
      <c r="T191" s="126">
        <f t="shared" si="32"/>
        <v>2.6321849322522115</v>
      </c>
      <c r="U191" s="126">
        <f t="shared" si="33"/>
        <v>1.5709477777734151</v>
      </c>
      <c r="V191" s="126">
        <f t="shared" si="34"/>
        <v>1.8836178742219625</v>
      </c>
      <c r="W191" s="126">
        <f t="shared" si="35"/>
        <v>2.804490740321036</v>
      </c>
      <c r="X191" s="126">
        <f t="shared" si="36"/>
        <v>2.0021196886809083</v>
      </c>
      <c r="Y191" s="126">
        <f t="shared" si="37"/>
        <v>2.3311776551720178</v>
      </c>
      <c r="Z191" s="126">
        <f t="shared" si="38"/>
        <v>3.4481920206297465</v>
      </c>
      <c r="AA191" s="126">
        <f t="shared" si="39"/>
        <v>1.6117145215063677</v>
      </c>
      <c r="AB191" s="126">
        <f t="shared" si="40"/>
        <v>1.7483341927560232</v>
      </c>
    </row>
    <row r="192" spans="1:28">
      <c r="A192">
        <v>191</v>
      </c>
      <c r="B192" s="119">
        <v>0.68724279835390933</v>
      </c>
      <c r="F192">
        <v>0.72656607224508463</v>
      </c>
      <c r="G192">
        <v>0.17101051668952902</v>
      </c>
      <c r="H192">
        <v>0.50434385002286231</v>
      </c>
      <c r="I192">
        <v>0.83767718335619556</v>
      </c>
      <c r="J192">
        <v>0.28212162780064015</v>
      </c>
      <c r="K192">
        <v>0.61545496113397347</v>
      </c>
      <c r="L192">
        <v>0.94878829446730673</v>
      </c>
      <c r="M192">
        <v>9.6936442615454962E-2</v>
      </c>
      <c r="N192">
        <v>0.43026977594878829</v>
      </c>
      <c r="O192">
        <v>0.76360310928212161</v>
      </c>
      <c r="R192">
        <v>2.5</v>
      </c>
      <c r="S192" s="126">
        <f t="shared" si="31"/>
        <v>2.9151366040771172</v>
      </c>
      <c r="T192" s="126">
        <f t="shared" si="32"/>
        <v>1.843167013441946</v>
      </c>
      <c r="U192" s="126">
        <f t="shared" si="33"/>
        <v>2.0970841249988821</v>
      </c>
      <c r="V192" s="126">
        <f t="shared" si="34"/>
        <v>3.028113715566207</v>
      </c>
      <c r="W192" s="126">
        <f t="shared" si="35"/>
        <v>2.2081186745934915</v>
      </c>
      <c r="X192" s="126">
        <f t="shared" si="36"/>
        <v>2.5136605634464519</v>
      </c>
      <c r="Y192" s="126">
        <f t="shared" si="37"/>
        <v>3.7721704432289638</v>
      </c>
      <c r="Z192" s="126">
        <f t="shared" si="38"/>
        <v>1.9860343359685086</v>
      </c>
      <c r="AA192" s="126">
        <f t="shared" si="39"/>
        <v>2.0150013478166979</v>
      </c>
      <c r="AB192" s="126">
        <f t="shared" si="40"/>
        <v>2.7666247002176911</v>
      </c>
    </row>
    <row r="193" spans="1:28">
      <c r="A193">
        <v>192</v>
      </c>
      <c r="B193" s="119">
        <v>0.13168724279835389</v>
      </c>
      <c r="F193">
        <v>0.20804755372656605</v>
      </c>
      <c r="G193">
        <v>0.54138088705989929</v>
      </c>
      <c r="H193">
        <v>0.87471422039323254</v>
      </c>
      <c r="I193">
        <v>0.31915866483767719</v>
      </c>
      <c r="J193">
        <v>0.65249199817101045</v>
      </c>
      <c r="K193">
        <v>0.9858253315043437</v>
      </c>
      <c r="L193">
        <v>3.5208047553726564E-2</v>
      </c>
      <c r="M193">
        <v>0.3685413808870599</v>
      </c>
      <c r="N193">
        <v>0.70187471422039316</v>
      </c>
      <c r="O193">
        <v>0.14631915866483766</v>
      </c>
      <c r="R193">
        <v>2.5</v>
      </c>
      <c r="S193" s="126">
        <f t="shared" si="31"/>
        <v>1.7474881492586425</v>
      </c>
      <c r="T193" s="126">
        <f t="shared" si="32"/>
        <v>2.1257225972618525</v>
      </c>
      <c r="U193" s="126">
        <f t="shared" si="33"/>
        <v>3.1777796568933252</v>
      </c>
      <c r="V193" s="126">
        <f t="shared" si="34"/>
        <v>2.3711799861018097</v>
      </c>
      <c r="W193" s="126">
        <f t="shared" si="35"/>
        <v>2.6768512202251089</v>
      </c>
      <c r="X193" s="126">
        <f t="shared" si="36"/>
        <v>4.3154192421758992</v>
      </c>
      <c r="Y193" s="126">
        <f t="shared" si="37"/>
        <v>1.8384085829590728</v>
      </c>
      <c r="Z193" s="126">
        <f t="shared" si="38"/>
        <v>1.8088105463216546</v>
      </c>
      <c r="AA193" s="126">
        <f t="shared" si="39"/>
        <v>2.5078147006285878</v>
      </c>
      <c r="AB193" s="126">
        <f t="shared" si="40"/>
        <v>1.55417560156208</v>
      </c>
    </row>
    <row r="194" spans="1:28">
      <c r="A194">
        <v>193</v>
      </c>
      <c r="B194" s="119">
        <v>0.46502057613168724</v>
      </c>
      <c r="F194">
        <v>0.479652491998171</v>
      </c>
      <c r="G194">
        <v>0.81298582533150421</v>
      </c>
      <c r="H194">
        <v>0.25743026977594879</v>
      </c>
      <c r="I194">
        <v>0.59076360310928211</v>
      </c>
      <c r="J194">
        <v>0.92409693644261537</v>
      </c>
      <c r="K194">
        <v>7.2245084590763606E-2</v>
      </c>
      <c r="L194">
        <v>0.40557841792409693</v>
      </c>
      <c r="M194">
        <v>0.73891175125743025</v>
      </c>
      <c r="N194">
        <v>0.1833561957018747</v>
      </c>
      <c r="O194">
        <v>0.51668952903520804</v>
      </c>
      <c r="R194">
        <v>2.5</v>
      </c>
      <c r="S194" s="126">
        <f t="shared" si="31"/>
        <v>2.376141383036102</v>
      </c>
      <c r="T194" s="126">
        <f t="shared" si="32"/>
        <v>3.0891845186722069</v>
      </c>
      <c r="U194" s="126">
        <f t="shared" si="33"/>
        <v>2.1771691681099106</v>
      </c>
      <c r="V194" s="126">
        <f t="shared" si="34"/>
        <v>2.445272252281713</v>
      </c>
      <c r="W194" s="126">
        <f t="shared" si="35"/>
        <v>3.572808936479499</v>
      </c>
      <c r="X194" s="126">
        <f t="shared" si="36"/>
        <v>1.7538133973185475</v>
      </c>
      <c r="Y194" s="126">
        <f t="shared" si="37"/>
        <v>1.8461213701257293</v>
      </c>
      <c r="Z194" s="126">
        <f t="shared" si="38"/>
        <v>2.6174550951938311</v>
      </c>
      <c r="AA194" s="126">
        <f t="shared" si="39"/>
        <v>1.7327557546630814</v>
      </c>
      <c r="AB194" s="126">
        <f t="shared" si="40"/>
        <v>2.067125603672368</v>
      </c>
    </row>
    <row r="195" spans="1:28">
      <c r="A195">
        <v>194</v>
      </c>
      <c r="B195" s="119">
        <v>0.79835390946502049</v>
      </c>
      <c r="F195">
        <v>0.85002286236854119</v>
      </c>
      <c r="G195">
        <v>0.29446730681298583</v>
      </c>
      <c r="H195">
        <v>0.62780064014631909</v>
      </c>
      <c r="I195">
        <v>0.96113397347965235</v>
      </c>
      <c r="J195">
        <v>0.10928212162780064</v>
      </c>
      <c r="K195">
        <v>0.44261545496113397</v>
      </c>
      <c r="L195">
        <v>0.77594878829446723</v>
      </c>
      <c r="M195">
        <v>0.22039323273891173</v>
      </c>
      <c r="N195">
        <v>0.55372656607224502</v>
      </c>
      <c r="O195">
        <v>0.88705989940557828</v>
      </c>
      <c r="R195">
        <v>2.5</v>
      </c>
      <c r="S195" s="126">
        <f t="shared" si="31"/>
        <v>3.2731585794748295</v>
      </c>
      <c r="T195" s="126">
        <f t="shared" si="32"/>
        <v>2.3611110586687616</v>
      </c>
      <c r="U195" s="126">
        <f t="shared" si="33"/>
        <v>2.6173346046877013</v>
      </c>
      <c r="V195" s="126">
        <f t="shared" si="34"/>
        <v>3.9321466505410463</v>
      </c>
      <c r="W195" s="126">
        <f t="shared" si="35"/>
        <v>2.1232276450903944</v>
      </c>
      <c r="X195" s="126">
        <f t="shared" si="36"/>
        <v>2.1098088904874461</v>
      </c>
      <c r="Y195" s="126">
        <f t="shared" si="37"/>
        <v>2.84779612548768</v>
      </c>
      <c r="Z195" s="126">
        <f t="shared" si="38"/>
        <v>1.957219640028816</v>
      </c>
      <c r="AA195" s="126">
        <f t="shared" si="39"/>
        <v>2.2568418459794328</v>
      </c>
      <c r="AB195" s="126">
        <f t="shared" si="40"/>
        <v>3.2948816718346592</v>
      </c>
    </row>
    <row r="196" spans="1:28">
      <c r="A196">
        <v>195</v>
      </c>
      <c r="B196" s="119">
        <v>0.242798353909465</v>
      </c>
      <c r="F196">
        <v>0.33150434385002286</v>
      </c>
      <c r="G196">
        <v>0.66483767718335618</v>
      </c>
      <c r="H196">
        <v>0.99817101051668944</v>
      </c>
      <c r="I196">
        <v>3.6579789666209418E-3</v>
      </c>
      <c r="J196">
        <v>0.33699131229995427</v>
      </c>
      <c r="K196">
        <v>0.67032464563328764</v>
      </c>
      <c r="L196">
        <v>0.11476909007773205</v>
      </c>
      <c r="M196">
        <v>0.44810242341106538</v>
      </c>
      <c r="N196">
        <v>0.78143575674439869</v>
      </c>
      <c r="O196">
        <v>0.22588020118884314</v>
      </c>
      <c r="R196">
        <v>2.5</v>
      </c>
      <c r="S196" s="126">
        <f t="shared" si="31"/>
        <v>2.058810113410749</v>
      </c>
      <c r="T196" s="126">
        <f t="shared" si="32"/>
        <v>2.5476048187904645</v>
      </c>
      <c r="U196" s="126">
        <f t="shared" si="33"/>
        <v>4.8392223932414868</v>
      </c>
      <c r="V196" s="126">
        <f t="shared" si="34"/>
        <v>1.3817169652737324</v>
      </c>
      <c r="W196" s="126">
        <f t="shared" si="35"/>
        <v>1.5091945851860733</v>
      </c>
      <c r="X196" s="126">
        <f t="shared" si="36"/>
        <v>2.2838285495641357</v>
      </c>
      <c r="Y196" s="126">
        <f t="shared" si="37"/>
        <v>1.318541775296554</v>
      </c>
      <c r="Z196" s="126">
        <f t="shared" si="38"/>
        <v>1.7168255760298194</v>
      </c>
      <c r="AA196" s="126">
        <f t="shared" si="39"/>
        <v>2.6655159120881824</v>
      </c>
      <c r="AB196" s="126">
        <f t="shared" si="40"/>
        <v>1.8807674201127873</v>
      </c>
    </row>
    <row r="197" spans="1:28">
      <c r="A197">
        <v>196</v>
      </c>
      <c r="B197" s="119">
        <v>0.5761316872427984</v>
      </c>
      <c r="F197">
        <v>0.55921353452217659</v>
      </c>
      <c r="G197">
        <v>0.89254686785550985</v>
      </c>
      <c r="H197">
        <v>4.069501600365797E-2</v>
      </c>
      <c r="I197">
        <v>0.37402834933699131</v>
      </c>
      <c r="J197">
        <v>0.70736168267032473</v>
      </c>
      <c r="K197">
        <v>0.15180612711476907</v>
      </c>
      <c r="L197">
        <v>0.48513946044810241</v>
      </c>
      <c r="M197">
        <v>0.81847279378143567</v>
      </c>
      <c r="N197">
        <v>0.2629172382258802</v>
      </c>
      <c r="O197">
        <v>0.59625057155921357</v>
      </c>
      <c r="R197">
        <v>2.5</v>
      </c>
      <c r="S197" s="126">
        <f t="shared" si="31"/>
        <v>2.5411024683797203</v>
      </c>
      <c r="T197" s="126">
        <f t="shared" si="32"/>
        <v>3.461791714273823</v>
      </c>
      <c r="U197" s="126">
        <f t="shared" si="33"/>
        <v>1.4642638743693044</v>
      </c>
      <c r="V197" s="126">
        <f t="shared" si="34"/>
        <v>1.6327383810653822</v>
      </c>
      <c r="W197" s="126">
        <f t="shared" si="35"/>
        <v>2.4324297564141588</v>
      </c>
      <c r="X197" s="126">
        <f t="shared" si="36"/>
        <v>1.5357801085252838</v>
      </c>
      <c r="Y197" s="126">
        <f t="shared" si="37"/>
        <v>1.9028797388406764</v>
      </c>
      <c r="Z197" s="126">
        <f t="shared" si="38"/>
        <v>2.8683201806474719</v>
      </c>
      <c r="AA197" s="126">
        <f t="shared" si="39"/>
        <v>2.0801105839307059</v>
      </c>
      <c r="AB197" s="126">
        <f t="shared" si="40"/>
        <v>2.4081567806681252</v>
      </c>
    </row>
    <row r="198" spans="1:28">
      <c r="A198">
        <v>197</v>
      </c>
      <c r="B198" s="119">
        <v>0.90946502057613166</v>
      </c>
      <c r="F198">
        <v>0.92958390489254683</v>
      </c>
      <c r="G198">
        <v>7.7732053040695012E-2</v>
      </c>
      <c r="H198">
        <v>0.41106538637402834</v>
      </c>
      <c r="I198">
        <v>0.74439871970736171</v>
      </c>
      <c r="J198">
        <v>0.1888431641518061</v>
      </c>
      <c r="K198">
        <v>0.5221764974851395</v>
      </c>
      <c r="L198">
        <v>0.85550983081847276</v>
      </c>
      <c r="M198">
        <v>0.29995427526291724</v>
      </c>
      <c r="N198">
        <v>0.63328760859625066</v>
      </c>
      <c r="O198">
        <v>0.96662094192958392</v>
      </c>
      <c r="R198">
        <v>2.5</v>
      </c>
      <c r="S198" s="126">
        <f t="shared" si="31"/>
        <v>3.6329096551441573</v>
      </c>
      <c r="T198" s="126">
        <f t="shared" si="32"/>
        <v>1.816004925679696</v>
      </c>
      <c r="U198" s="126">
        <f t="shared" si="33"/>
        <v>1.8890321359527682</v>
      </c>
      <c r="V198" s="126">
        <f t="shared" si="34"/>
        <v>2.6530208279693257</v>
      </c>
      <c r="W198" s="126">
        <f t="shared" si="35"/>
        <v>1.7675240975772102</v>
      </c>
      <c r="X198" s="126">
        <f t="shared" si="36"/>
        <v>2.0959578664833756</v>
      </c>
      <c r="Y198" s="126">
        <f t="shared" si="37"/>
        <v>3.0897417240684648</v>
      </c>
      <c r="Z198" s="126">
        <f t="shared" si="38"/>
        <v>2.2819976152023584</v>
      </c>
      <c r="AA198" s="126">
        <f t="shared" si="39"/>
        <v>2.5895643536949886</v>
      </c>
      <c r="AB198" s="126">
        <f t="shared" si="40"/>
        <v>3.975347509851348</v>
      </c>
    </row>
    <row r="199" spans="1:28">
      <c r="A199">
        <v>198</v>
      </c>
      <c r="B199" s="119">
        <v>5.7613168724279837E-2</v>
      </c>
      <c r="F199">
        <v>1.6003657978966621E-2</v>
      </c>
      <c r="G199">
        <v>0.34933699131229995</v>
      </c>
      <c r="H199">
        <v>0.68267032464563326</v>
      </c>
      <c r="I199">
        <v>0.12711476909007771</v>
      </c>
      <c r="J199">
        <v>0.46044810242341105</v>
      </c>
      <c r="K199">
        <v>0.79378143575674442</v>
      </c>
      <c r="L199">
        <v>0.23822588020118882</v>
      </c>
      <c r="M199">
        <v>0.57155921353452233</v>
      </c>
      <c r="N199">
        <v>0.90489254686785559</v>
      </c>
      <c r="O199">
        <v>5.3040695016003649E-2</v>
      </c>
      <c r="R199">
        <v>2.5</v>
      </c>
      <c r="S199" s="126">
        <f t="shared" si="31"/>
        <v>0.64959292807427427</v>
      </c>
      <c r="T199" s="126">
        <f t="shared" si="32"/>
        <v>1.1689236351053762</v>
      </c>
      <c r="U199" s="126">
        <f t="shared" si="33"/>
        <v>2.1411561480914822</v>
      </c>
      <c r="V199" s="126">
        <f t="shared" si="34"/>
        <v>1.2974881341381055</v>
      </c>
      <c r="W199" s="126">
        <f t="shared" si="35"/>
        <v>1.731938312185755</v>
      </c>
      <c r="X199" s="126">
        <f t="shared" si="36"/>
        <v>2.7082159055935593</v>
      </c>
      <c r="Y199" s="126">
        <f t="shared" si="37"/>
        <v>1.9356018177819845</v>
      </c>
      <c r="Z199" s="126">
        <f t="shared" si="38"/>
        <v>2.2833096345310464</v>
      </c>
      <c r="AA199" s="126">
        <f t="shared" si="39"/>
        <v>3.3897603674521748</v>
      </c>
      <c r="AB199" s="126">
        <f t="shared" si="40"/>
        <v>1.5324948981895163</v>
      </c>
    </row>
    <row r="200" spans="1:28">
      <c r="A200">
        <v>199</v>
      </c>
      <c r="B200" s="119">
        <v>0.39094650205761317</v>
      </c>
      <c r="F200">
        <v>0.38637402834933698</v>
      </c>
      <c r="G200">
        <v>0.71970736168267047</v>
      </c>
      <c r="H200">
        <v>0.16415180612711475</v>
      </c>
      <c r="I200">
        <v>0.49748513946044809</v>
      </c>
      <c r="J200">
        <v>0.8308184727937814</v>
      </c>
      <c r="K200">
        <v>0.27526291723822588</v>
      </c>
      <c r="L200">
        <v>0.60859625057155931</v>
      </c>
      <c r="M200">
        <v>0.94192958390489256</v>
      </c>
      <c r="N200">
        <v>9.0077732053040691E-2</v>
      </c>
      <c r="O200">
        <v>0.42341106538637402</v>
      </c>
      <c r="R200">
        <v>2.5</v>
      </c>
      <c r="S200" s="126">
        <f t="shared" si="31"/>
        <v>2.1800398839263302</v>
      </c>
      <c r="T200" s="126">
        <f t="shared" si="32"/>
        <v>2.7374263151910174</v>
      </c>
      <c r="U200" s="126">
        <f t="shared" si="33"/>
        <v>1.7312857931481886</v>
      </c>
      <c r="V200" s="126">
        <f t="shared" si="34"/>
        <v>2.0266722540226714</v>
      </c>
      <c r="W200" s="126">
        <f t="shared" si="35"/>
        <v>2.9700002667926313</v>
      </c>
      <c r="X200" s="126">
        <f t="shared" si="36"/>
        <v>2.1620667715085293</v>
      </c>
      <c r="Y200" s="126">
        <f t="shared" si="37"/>
        <v>2.4757484165260975</v>
      </c>
      <c r="Z200" s="126">
        <f t="shared" si="38"/>
        <v>3.7019479011831491</v>
      </c>
      <c r="AA200" s="126">
        <f t="shared" si="39"/>
        <v>1.9168663864391364</v>
      </c>
      <c r="AB200" s="126">
        <f t="shared" si="40"/>
        <v>1.9658139708923121</v>
      </c>
    </row>
    <row r="201" spans="1:28">
      <c r="A201">
        <v>200</v>
      </c>
      <c r="B201" s="119">
        <v>0.72427983539094654</v>
      </c>
      <c r="F201">
        <v>0.75674439871970745</v>
      </c>
      <c r="G201">
        <v>0.20118884316415178</v>
      </c>
      <c r="H201">
        <v>0.53452217649748512</v>
      </c>
      <c r="I201">
        <v>0.86785550983081838</v>
      </c>
      <c r="J201">
        <v>0.31229995427526291</v>
      </c>
      <c r="K201">
        <v>0.64563328760859628</v>
      </c>
      <c r="L201">
        <v>0.97896662094192954</v>
      </c>
      <c r="M201">
        <v>2.8349336991312299E-2</v>
      </c>
      <c r="N201">
        <v>0.36168267032464563</v>
      </c>
      <c r="O201">
        <v>0.695016003657979</v>
      </c>
      <c r="R201">
        <v>2.5</v>
      </c>
      <c r="S201" s="126">
        <f t="shared" si="31"/>
        <v>2.992179756870279</v>
      </c>
      <c r="T201" s="126">
        <f t="shared" si="32"/>
        <v>1.9749240275731144</v>
      </c>
      <c r="U201" s="126">
        <f t="shared" si="33"/>
        <v>2.2257870273867937</v>
      </c>
      <c r="V201" s="126">
        <f t="shared" si="34"/>
        <v>3.2011414175523498</v>
      </c>
      <c r="W201" s="126">
        <f t="shared" si="35"/>
        <v>2.3670122049332623</v>
      </c>
      <c r="X201" s="126">
        <f t="shared" si="36"/>
        <v>2.65949814834973</v>
      </c>
      <c r="Y201" s="126">
        <f t="shared" si="37"/>
        <v>4.1750934120126892</v>
      </c>
      <c r="Z201" s="126">
        <f t="shared" si="38"/>
        <v>1.6883686042464832</v>
      </c>
      <c r="AA201" s="126">
        <f t="shared" si="39"/>
        <v>1.7183514187453033</v>
      </c>
      <c r="AB201" s="126">
        <f t="shared" si="40"/>
        <v>2.4461171345584094</v>
      </c>
    </row>
    <row r="202" spans="1:28">
      <c r="A202">
        <v>201</v>
      </c>
      <c r="B202" s="119">
        <v>0.16872427983539093</v>
      </c>
      <c r="F202">
        <v>0.13946044810242339</v>
      </c>
      <c r="G202">
        <v>0.47279378143575673</v>
      </c>
      <c r="H202">
        <v>0.80612711476909005</v>
      </c>
      <c r="I202">
        <v>0.25057155921353452</v>
      </c>
      <c r="J202">
        <v>0.58390489254686795</v>
      </c>
      <c r="K202">
        <v>0.91723822588020121</v>
      </c>
      <c r="L202">
        <v>6.5386374028349334E-2</v>
      </c>
      <c r="M202">
        <v>0.39871970736168266</v>
      </c>
      <c r="N202">
        <v>0.73205304069501609</v>
      </c>
      <c r="O202">
        <v>0.17649748513946042</v>
      </c>
      <c r="R202">
        <v>2.5</v>
      </c>
      <c r="S202" s="126">
        <f t="shared" si="31"/>
        <v>1.5251780117284512</v>
      </c>
      <c r="T202" s="126">
        <f t="shared" si="32"/>
        <v>1.871990279963067</v>
      </c>
      <c r="U202" s="126">
        <f t="shared" si="33"/>
        <v>2.8149799368372053</v>
      </c>
      <c r="V202" s="126">
        <f t="shared" si="34"/>
        <v>2.0216998135163049</v>
      </c>
      <c r="W202" s="126">
        <f t="shared" si="35"/>
        <v>2.3526034265462688</v>
      </c>
      <c r="X202" s="126">
        <f t="shared" si="36"/>
        <v>3.487922342732392</v>
      </c>
      <c r="Y202" s="126">
        <f t="shared" si="37"/>
        <v>1.6684335724734365</v>
      </c>
      <c r="Z202" s="126">
        <f t="shared" si="38"/>
        <v>1.7885870219342774</v>
      </c>
      <c r="AA202" s="126">
        <f t="shared" si="39"/>
        <v>2.5712505731739332</v>
      </c>
      <c r="AB202" s="126">
        <f t="shared" si="40"/>
        <v>1.6879672798513776</v>
      </c>
    </row>
    <row r="203" spans="1:28">
      <c r="A203">
        <v>202</v>
      </c>
      <c r="B203" s="119">
        <v>0.50205761316872421</v>
      </c>
      <c r="F203">
        <v>0.50983081847279388</v>
      </c>
      <c r="G203">
        <v>0.84316415180612703</v>
      </c>
      <c r="H203">
        <v>0.28760859625057156</v>
      </c>
      <c r="I203">
        <v>0.62094192958390493</v>
      </c>
      <c r="J203">
        <v>0.95427526291723819</v>
      </c>
      <c r="K203">
        <v>0.10242341106538637</v>
      </c>
      <c r="L203">
        <v>0.4357567443987197</v>
      </c>
      <c r="M203">
        <v>0.76909007773205307</v>
      </c>
      <c r="N203">
        <v>0.21353452217649746</v>
      </c>
      <c r="O203">
        <v>0.54686785550983086</v>
      </c>
      <c r="R203">
        <v>2.5</v>
      </c>
      <c r="S203" s="126">
        <f t="shared" si="31"/>
        <v>2.4385543902309958</v>
      </c>
      <c r="T203" s="126">
        <f t="shared" si="32"/>
        <v>3.2183701353483221</v>
      </c>
      <c r="U203" s="126">
        <f t="shared" si="33"/>
        <v>2.3170751232682854</v>
      </c>
      <c r="V203" s="126">
        <f t="shared" si="34"/>
        <v>2.580291150590365</v>
      </c>
      <c r="W203" s="126">
        <f t="shared" si="35"/>
        <v>3.8506798713735764</v>
      </c>
      <c r="X203" s="126">
        <f t="shared" si="36"/>
        <v>2.0513456089850886</v>
      </c>
      <c r="Y203" s="126">
        <f t="shared" si="37"/>
        <v>2.059333612669942</v>
      </c>
      <c r="Z203" s="126">
        <f t="shared" si="38"/>
        <v>2.8036804993911835</v>
      </c>
      <c r="AA203" s="126">
        <f t="shared" si="39"/>
        <v>1.9157869795007061</v>
      </c>
      <c r="AB203" s="126">
        <f t="shared" si="40"/>
        <v>2.2217236946770402</v>
      </c>
    </row>
    <row r="204" spans="1:28">
      <c r="A204">
        <v>203</v>
      </c>
      <c r="B204" s="119">
        <v>0.83539094650205747</v>
      </c>
      <c r="F204">
        <v>0.88020118884316412</v>
      </c>
      <c r="G204">
        <v>0.32464563328760859</v>
      </c>
      <c r="H204">
        <v>0.65797896662094202</v>
      </c>
      <c r="I204">
        <v>0.99131229995427528</v>
      </c>
      <c r="J204">
        <v>7.7732053040695023E-3</v>
      </c>
      <c r="K204">
        <v>0.34110653863740281</v>
      </c>
      <c r="L204">
        <v>0.67443987197073618</v>
      </c>
      <c r="M204">
        <v>0.1188843164151806</v>
      </c>
      <c r="N204">
        <v>0.45221764974851392</v>
      </c>
      <c r="O204">
        <v>0.78555098308184723</v>
      </c>
      <c r="R204">
        <v>2.5</v>
      </c>
      <c r="S204" s="126">
        <f t="shared" si="31"/>
        <v>3.3881865716423061</v>
      </c>
      <c r="T204" s="126">
        <f t="shared" si="32"/>
        <v>2.4895546886264102</v>
      </c>
      <c r="U204" s="126">
        <f t="shared" si="33"/>
        <v>2.7486329567211678</v>
      </c>
      <c r="V204" s="126">
        <f t="shared" si="34"/>
        <v>4.5051142818824186</v>
      </c>
      <c r="W204" s="126">
        <f t="shared" si="35"/>
        <v>1.4304820848324464</v>
      </c>
      <c r="X204" s="126">
        <f t="shared" si="36"/>
        <v>1.542977450129704</v>
      </c>
      <c r="Y204" s="126">
        <f t="shared" si="37"/>
        <v>2.3102077932103948</v>
      </c>
      <c r="Z204" s="126">
        <f t="shared" si="38"/>
        <v>1.3490934595845725</v>
      </c>
      <c r="AA204" s="126">
        <f t="shared" si="39"/>
        <v>1.7407559926331382</v>
      </c>
      <c r="AB204" s="126">
        <f t="shared" si="40"/>
        <v>2.6891131617227924</v>
      </c>
    </row>
    <row r="205" spans="1:28">
      <c r="A205">
        <v>204</v>
      </c>
      <c r="B205" s="119">
        <v>0.27983539094650206</v>
      </c>
      <c r="F205">
        <v>0.22999542752629171</v>
      </c>
      <c r="G205">
        <v>0.56332876085962513</v>
      </c>
      <c r="H205">
        <v>0.89666209419295839</v>
      </c>
      <c r="I205">
        <v>4.4810242341106532E-2</v>
      </c>
      <c r="J205">
        <v>0.37814357567443985</v>
      </c>
      <c r="K205">
        <v>0.71147690900777327</v>
      </c>
      <c r="L205">
        <v>0.15592135345221764</v>
      </c>
      <c r="M205">
        <v>0.48925468678555095</v>
      </c>
      <c r="N205">
        <v>0.82258802011888421</v>
      </c>
      <c r="O205">
        <v>0.26703246456332874</v>
      </c>
      <c r="R205">
        <v>2.5</v>
      </c>
      <c r="S205" s="126">
        <f t="shared" si="31"/>
        <v>1.8088141385019256</v>
      </c>
      <c r="T205" s="126">
        <f t="shared" si="32"/>
        <v>2.2023223353406318</v>
      </c>
      <c r="U205" s="126">
        <f t="shared" si="33"/>
        <v>3.3101382500967231</v>
      </c>
      <c r="V205" s="126">
        <f t="shared" si="34"/>
        <v>1.4253848816410679</v>
      </c>
      <c r="W205" s="126">
        <f t="shared" si="35"/>
        <v>1.6221408913432218</v>
      </c>
      <c r="X205" s="126">
        <f t="shared" si="36"/>
        <v>2.437010126425537</v>
      </c>
      <c r="Y205" s="126">
        <f t="shared" si="37"/>
        <v>1.5523964990028989</v>
      </c>
      <c r="Z205" s="126">
        <f t="shared" si="38"/>
        <v>1.919743653117215</v>
      </c>
      <c r="AA205" s="126">
        <f t="shared" si="39"/>
        <v>2.8897557067116191</v>
      </c>
      <c r="AB205" s="126">
        <f t="shared" si="40"/>
        <v>2.1012474111520536</v>
      </c>
    </row>
    <row r="206" spans="1:28">
      <c r="A206">
        <v>205</v>
      </c>
      <c r="B206" s="119">
        <v>0.61316872427983538</v>
      </c>
      <c r="F206">
        <v>0.60036579789666211</v>
      </c>
      <c r="G206">
        <v>0.93369913122999537</v>
      </c>
      <c r="H206">
        <v>8.1847279378143567E-2</v>
      </c>
      <c r="I206">
        <v>0.41518061271147688</v>
      </c>
      <c r="J206">
        <v>0.74851394604481025</v>
      </c>
      <c r="K206">
        <v>0.19295839048925467</v>
      </c>
      <c r="L206">
        <v>0.52629172382258804</v>
      </c>
      <c r="M206">
        <v>0.8596250571559213</v>
      </c>
      <c r="N206">
        <v>0.30406950160036578</v>
      </c>
      <c r="O206">
        <v>0.6374028349336992</v>
      </c>
      <c r="R206">
        <v>2.5</v>
      </c>
      <c r="S206" s="126">
        <f t="shared" si="31"/>
        <v>2.6279691638590177</v>
      </c>
      <c r="T206" s="126">
        <f t="shared" si="32"/>
        <v>3.7229786916197067</v>
      </c>
      <c r="U206" s="126">
        <f t="shared" si="33"/>
        <v>1.8841540285011638</v>
      </c>
      <c r="V206" s="126">
        <f t="shared" si="34"/>
        <v>1.9319994997331325</v>
      </c>
      <c r="W206" s="126">
        <f t="shared" si="35"/>
        <v>2.6852184867678335</v>
      </c>
      <c r="X206" s="126">
        <f t="shared" si="36"/>
        <v>1.7961786727919056</v>
      </c>
      <c r="Y206" s="126">
        <f t="shared" si="37"/>
        <v>2.1188835204295415</v>
      </c>
      <c r="Z206" s="126">
        <f t="shared" si="38"/>
        <v>3.1163375302988654</v>
      </c>
      <c r="AA206" s="126">
        <f t="shared" si="39"/>
        <v>2.3050975661764239</v>
      </c>
      <c r="AB206" s="126">
        <f t="shared" si="40"/>
        <v>2.6102075059965797</v>
      </c>
    </row>
    <row r="207" spans="1:28">
      <c r="A207">
        <v>206</v>
      </c>
      <c r="B207" s="119">
        <v>0.94650205761316863</v>
      </c>
      <c r="F207">
        <v>0.97073616826703246</v>
      </c>
      <c r="G207">
        <v>2.0118884316415182E-2</v>
      </c>
      <c r="H207">
        <v>0.35345221764974849</v>
      </c>
      <c r="I207">
        <v>0.68678555098308181</v>
      </c>
      <c r="J207">
        <v>0.13122999542752628</v>
      </c>
      <c r="K207">
        <v>0.4645633287608596</v>
      </c>
      <c r="L207">
        <v>0.79789666209419297</v>
      </c>
      <c r="M207">
        <v>0.24234110653863739</v>
      </c>
      <c r="N207">
        <v>0.57567443987197087</v>
      </c>
      <c r="O207">
        <v>0.90900777320530413</v>
      </c>
      <c r="R207">
        <v>2.5</v>
      </c>
      <c r="S207" s="126">
        <f t="shared" si="31"/>
        <v>3.9785220166648925</v>
      </c>
      <c r="T207" s="126">
        <f t="shared" si="32"/>
        <v>1.4694206040910189</v>
      </c>
      <c r="U207" s="126">
        <f t="shared" si="33"/>
        <v>1.5901196110189499</v>
      </c>
      <c r="V207" s="126">
        <f t="shared" si="34"/>
        <v>2.3624006480617759</v>
      </c>
      <c r="W207" s="126">
        <f t="shared" si="35"/>
        <v>1.4248026620372012</v>
      </c>
      <c r="X207" s="126">
        <f t="shared" si="36"/>
        <v>1.8044724982742844</v>
      </c>
      <c r="Y207" s="126">
        <f t="shared" si="37"/>
        <v>2.756647286929268</v>
      </c>
      <c r="Z207" s="126">
        <f t="shared" si="38"/>
        <v>1.9708549679598306</v>
      </c>
      <c r="AA207" s="126">
        <f t="shared" si="39"/>
        <v>2.309683798715997</v>
      </c>
      <c r="AB207" s="126">
        <f t="shared" si="40"/>
        <v>3.4234101389516933</v>
      </c>
    </row>
    <row r="208" spans="1:28">
      <c r="A208">
        <v>207</v>
      </c>
      <c r="B208" s="119">
        <v>9.4650205761316872E-2</v>
      </c>
      <c r="F208">
        <v>5.715592135345221E-2</v>
      </c>
      <c r="G208">
        <v>0.39048925468678553</v>
      </c>
      <c r="H208">
        <v>0.72382258802011901</v>
      </c>
      <c r="I208">
        <v>0.16826703246456332</v>
      </c>
      <c r="J208">
        <v>0.50160036579789669</v>
      </c>
      <c r="K208">
        <v>0.83493369913122994</v>
      </c>
      <c r="L208">
        <v>0.27937814357567442</v>
      </c>
      <c r="M208">
        <v>0.61271147690900785</v>
      </c>
      <c r="N208">
        <v>0.94604481024234111</v>
      </c>
      <c r="O208">
        <v>9.4192958390489245E-2</v>
      </c>
      <c r="R208">
        <v>2.5</v>
      </c>
      <c r="S208" s="126">
        <f t="shared" si="31"/>
        <v>1.1157811601044176</v>
      </c>
      <c r="T208" s="126">
        <f t="shared" si="32"/>
        <v>1.4931882810124637</v>
      </c>
      <c r="U208" s="126">
        <f t="shared" si="33"/>
        <v>2.4023290490229852</v>
      </c>
      <c r="V208" s="126">
        <f t="shared" si="34"/>
        <v>1.5764755235932628</v>
      </c>
      <c r="W208" s="126">
        <f t="shared" si="35"/>
        <v>1.9573727505086829</v>
      </c>
      <c r="X208" s="126">
        <f t="shared" si="36"/>
        <v>2.9487318419704929</v>
      </c>
      <c r="Y208" s="126">
        <f t="shared" si="37"/>
        <v>2.1615078841070794</v>
      </c>
      <c r="Z208" s="126">
        <f t="shared" si="38"/>
        <v>2.484318345115192</v>
      </c>
      <c r="AA208" s="126">
        <f t="shared" si="39"/>
        <v>3.7363411136859468</v>
      </c>
      <c r="AB208" s="126">
        <f t="shared" si="40"/>
        <v>1.9546961276565429</v>
      </c>
    </row>
    <row r="209" spans="1:28">
      <c r="A209">
        <v>208</v>
      </c>
      <c r="B209" s="119">
        <v>0.4279835390946502</v>
      </c>
      <c r="F209">
        <v>0.42752629172382256</v>
      </c>
      <c r="G209">
        <v>0.76085962505715599</v>
      </c>
      <c r="H209">
        <v>0.20530406950160035</v>
      </c>
      <c r="I209">
        <v>0.53863740283493367</v>
      </c>
      <c r="J209">
        <v>0.87197073616826692</v>
      </c>
      <c r="K209">
        <v>0.31641518061271146</v>
      </c>
      <c r="L209">
        <v>0.64974851394604483</v>
      </c>
      <c r="M209">
        <v>0.98308184727937808</v>
      </c>
      <c r="N209">
        <v>3.2464563328760854E-2</v>
      </c>
      <c r="O209">
        <v>0.36579789666209417</v>
      </c>
      <c r="R209">
        <v>2.5</v>
      </c>
      <c r="S209" s="126">
        <f t="shared" si="31"/>
        <v>2.2675566277040002</v>
      </c>
      <c r="T209" s="126">
        <f t="shared" si="32"/>
        <v>2.8862427209323345</v>
      </c>
      <c r="U209" s="126">
        <f t="shared" si="33"/>
        <v>1.9336878724707167</v>
      </c>
      <c r="V209" s="126">
        <f t="shared" si="34"/>
        <v>2.2136058111586276</v>
      </c>
      <c r="W209" s="126">
        <f t="shared" si="35"/>
        <v>3.211057602020325</v>
      </c>
      <c r="X209" s="126">
        <f t="shared" si="36"/>
        <v>2.3815593502403587</v>
      </c>
      <c r="Y209" s="126">
        <f t="shared" si="37"/>
        <v>2.6759515572339843</v>
      </c>
      <c r="Z209" s="126">
        <f t="shared" si="38"/>
        <v>4.2569003638564622</v>
      </c>
      <c r="AA209" s="126">
        <f t="shared" si="39"/>
        <v>1.7788744437999231</v>
      </c>
      <c r="AB209" s="126">
        <f t="shared" si="40"/>
        <v>1.7728804116278984</v>
      </c>
    </row>
    <row r="210" spans="1:28">
      <c r="A210">
        <v>209</v>
      </c>
      <c r="B210" s="119">
        <v>0.76131687242798352</v>
      </c>
      <c r="F210">
        <v>0.69913122999542754</v>
      </c>
      <c r="G210">
        <v>0.14357567443987196</v>
      </c>
      <c r="H210">
        <v>0.47690900777320527</v>
      </c>
      <c r="I210">
        <v>0.81024234110653859</v>
      </c>
      <c r="J210">
        <v>0.25468678555098306</v>
      </c>
      <c r="K210">
        <v>0.58802011888431649</v>
      </c>
      <c r="L210">
        <v>0.92135345221764975</v>
      </c>
      <c r="M210">
        <v>6.9501600365797889E-2</v>
      </c>
      <c r="N210">
        <v>0.4028349336991312</v>
      </c>
      <c r="O210">
        <v>0.73616826703246463</v>
      </c>
      <c r="R210">
        <v>2.5</v>
      </c>
      <c r="S210" s="126">
        <f t="shared" si="31"/>
        <v>2.8486934246194755</v>
      </c>
      <c r="T210" s="126">
        <f t="shared" si="32"/>
        <v>1.7155705843004623</v>
      </c>
      <c r="U210" s="126">
        <f t="shared" si="33"/>
        <v>1.9762066639205811</v>
      </c>
      <c r="V210" s="126">
        <f t="shared" si="34"/>
        <v>2.8797946450507372</v>
      </c>
      <c r="W210" s="126">
        <f t="shared" si="35"/>
        <v>2.0648981208795085</v>
      </c>
      <c r="X210" s="126">
        <f t="shared" si="36"/>
        <v>2.3830260540385302</v>
      </c>
      <c r="Y210" s="126">
        <f t="shared" si="37"/>
        <v>3.5258968544040239</v>
      </c>
      <c r="Z210" s="126">
        <f t="shared" si="38"/>
        <v>1.7135406951349621</v>
      </c>
      <c r="AA210" s="126">
        <f t="shared" si="39"/>
        <v>1.8200390184520616</v>
      </c>
      <c r="AB210" s="126">
        <f t="shared" si="40"/>
        <v>2.5974035756385305</v>
      </c>
    </row>
    <row r="211" spans="1:28">
      <c r="A211">
        <v>210</v>
      </c>
      <c r="B211" s="119">
        <v>0.20576131687242796</v>
      </c>
      <c r="F211">
        <v>0.18061271147690899</v>
      </c>
      <c r="G211">
        <v>0.51394604481024242</v>
      </c>
      <c r="H211">
        <v>0.84727937814357557</v>
      </c>
      <c r="I211">
        <v>0.2917238225880201</v>
      </c>
      <c r="J211">
        <v>0.62505715592135347</v>
      </c>
      <c r="K211">
        <v>0.95839048925468673</v>
      </c>
      <c r="L211">
        <v>0.10653863740283492</v>
      </c>
      <c r="M211">
        <v>0.43987197073616824</v>
      </c>
      <c r="N211">
        <v>0.77320530406950161</v>
      </c>
      <c r="O211">
        <v>0.21764974851394603</v>
      </c>
      <c r="R211">
        <v>2.5</v>
      </c>
      <c r="S211" s="126">
        <f t="shared" si="31"/>
        <v>1.6651581933465676</v>
      </c>
      <c r="T211" s="126">
        <f t="shared" si="32"/>
        <v>2.0274748103916327</v>
      </c>
      <c r="U211" s="126">
        <f t="shared" si="33"/>
        <v>3.0260198469485449</v>
      </c>
      <c r="V211" s="126">
        <f t="shared" si="34"/>
        <v>2.2303211818365059</v>
      </c>
      <c r="W211" s="126">
        <f t="shared" si="35"/>
        <v>2.5456249380927662</v>
      </c>
      <c r="X211" s="126">
        <f t="shared" si="36"/>
        <v>3.8699648599488916</v>
      </c>
      <c r="Y211" s="126">
        <f t="shared" si="37"/>
        <v>2.0797735330835283</v>
      </c>
      <c r="Z211" s="126">
        <f t="shared" si="38"/>
        <v>2.082234472250462</v>
      </c>
      <c r="AA211" s="126">
        <f t="shared" si="39"/>
        <v>2.8264002357965659</v>
      </c>
      <c r="AB211" s="126">
        <f t="shared" si="40"/>
        <v>1.9388041455576661</v>
      </c>
    </row>
    <row r="212" spans="1:28">
      <c r="A212">
        <v>211</v>
      </c>
      <c r="B212" s="119">
        <v>0.53909465020576119</v>
      </c>
      <c r="F212">
        <v>0.5509830818472794</v>
      </c>
      <c r="G212">
        <v>0.88431641518061266</v>
      </c>
      <c r="H212">
        <v>0.32876085962505713</v>
      </c>
      <c r="I212">
        <v>0.66209419295839056</v>
      </c>
      <c r="J212">
        <v>0.99542752629172382</v>
      </c>
      <c r="K212">
        <v>1.1888431641518062E-2</v>
      </c>
      <c r="L212">
        <v>0.34522176497485141</v>
      </c>
      <c r="M212">
        <v>0.67855509830818472</v>
      </c>
      <c r="N212">
        <v>0.12299954275262917</v>
      </c>
      <c r="O212">
        <v>0.45633287608596251</v>
      </c>
      <c r="R212">
        <v>2.5</v>
      </c>
      <c r="S212" s="126">
        <f t="shared" si="31"/>
        <v>2.5239218408410462</v>
      </c>
      <c r="T212" s="126">
        <f t="shared" si="32"/>
        <v>3.417407901111698</v>
      </c>
      <c r="U212" s="126">
        <f t="shared" si="33"/>
        <v>2.5136519766583754</v>
      </c>
      <c r="V212" s="126">
        <f t="shared" si="34"/>
        <v>2.7700081911282162</v>
      </c>
      <c r="W212" s="126">
        <f t="shared" si="35"/>
        <v>4.7038468684252086</v>
      </c>
      <c r="X212" s="126">
        <f t="shared" si="36"/>
        <v>1.6612425087506422</v>
      </c>
      <c r="Y212" s="126">
        <f t="shared" si="37"/>
        <v>1.6681886583177947</v>
      </c>
      <c r="Z212" s="126">
        <f t="shared" si="38"/>
        <v>2.382587619011399</v>
      </c>
      <c r="AA212" s="126">
        <f t="shared" si="39"/>
        <v>1.4023472449524226</v>
      </c>
      <c r="AB212" s="126">
        <f t="shared" si="40"/>
        <v>1.7760857946019142</v>
      </c>
    </row>
    <row r="213" spans="1:28">
      <c r="A213">
        <v>212</v>
      </c>
      <c r="B213" s="119">
        <v>0.87242798353909445</v>
      </c>
      <c r="F213">
        <v>0.78966620941929577</v>
      </c>
      <c r="G213">
        <v>0.23411065386374025</v>
      </c>
      <c r="H213">
        <v>0.56744398719707367</v>
      </c>
      <c r="I213">
        <v>0.90077732053040693</v>
      </c>
      <c r="J213">
        <v>4.8925468678555094E-2</v>
      </c>
      <c r="K213">
        <v>0.38225880201188844</v>
      </c>
      <c r="L213">
        <v>0.71559213534522181</v>
      </c>
      <c r="M213">
        <v>0.16003657978966618</v>
      </c>
      <c r="N213">
        <v>0.49336991312299955</v>
      </c>
      <c r="O213">
        <v>0.82670324645633275</v>
      </c>
      <c r="R213">
        <v>2.5</v>
      </c>
      <c r="S213" s="126">
        <f t="shared" si="31"/>
        <v>3.0824088586547851</v>
      </c>
      <c r="T213" s="126">
        <f t="shared" si="32"/>
        <v>2.1126558935285882</v>
      </c>
      <c r="U213" s="126">
        <f t="shared" si="33"/>
        <v>2.3636574342264374</v>
      </c>
      <c r="V213" s="126">
        <f t="shared" si="34"/>
        <v>3.410389037263247</v>
      </c>
      <c r="W213" s="126">
        <f t="shared" si="35"/>
        <v>1.5104457742192059</v>
      </c>
      <c r="X213" s="126">
        <f t="shared" si="36"/>
        <v>1.6738055931278963</v>
      </c>
      <c r="Y213" s="126">
        <f t="shared" si="37"/>
        <v>2.4729502847717173</v>
      </c>
      <c r="Z213" s="126">
        <f t="shared" si="38"/>
        <v>1.5845273832442777</v>
      </c>
      <c r="AA213" s="126">
        <f t="shared" si="39"/>
        <v>1.9444027859327011</v>
      </c>
      <c r="AB213" s="126">
        <f t="shared" si="40"/>
        <v>2.915300318644404</v>
      </c>
    </row>
    <row r="214" spans="1:28">
      <c r="A214">
        <v>213</v>
      </c>
      <c r="B214" s="119">
        <v>0.3168724279835391</v>
      </c>
      <c r="F214">
        <v>0.27114769090077734</v>
      </c>
      <c r="G214">
        <v>0.60448102423411065</v>
      </c>
      <c r="H214">
        <v>0.93781435756744391</v>
      </c>
      <c r="I214">
        <v>8.5962505715592136E-2</v>
      </c>
      <c r="J214">
        <v>0.41929583904892548</v>
      </c>
      <c r="K214">
        <v>0.75262917238225879</v>
      </c>
      <c r="L214">
        <v>0.19707361682670321</v>
      </c>
      <c r="M214">
        <v>0.53040695016003658</v>
      </c>
      <c r="N214">
        <v>0.86374028349336984</v>
      </c>
      <c r="O214">
        <v>0.30818472793781437</v>
      </c>
      <c r="R214">
        <v>2.5</v>
      </c>
      <c r="S214" s="126">
        <f t="shared" si="31"/>
        <v>1.9156391816020828</v>
      </c>
      <c r="T214" s="126">
        <f t="shared" si="32"/>
        <v>2.3430691895884643</v>
      </c>
      <c r="U214" s="126">
        <f t="shared" si="33"/>
        <v>3.6068090463312474</v>
      </c>
      <c r="V214" s="126">
        <f t="shared" si="34"/>
        <v>1.8477962023217438</v>
      </c>
      <c r="W214" s="126">
        <f t="shared" si="35"/>
        <v>1.9224219941715694</v>
      </c>
      <c r="X214" s="126">
        <f t="shared" si="36"/>
        <v>2.6910991780791007</v>
      </c>
      <c r="Y214" s="126">
        <f t="shared" si="37"/>
        <v>1.8114449261399828</v>
      </c>
      <c r="Z214" s="126">
        <f t="shared" si="38"/>
        <v>2.1350860175493076</v>
      </c>
      <c r="AA214" s="126">
        <f t="shared" si="39"/>
        <v>3.1398574198730591</v>
      </c>
      <c r="AB214" s="126">
        <f t="shared" si="40"/>
        <v>2.326593025518898</v>
      </c>
    </row>
    <row r="215" spans="1:28">
      <c r="A215">
        <v>214</v>
      </c>
      <c r="B215" s="119">
        <v>0.65020576131687235</v>
      </c>
      <c r="F215">
        <v>0.64151806127114774</v>
      </c>
      <c r="G215">
        <v>0.974851394604481</v>
      </c>
      <c r="H215">
        <v>2.4234110653863741E-2</v>
      </c>
      <c r="I215">
        <v>0.35756744398719709</v>
      </c>
      <c r="J215">
        <v>0.69090077732053035</v>
      </c>
      <c r="K215">
        <v>0.13534522176497482</v>
      </c>
      <c r="L215">
        <v>0.46867855509830819</v>
      </c>
      <c r="M215">
        <v>0.80201188843164151</v>
      </c>
      <c r="N215">
        <v>0.24645633287608593</v>
      </c>
      <c r="O215">
        <v>0.57978966620941941</v>
      </c>
      <c r="R215">
        <v>2.5</v>
      </c>
      <c r="S215" s="126">
        <f t="shared" si="31"/>
        <v>2.7172334979597204</v>
      </c>
      <c r="T215" s="126">
        <f t="shared" si="32"/>
        <v>4.1418953183668927</v>
      </c>
      <c r="U215" s="126">
        <f t="shared" si="33"/>
        <v>1.6159156468529816</v>
      </c>
      <c r="V215" s="126">
        <f t="shared" si="34"/>
        <v>1.6728605898206097</v>
      </c>
      <c r="W215" s="126">
        <f t="shared" si="35"/>
        <v>2.4135918130305729</v>
      </c>
      <c r="X215" s="126">
        <f t="shared" si="36"/>
        <v>1.4663029854894747</v>
      </c>
      <c r="Y215" s="126">
        <f t="shared" si="37"/>
        <v>1.8338685966671968</v>
      </c>
      <c r="Z215" s="126">
        <f t="shared" si="38"/>
        <v>2.7835442933161043</v>
      </c>
      <c r="AA215" s="126">
        <f t="shared" si="39"/>
        <v>1.9951849881793269</v>
      </c>
      <c r="AB215" s="126">
        <f t="shared" si="40"/>
        <v>2.3305853690167599</v>
      </c>
    </row>
    <row r="216" spans="1:28">
      <c r="A216">
        <v>215</v>
      </c>
      <c r="B216" s="119">
        <v>0.98353909465020561</v>
      </c>
      <c r="F216">
        <v>0.91312299954275267</v>
      </c>
      <c r="G216">
        <v>6.1271147690900772E-2</v>
      </c>
      <c r="H216">
        <v>0.39460448102423412</v>
      </c>
      <c r="I216">
        <v>0.72793781435756755</v>
      </c>
      <c r="J216">
        <v>0.17238225880201186</v>
      </c>
      <c r="K216">
        <v>0.50571559213534523</v>
      </c>
      <c r="L216">
        <v>0.83904892546867849</v>
      </c>
      <c r="M216">
        <v>0.28349336991312302</v>
      </c>
      <c r="N216">
        <v>0.61682670324645639</v>
      </c>
      <c r="O216">
        <v>0.95016003657978965</v>
      </c>
      <c r="R216">
        <v>2.5</v>
      </c>
      <c r="S216" s="126">
        <f t="shared" si="31"/>
        <v>3.5401533593423231</v>
      </c>
      <c r="T216" s="126">
        <f t="shared" si="32"/>
        <v>1.6673605542694339</v>
      </c>
      <c r="U216" s="126">
        <f t="shared" si="33"/>
        <v>1.7792425050765135</v>
      </c>
      <c r="V216" s="126">
        <f t="shared" si="34"/>
        <v>2.5562884987519938</v>
      </c>
      <c r="W216" s="126">
        <f t="shared" si="35"/>
        <v>1.6672526944390107</v>
      </c>
      <c r="X216" s="126">
        <f t="shared" si="36"/>
        <v>2.0115058466354161</v>
      </c>
      <c r="Y216" s="126">
        <f t="shared" si="37"/>
        <v>2.9897213446000381</v>
      </c>
      <c r="Z216" s="126">
        <f t="shared" si="38"/>
        <v>2.1921675940834979</v>
      </c>
      <c r="AA216" s="126">
        <f t="shared" si="39"/>
        <v>2.5086060261978509</v>
      </c>
      <c r="AB216" s="126">
        <f t="shared" si="40"/>
        <v>3.7805095870906982</v>
      </c>
    </row>
    <row r="217" spans="1:28">
      <c r="A217">
        <v>216</v>
      </c>
      <c r="B217" s="119">
        <v>3.292181069958848E-2</v>
      </c>
      <c r="F217">
        <v>9.8308184727937814E-2</v>
      </c>
      <c r="G217">
        <v>0.43164151806127116</v>
      </c>
      <c r="H217">
        <v>0.76497485139460453</v>
      </c>
      <c r="I217">
        <v>0.20941929583904889</v>
      </c>
      <c r="J217">
        <v>0.54275262917238221</v>
      </c>
      <c r="K217">
        <v>0.87608596250571547</v>
      </c>
      <c r="L217">
        <v>0.32053040695016005</v>
      </c>
      <c r="M217">
        <v>0.65386374028349337</v>
      </c>
      <c r="N217">
        <v>0.98719707361682663</v>
      </c>
      <c r="O217">
        <v>3.6579789666209415E-2</v>
      </c>
      <c r="R217">
        <v>2.5</v>
      </c>
      <c r="S217" s="126">
        <f t="shared" si="31"/>
        <v>1.3532029341642711</v>
      </c>
      <c r="T217" s="126">
        <f t="shared" si="32"/>
        <v>1.6998195476025169</v>
      </c>
      <c r="U217" s="126">
        <f t="shared" si="33"/>
        <v>2.6118899695265503</v>
      </c>
      <c r="V217" s="126">
        <f t="shared" si="34"/>
        <v>1.8076638306578225</v>
      </c>
      <c r="W217" s="126">
        <f t="shared" si="35"/>
        <v>2.1588187973262398</v>
      </c>
      <c r="X217" s="126">
        <f t="shared" si="36"/>
        <v>3.1999223742966567</v>
      </c>
      <c r="Y217" s="126">
        <f t="shared" si="37"/>
        <v>2.3854733717936005</v>
      </c>
      <c r="Z217" s="126">
        <f t="shared" si="38"/>
        <v>2.6870999017356718</v>
      </c>
      <c r="AA217" s="126">
        <f t="shared" si="39"/>
        <v>4.353331158623698</v>
      </c>
      <c r="AB217" s="126">
        <f t="shared" si="40"/>
        <v>1.8718070928136843</v>
      </c>
    </row>
    <row r="218" spans="1:28">
      <c r="A218">
        <v>217</v>
      </c>
      <c r="B218" s="119">
        <v>0.36625514403292181</v>
      </c>
      <c r="F218">
        <v>0.36991312299954276</v>
      </c>
      <c r="G218">
        <v>0.70324645633287608</v>
      </c>
      <c r="H218">
        <v>0.1476909007773205</v>
      </c>
      <c r="I218">
        <v>0.48102423411065387</v>
      </c>
      <c r="J218">
        <v>0.81435756744398713</v>
      </c>
      <c r="K218">
        <v>0.25880201188843166</v>
      </c>
      <c r="L218">
        <v>0.59213534522176503</v>
      </c>
      <c r="M218">
        <v>0.92546867855509829</v>
      </c>
      <c r="N218">
        <v>7.3616826703246457E-2</v>
      </c>
      <c r="O218">
        <v>0.4069501600365798</v>
      </c>
      <c r="R218">
        <v>2.5</v>
      </c>
      <c r="S218" s="126">
        <f t="shared" si="31"/>
        <v>2.1443250097013005</v>
      </c>
      <c r="T218" s="126">
        <f t="shared" si="32"/>
        <v>2.6797110388267438</v>
      </c>
      <c r="U218" s="126">
        <f t="shared" si="33"/>
        <v>1.6454891546834376</v>
      </c>
      <c r="V218" s="126">
        <f t="shared" si="34"/>
        <v>1.9495037143221821</v>
      </c>
      <c r="W218" s="126">
        <f t="shared" si="35"/>
        <v>2.8789762864615835</v>
      </c>
      <c r="X218" s="126">
        <f t="shared" si="36"/>
        <v>2.0750197400003336</v>
      </c>
      <c r="Y218" s="126">
        <f t="shared" si="37"/>
        <v>2.3968448533780267</v>
      </c>
      <c r="Z218" s="126">
        <f t="shared" si="38"/>
        <v>3.5564446002571013</v>
      </c>
      <c r="AA218" s="126">
        <f t="shared" si="39"/>
        <v>1.75375426259746</v>
      </c>
      <c r="AB218" s="126">
        <f t="shared" si="40"/>
        <v>1.8490085740650264</v>
      </c>
    </row>
    <row r="219" spans="1:28">
      <c r="A219">
        <v>218</v>
      </c>
      <c r="B219" s="119">
        <v>0.69958847736625507</v>
      </c>
      <c r="F219">
        <v>0.74028349336991317</v>
      </c>
      <c r="G219">
        <v>0.18472793781435753</v>
      </c>
      <c r="H219">
        <v>0.51806127114769096</v>
      </c>
      <c r="I219">
        <v>0.85139460448102411</v>
      </c>
      <c r="J219">
        <v>0.2958390489254687</v>
      </c>
      <c r="K219">
        <v>0.62917238225880201</v>
      </c>
      <c r="L219">
        <v>0.96250571559213527</v>
      </c>
      <c r="M219">
        <v>0.11065386374028349</v>
      </c>
      <c r="N219">
        <v>0.44398719707361683</v>
      </c>
      <c r="O219">
        <v>0.77732053040695015</v>
      </c>
      <c r="R219">
        <v>2.5</v>
      </c>
      <c r="S219" s="126">
        <f t="shared" si="31"/>
        <v>2.9495798037513872</v>
      </c>
      <c r="T219" s="126">
        <f t="shared" si="32"/>
        <v>1.9039339744652291</v>
      </c>
      <c r="U219" s="126">
        <f t="shared" si="33"/>
        <v>2.1559985027479613</v>
      </c>
      <c r="V219" s="126">
        <f t="shared" si="34"/>
        <v>3.1051313505007263</v>
      </c>
      <c r="W219" s="126">
        <f t="shared" si="35"/>
        <v>2.2799389219823398</v>
      </c>
      <c r="X219" s="126">
        <f t="shared" si="36"/>
        <v>2.5795301061885678</v>
      </c>
      <c r="Y219" s="126">
        <f t="shared" si="37"/>
        <v>3.9267839231236477</v>
      </c>
      <c r="Z219" s="126">
        <f t="shared" si="38"/>
        <v>2.1265506637555265</v>
      </c>
      <c r="AA219" s="126">
        <f t="shared" si="39"/>
        <v>2.1143440565978882</v>
      </c>
      <c r="AB219" s="126">
        <f t="shared" si="40"/>
        <v>2.8538636370135428</v>
      </c>
    </row>
    <row r="220" spans="1:28">
      <c r="A220">
        <v>219</v>
      </c>
      <c r="B220" s="119">
        <v>0.14403292181069957</v>
      </c>
      <c r="F220">
        <v>0.22176497485139457</v>
      </c>
      <c r="G220">
        <v>0.55509830818472794</v>
      </c>
      <c r="H220">
        <v>0.8884316415180612</v>
      </c>
      <c r="I220">
        <v>0.33287608596250573</v>
      </c>
      <c r="J220">
        <v>0.6662094192958391</v>
      </c>
      <c r="K220">
        <v>0.99954275262917236</v>
      </c>
      <c r="L220">
        <v>1.5241579027587258E-4</v>
      </c>
      <c r="M220">
        <v>0.33348574912360918</v>
      </c>
      <c r="N220">
        <v>0.66681908245694255</v>
      </c>
      <c r="O220">
        <v>0.11126352690138698</v>
      </c>
      <c r="R220">
        <v>2.5</v>
      </c>
      <c r="S220" s="126">
        <f t="shared" si="31"/>
        <v>1.7862277493422225</v>
      </c>
      <c r="T220" s="126">
        <f t="shared" si="32"/>
        <v>2.1737640232099675</v>
      </c>
      <c r="U220" s="126">
        <f t="shared" si="33"/>
        <v>3.2590570497145324</v>
      </c>
      <c r="V220" s="126">
        <f t="shared" si="34"/>
        <v>2.4434281225841175</v>
      </c>
      <c r="W220" s="126">
        <f t="shared" si="35"/>
        <v>2.7440213385585026</v>
      </c>
      <c r="X220" s="126">
        <f t="shared" si="36"/>
        <v>5.2755722421216165</v>
      </c>
      <c r="Y220" s="126">
        <f t="shared" si="37"/>
        <v>0.834746023840232</v>
      </c>
      <c r="Z220" s="126">
        <f t="shared" si="38"/>
        <v>1.2263526282083814</v>
      </c>
      <c r="AA220" s="126">
        <f t="shared" si="39"/>
        <v>2.1337019229073571</v>
      </c>
      <c r="AB220" s="126">
        <f t="shared" si="40"/>
        <v>1.2280052991603108</v>
      </c>
    </row>
    <row r="221" spans="1:28">
      <c r="A221">
        <v>220</v>
      </c>
      <c r="B221" s="119">
        <v>0.47736625514403291</v>
      </c>
      <c r="F221">
        <v>0.44459686023472028</v>
      </c>
      <c r="G221">
        <v>0.7779301935680536</v>
      </c>
      <c r="H221">
        <v>0.22237463801249807</v>
      </c>
      <c r="I221">
        <v>0.5557079713458315</v>
      </c>
      <c r="J221">
        <v>0.88904130467916476</v>
      </c>
      <c r="K221">
        <v>3.718945282731291E-2</v>
      </c>
      <c r="L221">
        <v>0.37052278616064621</v>
      </c>
      <c r="M221">
        <v>0.70385611949397964</v>
      </c>
      <c r="N221">
        <v>0.148300563938424</v>
      </c>
      <c r="O221">
        <v>0.48163389727175732</v>
      </c>
      <c r="R221">
        <v>2.5</v>
      </c>
      <c r="S221" s="126">
        <f t="shared" si="31"/>
        <v>2.3033125819435512</v>
      </c>
      <c r="T221" s="126">
        <f t="shared" si="32"/>
        <v>2.9505271009937211</v>
      </c>
      <c r="U221" s="126">
        <f t="shared" si="33"/>
        <v>2.0143518751742602</v>
      </c>
      <c r="V221" s="126">
        <f t="shared" si="34"/>
        <v>2.2896919605928292</v>
      </c>
      <c r="W221" s="126">
        <f t="shared" si="35"/>
        <v>3.3199748635770225</v>
      </c>
      <c r="X221" s="126">
        <f t="shared" si="36"/>
        <v>1.3586763555563417</v>
      </c>
      <c r="Y221" s="126">
        <f t="shared" si="37"/>
        <v>1.5720273012166079</v>
      </c>
      <c r="Z221" s="126">
        <f t="shared" si="38"/>
        <v>2.3935283245180572</v>
      </c>
      <c r="AA221" s="126">
        <f t="shared" si="39"/>
        <v>1.5038298788241895</v>
      </c>
      <c r="AB221" s="126">
        <f t="shared" si="40"/>
        <v>1.8795676030499593</v>
      </c>
    </row>
    <row r="222" spans="1:28">
      <c r="A222">
        <v>221</v>
      </c>
      <c r="B222" s="119">
        <v>0.81069958847736612</v>
      </c>
      <c r="F222">
        <v>0.81496723060509058</v>
      </c>
      <c r="G222">
        <v>0.25941167504953511</v>
      </c>
      <c r="H222">
        <v>0.59274500838286848</v>
      </c>
      <c r="I222">
        <v>0.92607834171620174</v>
      </c>
      <c r="J222">
        <v>7.4226489864349945E-2</v>
      </c>
      <c r="K222">
        <v>0.40755982319768325</v>
      </c>
      <c r="L222">
        <v>0.74089315653101662</v>
      </c>
      <c r="M222">
        <v>0.18533760097546104</v>
      </c>
      <c r="N222">
        <v>0.51867093430879441</v>
      </c>
      <c r="O222">
        <v>0.85200426764212767</v>
      </c>
      <c r="R222">
        <v>2.5</v>
      </c>
      <c r="S222" s="126">
        <f t="shared" si="31"/>
        <v>3.1575374202539024</v>
      </c>
      <c r="T222" s="126">
        <f t="shared" si="32"/>
        <v>2.2165775825484211</v>
      </c>
      <c r="U222" s="126">
        <f t="shared" si="33"/>
        <v>2.4692872166599642</v>
      </c>
      <c r="V222" s="126">
        <f t="shared" si="34"/>
        <v>3.5964346852677567</v>
      </c>
      <c r="W222" s="126">
        <f t="shared" si="35"/>
        <v>1.7774451068491064</v>
      </c>
      <c r="X222" s="126">
        <f t="shared" si="36"/>
        <v>1.8622112223043148</v>
      </c>
      <c r="Y222" s="126">
        <f t="shared" si="37"/>
        <v>2.6305792373890071</v>
      </c>
      <c r="Z222" s="126">
        <f t="shared" si="38"/>
        <v>1.7454879151455209</v>
      </c>
      <c r="AA222" s="126">
        <f t="shared" si="39"/>
        <v>2.0776253092889614</v>
      </c>
      <c r="AB222" s="126">
        <f t="shared" si="40"/>
        <v>3.0679141456602625</v>
      </c>
    </row>
    <row r="223" spans="1:28">
      <c r="A223">
        <v>222</v>
      </c>
      <c r="B223" s="119">
        <v>0.2551440329218107</v>
      </c>
      <c r="F223">
        <v>0.29644871208657214</v>
      </c>
      <c r="G223">
        <v>0.62978204541990557</v>
      </c>
      <c r="H223">
        <v>0.96311537875323883</v>
      </c>
      <c r="I223">
        <v>1.249809480262155E-2</v>
      </c>
      <c r="J223">
        <v>0.34583142813595485</v>
      </c>
      <c r="K223">
        <v>0.67916476146928817</v>
      </c>
      <c r="L223">
        <v>0.12360920591373266</v>
      </c>
      <c r="M223">
        <v>0.45694253924706596</v>
      </c>
      <c r="N223">
        <v>0.79027587258039933</v>
      </c>
      <c r="O223">
        <v>0.23472031702484375</v>
      </c>
      <c r="R223">
        <v>2.5</v>
      </c>
      <c r="S223" s="126">
        <f t="shared" si="31"/>
        <v>1.9772547053865344</v>
      </c>
      <c r="T223" s="126">
        <f t="shared" si="32"/>
        <v>2.4287322186032427</v>
      </c>
      <c r="U223" s="126">
        <f t="shared" si="33"/>
        <v>3.8571852407711194</v>
      </c>
      <c r="V223" s="126">
        <f t="shared" si="34"/>
        <v>1.251591206516812</v>
      </c>
      <c r="W223" s="126">
        <f t="shared" si="35"/>
        <v>1.4636619518755669</v>
      </c>
      <c r="X223" s="126">
        <f t="shared" si="36"/>
        <v>2.281196547766529</v>
      </c>
      <c r="Y223" s="126">
        <f t="shared" si="37"/>
        <v>1.3538543055056311</v>
      </c>
      <c r="Z223" s="126">
        <f t="shared" si="38"/>
        <v>1.7529811991674045</v>
      </c>
      <c r="AA223" s="126">
        <f t="shared" si="39"/>
        <v>2.7087018568710635</v>
      </c>
      <c r="AB223" s="126">
        <f t="shared" si="40"/>
        <v>1.9264693521434966</v>
      </c>
    </row>
    <row r="224" spans="1:28">
      <c r="A224">
        <v>223</v>
      </c>
      <c r="B224" s="119">
        <v>0.58847736625514402</v>
      </c>
      <c r="F224">
        <v>0.56805365035817723</v>
      </c>
      <c r="G224">
        <v>0.90138698369151049</v>
      </c>
      <c r="H224">
        <v>4.9535131839658589E-2</v>
      </c>
      <c r="I224">
        <v>0.38286846517299189</v>
      </c>
      <c r="J224">
        <v>0.71620179850632537</v>
      </c>
      <c r="K224">
        <v>0.16064624295076968</v>
      </c>
      <c r="L224">
        <v>0.49397957628410299</v>
      </c>
      <c r="M224">
        <v>0.82731290961743631</v>
      </c>
      <c r="N224">
        <v>0.27175735406188078</v>
      </c>
      <c r="O224">
        <v>0.60509068739521421</v>
      </c>
      <c r="R224">
        <v>2.5</v>
      </c>
      <c r="S224" s="126">
        <f t="shared" si="31"/>
        <v>2.5596155272433787</v>
      </c>
      <c r="T224" s="126">
        <f t="shared" si="32"/>
        <v>3.5117657295355169</v>
      </c>
      <c r="U224" s="126">
        <f t="shared" si="33"/>
        <v>1.5663341015412806</v>
      </c>
      <c r="V224" s="126">
        <f t="shared" si="34"/>
        <v>1.7032130497974947</v>
      </c>
      <c r="W224" s="126">
        <f t="shared" si="35"/>
        <v>2.48921385123655</v>
      </c>
      <c r="X224" s="126">
        <f t="shared" si="36"/>
        <v>1.5947652664791341</v>
      </c>
      <c r="Y224" s="126">
        <f t="shared" si="37"/>
        <v>1.9508089630887366</v>
      </c>
      <c r="Z224" s="126">
        <f t="shared" si="38"/>
        <v>2.9204851620353955</v>
      </c>
      <c r="AA224" s="126">
        <f t="shared" si="39"/>
        <v>2.1284917693490719</v>
      </c>
      <c r="AB224" s="126">
        <f t="shared" si="40"/>
        <v>2.4513546642599433</v>
      </c>
    </row>
    <row r="225" spans="1:28">
      <c r="A225">
        <v>224</v>
      </c>
      <c r="B225" s="119">
        <v>0.92181069958847728</v>
      </c>
      <c r="F225">
        <v>0.93842402072854747</v>
      </c>
      <c r="G225">
        <v>8.6572168876695624E-2</v>
      </c>
      <c r="H225">
        <v>0.41990550221002892</v>
      </c>
      <c r="I225">
        <v>0.75323883554336235</v>
      </c>
      <c r="J225">
        <v>0.19768327998780671</v>
      </c>
      <c r="K225">
        <v>0.53101661332114003</v>
      </c>
      <c r="L225">
        <v>0.86434994665447329</v>
      </c>
      <c r="M225">
        <v>0.30879439109891782</v>
      </c>
      <c r="N225">
        <v>0.64212772443225119</v>
      </c>
      <c r="O225">
        <v>0.97546105776558445</v>
      </c>
      <c r="R225">
        <v>2.5</v>
      </c>
      <c r="S225" s="126">
        <f t="shared" si="31"/>
        <v>3.6898031222174521</v>
      </c>
      <c r="T225" s="126">
        <f t="shared" si="32"/>
        <v>1.8927049258028212</v>
      </c>
      <c r="U225" s="126">
        <f t="shared" si="33"/>
        <v>1.9462797955720148</v>
      </c>
      <c r="V225" s="126">
        <f t="shared" si="34"/>
        <v>2.7046824958089868</v>
      </c>
      <c r="W225" s="126">
        <f t="shared" si="35"/>
        <v>1.8200823881274932</v>
      </c>
      <c r="X225" s="126">
        <f t="shared" si="36"/>
        <v>2.140691412476555</v>
      </c>
      <c r="Y225" s="126">
        <f t="shared" si="37"/>
        <v>3.144979551993635</v>
      </c>
      <c r="Z225" s="126">
        <f t="shared" si="38"/>
        <v>2.3305957932956423</v>
      </c>
      <c r="AA225" s="126">
        <f t="shared" si="39"/>
        <v>2.633437407851408</v>
      </c>
      <c r="AB225" s="126">
        <f t="shared" si="40"/>
        <v>4.1084289011650315</v>
      </c>
    </row>
    <row r="226" spans="1:28">
      <c r="A226">
        <v>225</v>
      </c>
      <c r="B226" s="119">
        <v>6.9958847736625515E-2</v>
      </c>
      <c r="F226">
        <v>2.4843773814967229E-2</v>
      </c>
      <c r="G226">
        <v>0.35817710714830053</v>
      </c>
      <c r="H226">
        <v>0.6915104404816339</v>
      </c>
      <c r="I226">
        <v>0.13595488492607832</v>
      </c>
      <c r="J226">
        <v>0.46928821825941164</v>
      </c>
      <c r="K226">
        <v>0.80262155159274495</v>
      </c>
      <c r="L226">
        <v>0.24706599603718943</v>
      </c>
      <c r="M226">
        <v>0.58039932937052285</v>
      </c>
      <c r="N226">
        <v>0.91373266270385611</v>
      </c>
      <c r="O226">
        <v>6.1880810852004267E-2</v>
      </c>
      <c r="R226">
        <v>2.5</v>
      </c>
      <c r="S226" s="126">
        <f t="shared" si="31"/>
        <v>0.79943862142523692</v>
      </c>
      <c r="T226" s="126">
        <f t="shared" si="32"/>
        <v>1.2638461009074717</v>
      </c>
      <c r="U226" s="126">
        <f t="shared" si="33"/>
        <v>2.2094488972925124</v>
      </c>
      <c r="V226" s="126">
        <f t="shared" si="34"/>
        <v>1.3660091625566233</v>
      </c>
      <c r="W226" s="126">
        <f t="shared" si="35"/>
        <v>1.7847252028281897</v>
      </c>
      <c r="X226" s="126">
        <f t="shared" si="36"/>
        <v>2.7606536216966409</v>
      </c>
      <c r="Y226" s="126">
        <f t="shared" si="37"/>
        <v>1.9852735758418489</v>
      </c>
      <c r="Z226" s="126">
        <f t="shared" si="38"/>
        <v>2.3268903669326302</v>
      </c>
      <c r="AA226" s="126">
        <f t="shared" si="39"/>
        <v>3.4563359407927488</v>
      </c>
      <c r="AB226" s="126">
        <f t="shared" si="40"/>
        <v>1.6293704876896251</v>
      </c>
    </row>
    <row r="227" spans="1:28">
      <c r="A227">
        <v>226</v>
      </c>
      <c r="B227" s="119">
        <v>0.40329218106995884</v>
      </c>
      <c r="F227">
        <v>0.39521414418533757</v>
      </c>
      <c r="G227">
        <v>0.72854747751867099</v>
      </c>
      <c r="H227">
        <v>0.17299192196311536</v>
      </c>
      <c r="I227">
        <v>0.50632525529644878</v>
      </c>
      <c r="J227">
        <v>0.83965858862978193</v>
      </c>
      <c r="K227">
        <v>0.28410303307422646</v>
      </c>
      <c r="L227">
        <v>0.61743636640755983</v>
      </c>
      <c r="M227">
        <v>0.95076969974089309</v>
      </c>
      <c r="N227">
        <v>9.8917847889041302E-2</v>
      </c>
      <c r="O227">
        <v>0.4322511812223746</v>
      </c>
      <c r="R227">
        <v>2.5</v>
      </c>
      <c r="S227" s="126">
        <f t="shared" si="31"/>
        <v>2.1990331297205219</v>
      </c>
      <c r="T227" s="126">
        <f t="shared" si="32"/>
        <v>2.7687911646151915</v>
      </c>
      <c r="U227" s="126">
        <f t="shared" si="33"/>
        <v>1.7760238430547326</v>
      </c>
      <c r="V227" s="126">
        <f t="shared" si="34"/>
        <v>2.0674348280653971</v>
      </c>
      <c r="W227" s="126">
        <f t="shared" si="35"/>
        <v>3.0198925060756769</v>
      </c>
      <c r="X227" s="126">
        <f t="shared" si="36"/>
        <v>2.2088157608303218</v>
      </c>
      <c r="Y227" s="126">
        <f t="shared" si="37"/>
        <v>2.5182910640597407</v>
      </c>
      <c r="Z227" s="126">
        <f t="shared" si="38"/>
        <v>3.7902894216049257</v>
      </c>
      <c r="AA227" s="126">
        <f t="shared" si="39"/>
        <v>2.0045970830295978</v>
      </c>
      <c r="AB227" s="126">
        <f t="shared" si="40"/>
        <v>2.0284893615414701</v>
      </c>
    </row>
    <row r="228" spans="1:28">
      <c r="A228">
        <v>227</v>
      </c>
      <c r="B228" s="119">
        <v>0.73662551440329216</v>
      </c>
      <c r="F228">
        <v>0.76558451455570797</v>
      </c>
      <c r="G228">
        <v>0.21002895900015239</v>
      </c>
      <c r="H228">
        <v>0.54336229233348576</v>
      </c>
      <c r="I228">
        <v>0.87669562566681902</v>
      </c>
      <c r="J228">
        <v>0.3211400701112635</v>
      </c>
      <c r="K228">
        <v>0.65447340344459692</v>
      </c>
      <c r="L228">
        <v>0.98780673677793018</v>
      </c>
      <c r="M228">
        <v>4.2676421277244329E-3</v>
      </c>
      <c r="N228">
        <v>0.33760097546105772</v>
      </c>
      <c r="O228">
        <v>0.67093430879439109</v>
      </c>
      <c r="R228">
        <v>2.5</v>
      </c>
      <c r="S228" s="126">
        <f t="shared" si="31"/>
        <v>3.0156980852118762</v>
      </c>
      <c r="T228" s="126">
        <f t="shared" si="32"/>
        <v>2.0123639271654232</v>
      </c>
      <c r="U228" s="126">
        <f t="shared" si="33"/>
        <v>2.2629689160031394</v>
      </c>
      <c r="V228" s="126">
        <f t="shared" si="34"/>
        <v>3.2547301750790201</v>
      </c>
      <c r="W228" s="126">
        <f t="shared" si="35"/>
        <v>2.4144243797268894</v>
      </c>
      <c r="X228" s="126">
        <f t="shared" si="36"/>
        <v>2.7030142687355299</v>
      </c>
      <c r="Y228" s="126">
        <f t="shared" si="37"/>
        <v>4.3768743315891765</v>
      </c>
      <c r="Z228" s="126">
        <f t="shared" si="38"/>
        <v>1.1922152913907107</v>
      </c>
      <c r="AA228" s="126">
        <f t="shared" si="39"/>
        <v>1.4153276405532424</v>
      </c>
      <c r="AB228" s="126">
        <f t="shared" si="40"/>
        <v>2.2380406065065164</v>
      </c>
    </row>
    <row r="229" spans="1:28">
      <c r="A229">
        <v>228</v>
      </c>
      <c r="B229" s="119">
        <v>0.18106995884773661</v>
      </c>
      <c r="F229">
        <v>0.11537875323883554</v>
      </c>
      <c r="G229">
        <v>0.44871208657216882</v>
      </c>
      <c r="H229">
        <v>0.78204541990550214</v>
      </c>
      <c r="I229">
        <v>0.22648986434994664</v>
      </c>
      <c r="J229">
        <v>0.55982319768328004</v>
      </c>
      <c r="K229">
        <v>0.8931565310166133</v>
      </c>
      <c r="L229">
        <v>4.1304679164761472E-2</v>
      </c>
      <c r="M229">
        <v>0.37463801249809475</v>
      </c>
      <c r="N229">
        <v>0.70797134583142818</v>
      </c>
      <c r="O229">
        <v>0.15241579027587257</v>
      </c>
      <c r="R229">
        <v>2.5</v>
      </c>
      <c r="S229" s="126">
        <f t="shared" si="31"/>
        <v>1.4297790101169248</v>
      </c>
      <c r="T229" s="126">
        <f t="shared" si="32"/>
        <v>1.7740045130968163</v>
      </c>
      <c r="U229" s="126">
        <f t="shared" si="33"/>
        <v>2.6959601016522132</v>
      </c>
      <c r="V229" s="126">
        <f t="shared" si="34"/>
        <v>1.8977403499267462</v>
      </c>
      <c r="W229" s="126">
        <f t="shared" si="35"/>
        <v>2.2396814389716515</v>
      </c>
      <c r="X229" s="126">
        <f t="shared" si="36"/>
        <v>3.3130227470889597</v>
      </c>
      <c r="Y229" s="126">
        <f t="shared" si="37"/>
        <v>1.3952121802761281</v>
      </c>
      <c r="Z229" s="126">
        <f t="shared" si="38"/>
        <v>1.5993598436340801</v>
      </c>
      <c r="AA229" s="126">
        <f t="shared" si="39"/>
        <v>2.4171172328000923</v>
      </c>
      <c r="AB229" s="126">
        <f t="shared" si="40"/>
        <v>1.5302207587806824</v>
      </c>
    </row>
    <row r="230" spans="1:28">
      <c r="A230">
        <v>229</v>
      </c>
      <c r="B230" s="119">
        <v>0.51440329218106995</v>
      </c>
      <c r="F230">
        <v>0.48574912360920586</v>
      </c>
      <c r="G230">
        <v>0.81908245694253912</v>
      </c>
      <c r="H230">
        <v>0.26352690138698365</v>
      </c>
      <c r="I230">
        <v>0.59686023472031702</v>
      </c>
      <c r="J230">
        <v>0.93019356805365028</v>
      </c>
      <c r="K230">
        <v>7.83417162017985E-2</v>
      </c>
      <c r="L230">
        <v>0.41167504953513179</v>
      </c>
      <c r="M230">
        <v>0.74500838286846516</v>
      </c>
      <c r="N230">
        <v>0.18945282731290961</v>
      </c>
      <c r="O230">
        <v>0.52278616064624295</v>
      </c>
      <c r="R230">
        <v>2.5</v>
      </c>
      <c r="S230" s="126">
        <f t="shared" si="31"/>
        <v>2.3887579545057549</v>
      </c>
      <c r="T230" s="126">
        <f t="shared" si="32"/>
        <v>3.1144308062371011</v>
      </c>
      <c r="U230" s="126">
        <f t="shared" si="33"/>
        <v>2.2053462751136044</v>
      </c>
      <c r="V230" s="126">
        <f t="shared" si="34"/>
        <v>2.4723989229544432</v>
      </c>
      <c r="W230" s="126">
        <f t="shared" si="35"/>
        <v>3.6227779231690835</v>
      </c>
      <c r="X230" s="126">
        <f t="shared" si="36"/>
        <v>1.8143593909909821</v>
      </c>
      <c r="Y230" s="126">
        <f t="shared" si="37"/>
        <v>1.8894975774985205</v>
      </c>
      <c r="Z230" s="126">
        <f t="shared" si="38"/>
        <v>2.6548197837704035</v>
      </c>
      <c r="AA230" s="126">
        <f t="shared" si="39"/>
        <v>1.7702864226829069</v>
      </c>
      <c r="AB230" s="126">
        <f t="shared" si="40"/>
        <v>2.0986086747341783</v>
      </c>
    </row>
    <row r="231" spans="1:28">
      <c r="A231">
        <v>230</v>
      </c>
      <c r="B231" s="119">
        <v>0.8477366255144031</v>
      </c>
      <c r="F231">
        <v>0.85611949397957621</v>
      </c>
      <c r="G231">
        <v>0.30056393842402068</v>
      </c>
      <c r="H231">
        <v>0.63389727175735411</v>
      </c>
      <c r="I231">
        <v>0.96723060509068737</v>
      </c>
      <c r="J231">
        <v>1.6613321140070112E-2</v>
      </c>
      <c r="K231">
        <v>0.3499466544734034</v>
      </c>
      <c r="L231">
        <v>0.68327998780673671</v>
      </c>
      <c r="M231">
        <v>0.12772443225118121</v>
      </c>
      <c r="N231">
        <v>0.4610577655845145</v>
      </c>
      <c r="O231">
        <v>0.79439109891784787</v>
      </c>
      <c r="R231">
        <v>2.5</v>
      </c>
      <c r="S231" s="126">
        <f t="shared" si="31"/>
        <v>3.2950279247391259</v>
      </c>
      <c r="T231" s="126">
        <f t="shared" si="32"/>
        <v>2.3866201446134196</v>
      </c>
      <c r="U231" s="126">
        <f t="shared" si="33"/>
        <v>2.6434837262548476</v>
      </c>
      <c r="V231" s="126">
        <f t="shared" si="34"/>
        <v>4.0092652560095816</v>
      </c>
      <c r="W231" s="126">
        <f t="shared" si="35"/>
        <v>1.4205095299801891</v>
      </c>
      <c r="X231" s="126">
        <f t="shared" si="36"/>
        <v>1.5577444166083776</v>
      </c>
      <c r="Y231" s="126">
        <f t="shared" si="37"/>
        <v>2.3379891524625513</v>
      </c>
      <c r="Z231" s="126">
        <f t="shared" si="38"/>
        <v>1.3988267375108603</v>
      </c>
      <c r="AA231" s="126">
        <f t="shared" si="39"/>
        <v>1.7841376869529726</v>
      </c>
      <c r="AB231" s="126">
        <f t="shared" si="40"/>
        <v>2.7362164608384654</v>
      </c>
    </row>
    <row r="232" spans="1:28">
      <c r="A232">
        <v>231</v>
      </c>
      <c r="B232" s="119">
        <v>0.29218106995884774</v>
      </c>
      <c r="F232">
        <v>0.23883554336229232</v>
      </c>
      <c r="G232">
        <v>0.57216887669562577</v>
      </c>
      <c r="H232">
        <v>0.90550221002895903</v>
      </c>
      <c r="I232">
        <v>5.3650358177107151E-2</v>
      </c>
      <c r="J232">
        <v>0.38698369151044043</v>
      </c>
      <c r="K232">
        <v>0.72031702484377391</v>
      </c>
      <c r="L232">
        <v>0.16476146928821825</v>
      </c>
      <c r="M232">
        <v>0.49809480262155154</v>
      </c>
      <c r="N232">
        <v>0.83142813595488485</v>
      </c>
      <c r="O232">
        <v>0.27587258039932933</v>
      </c>
      <c r="R232">
        <v>2.5</v>
      </c>
      <c r="S232" s="126">
        <f t="shared" si="31"/>
        <v>1.8325754812798696</v>
      </c>
      <c r="T232" s="126">
        <f t="shared" si="32"/>
        <v>2.2328099016557279</v>
      </c>
      <c r="U232" s="126">
        <f t="shared" si="33"/>
        <v>3.3673588911399586</v>
      </c>
      <c r="V232" s="126">
        <f t="shared" si="34"/>
        <v>1.5258668806195645</v>
      </c>
      <c r="W232" s="126">
        <f t="shared" si="35"/>
        <v>1.6917544041497661</v>
      </c>
      <c r="X232" s="126">
        <f t="shared" si="36"/>
        <v>2.4935078715395571</v>
      </c>
      <c r="Y232" s="126">
        <f t="shared" si="37"/>
        <v>1.6107224367947319</v>
      </c>
      <c r="Z232" s="126">
        <f t="shared" si="38"/>
        <v>1.9673375890504874</v>
      </c>
      <c r="AA232" s="126">
        <f t="shared" si="39"/>
        <v>2.9421742672910676</v>
      </c>
      <c r="AB232" s="126">
        <f t="shared" si="40"/>
        <v>2.149586915326454</v>
      </c>
    </row>
    <row r="233" spans="1:28">
      <c r="A233">
        <v>232</v>
      </c>
      <c r="B233" s="119">
        <v>0.625514403292181</v>
      </c>
      <c r="F233">
        <v>0.60920591373266275</v>
      </c>
      <c r="G233">
        <v>0.94253924706599601</v>
      </c>
      <c r="H233">
        <v>9.0687395214144179E-2</v>
      </c>
      <c r="I233">
        <v>0.42402072854747747</v>
      </c>
      <c r="J233">
        <v>0.75735406188081089</v>
      </c>
      <c r="K233">
        <v>0.20179850632525528</v>
      </c>
      <c r="L233">
        <v>0.53513183965858857</v>
      </c>
      <c r="M233">
        <v>0.86846517299192183</v>
      </c>
      <c r="N233">
        <v>0.31290961743636636</v>
      </c>
      <c r="O233">
        <v>0.64624295076969973</v>
      </c>
      <c r="R233">
        <v>2.5</v>
      </c>
      <c r="S233" s="126">
        <f t="shared" si="31"/>
        <v>2.6469032150719207</v>
      </c>
      <c r="T233" s="126">
        <f t="shared" si="32"/>
        <v>3.7923192024051797</v>
      </c>
      <c r="U233" s="126">
        <f t="shared" si="33"/>
        <v>1.9653738160949414</v>
      </c>
      <c r="V233" s="126">
        <f t="shared" si="34"/>
        <v>1.9914778096444938</v>
      </c>
      <c r="W233" s="126">
        <f t="shared" si="35"/>
        <v>2.7382033453687824</v>
      </c>
      <c r="X233" s="126">
        <f t="shared" si="36"/>
        <v>1.8490636179313154</v>
      </c>
      <c r="Y233" s="126">
        <f t="shared" si="37"/>
        <v>2.1637948685246173</v>
      </c>
      <c r="Z233" s="126">
        <f t="shared" si="38"/>
        <v>3.172338226173709</v>
      </c>
      <c r="AA233" s="126">
        <f t="shared" si="39"/>
        <v>2.3539558990289224</v>
      </c>
      <c r="AB233" s="126">
        <f t="shared" si="40"/>
        <v>2.6542880081697762</v>
      </c>
    </row>
    <row r="234" spans="1:28">
      <c r="A234">
        <v>233</v>
      </c>
      <c r="B234" s="119">
        <v>0.95884773662551426</v>
      </c>
      <c r="F234">
        <v>0.97957628410303299</v>
      </c>
      <c r="G234">
        <v>2.895900015241579E-2</v>
      </c>
      <c r="H234">
        <v>0.36229233348574907</v>
      </c>
      <c r="I234">
        <v>0.69562566681908244</v>
      </c>
      <c r="J234">
        <v>0.14007011126352689</v>
      </c>
      <c r="K234">
        <v>0.47340344459686018</v>
      </c>
      <c r="L234">
        <v>0.80673677793019349</v>
      </c>
      <c r="M234">
        <v>0.25118122237463797</v>
      </c>
      <c r="N234">
        <v>0.58451455570797139</v>
      </c>
      <c r="O234">
        <v>0.91784788904130465</v>
      </c>
      <c r="R234">
        <v>2.5</v>
      </c>
      <c r="S234" s="126">
        <f t="shared" si="31"/>
        <v>4.1050055741520044</v>
      </c>
      <c r="T234" s="126">
        <f t="shared" si="32"/>
        <v>1.6608201101989857</v>
      </c>
      <c r="U234" s="126">
        <f t="shared" si="33"/>
        <v>1.7058471062613014</v>
      </c>
      <c r="V234" s="126">
        <f t="shared" si="34"/>
        <v>2.4412687104289903</v>
      </c>
      <c r="W234" s="126">
        <f t="shared" si="35"/>
        <v>1.4979214678823161</v>
      </c>
      <c r="X234" s="126">
        <f t="shared" si="36"/>
        <v>1.8595544729203084</v>
      </c>
      <c r="Y234" s="126">
        <f t="shared" si="37"/>
        <v>2.8105617495353115</v>
      </c>
      <c r="Z234" s="126">
        <f t="shared" si="38"/>
        <v>2.021058702624988</v>
      </c>
      <c r="AA234" s="126">
        <f t="shared" si="39"/>
        <v>2.353570493250952</v>
      </c>
      <c r="AB234" s="126">
        <f t="shared" si="40"/>
        <v>3.4917144888594902</v>
      </c>
    </row>
    <row r="235" spans="1:28">
      <c r="A235">
        <v>234</v>
      </c>
      <c r="B235" s="119">
        <v>0.10699588477366255</v>
      </c>
      <c r="F235">
        <v>6.5996037189452822E-2</v>
      </c>
      <c r="G235">
        <v>0.39932937052278611</v>
      </c>
      <c r="H235">
        <v>0.73266270385611953</v>
      </c>
      <c r="I235">
        <v>0.17710714830056393</v>
      </c>
      <c r="J235">
        <v>0.51044048163389732</v>
      </c>
      <c r="K235">
        <v>0.84377381496723047</v>
      </c>
      <c r="L235">
        <v>0.288218259411675</v>
      </c>
      <c r="M235">
        <v>0.62155159274500837</v>
      </c>
      <c r="N235">
        <v>0.95488492607834163</v>
      </c>
      <c r="O235">
        <v>0.10303307422648986</v>
      </c>
      <c r="R235">
        <v>2.5</v>
      </c>
      <c r="S235" s="126">
        <f t="shared" ref="S235:S298" si="41">NORMINV(F235,0,1)*0.8248+0.4974*(2.3356-R235)+R235</f>
        <v>1.1758372952435359</v>
      </c>
      <c r="T235" s="126">
        <f t="shared" ref="T235:T298" si="42">NORMINV(G235,0,1)*0.8248+0.4974*(2.3356-S235)+S235</f>
        <v>1.5423105360685987</v>
      </c>
      <c r="U235" s="126">
        <f t="shared" ref="U235:U298" si="43">NORMINV(H235,0,1)*0.8248+0.4974*(2.3356-T235)+T235</f>
        <v>2.4489995395352886</v>
      </c>
      <c r="V235" s="126">
        <f t="shared" ref="V235:V298" si="44">NORMINV(I235,0,1)*0.8248+0.4974*(2.3356-U235)+U235</f>
        <v>1.6284620251090582</v>
      </c>
      <c r="W235" s="126">
        <f t="shared" ref="W235:W298" si="45">NORMINV(J235,0,1)*0.8248+0.4974*(2.3356-V235)+V235</f>
        <v>2.0017802695948665</v>
      </c>
      <c r="X235" s="126">
        <f t="shared" ref="X235:X298" si="46">NORMINV(K235,0,1)*0.8248+0.4974*(2.3356-W235)+W235</f>
        <v>3.0009440958724891</v>
      </c>
      <c r="Y235" s="126">
        <f t="shared" ref="Y235:Y298" si="47">NORMINV(L235,0,1)*0.8248+0.4974*(2.3356-X235)+X235</f>
        <v>2.2092708118635485</v>
      </c>
      <c r="Z235" s="126">
        <f t="shared" ref="Z235:Z298" si="48">NORMINV(M235,0,1)*0.8248+0.4974*(2.3356-Y235)+Y235</f>
        <v>2.5274306974741854</v>
      </c>
      <c r="AA235" s="126">
        <f t="shared" ref="AA235:AA298" si="49">NORMINV(N235,0,1)*0.8248+0.4974*(2.3356-Z235)+Z235</f>
        <v>3.8293778376170211</v>
      </c>
      <c r="AB235" s="126">
        <f t="shared" ref="AB235:AB298" si="50">NORMINV(O235,0,1)*0.8248+0.4974*(2.3356-AA235)+AA235</f>
        <v>2.0434488450114703</v>
      </c>
    </row>
    <row r="236" spans="1:28">
      <c r="A236">
        <v>235</v>
      </c>
      <c r="B236" s="119">
        <v>0.44032921810699588</v>
      </c>
      <c r="F236">
        <v>0.43636640755982314</v>
      </c>
      <c r="G236">
        <v>0.76969974089315651</v>
      </c>
      <c r="H236">
        <v>0.21414418533760096</v>
      </c>
      <c r="I236">
        <v>0.5474775186709343</v>
      </c>
      <c r="J236">
        <v>0.88081085200426756</v>
      </c>
      <c r="K236">
        <v>0.32525529644871204</v>
      </c>
      <c r="L236">
        <v>0.65858862978204546</v>
      </c>
      <c r="M236">
        <v>0.99192196311537872</v>
      </c>
      <c r="N236">
        <v>8.3828684651729921E-3</v>
      </c>
      <c r="O236">
        <v>0.34171620179850631</v>
      </c>
      <c r="R236">
        <v>2.5</v>
      </c>
      <c r="S236" s="126">
        <f t="shared" si="41"/>
        <v>2.2861042029239917</v>
      </c>
      <c r="T236" s="126">
        <f t="shared" si="42"/>
        <v>2.9193089967433612</v>
      </c>
      <c r="U236" s="126">
        <f t="shared" si="43"/>
        <v>1.9756282571640686</v>
      </c>
      <c r="V236" s="126">
        <f t="shared" si="44"/>
        <v>2.2530692636067728</v>
      </c>
      <c r="W236" s="126">
        <f t="shared" si="45"/>
        <v>3.2666004310857097</v>
      </c>
      <c r="X236" s="126">
        <f t="shared" si="46"/>
        <v>2.4298427195017678</v>
      </c>
      <c r="Y236" s="126">
        <f t="shared" si="47"/>
        <v>2.7199914590478831</v>
      </c>
      <c r="Z236" s="126">
        <f t="shared" si="48"/>
        <v>4.5127447938863758</v>
      </c>
      <c r="AA236" s="126">
        <f t="shared" si="49"/>
        <v>1.4570720213287078</v>
      </c>
      <c r="AB236" s="126">
        <f t="shared" si="50"/>
        <v>1.5577117546467365</v>
      </c>
    </row>
    <row r="237" spans="1:28">
      <c r="A237">
        <v>236</v>
      </c>
      <c r="B237" s="119">
        <v>0.77366255144032914</v>
      </c>
      <c r="F237">
        <v>0.67504953513183963</v>
      </c>
      <c r="G237">
        <v>0.1194939795762841</v>
      </c>
      <c r="H237">
        <v>0.45282731290961742</v>
      </c>
      <c r="I237">
        <v>0.78616064624295068</v>
      </c>
      <c r="J237">
        <v>0.23060509068739518</v>
      </c>
      <c r="K237">
        <v>0.56393842402072858</v>
      </c>
      <c r="L237">
        <v>0.89727175735406184</v>
      </c>
      <c r="M237">
        <v>4.5419905502210034E-2</v>
      </c>
      <c r="N237">
        <v>0.37875323883554335</v>
      </c>
      <c r="O237">
        <v>0.71208657216887672</v>
      </c>
      <c r="R237">
        <v>2.5</v>
      </c>
      <c r="S237" s="126">
        <f t="shared" si="41"/>
        <v>2.7926040154282026</v>
      </c>
      <c r="T237" s="126">
        <f t="shared" si="42"/>
        <v>1.5940715971201962</v>
      </c>
      <c r="U237" s="126">
        <f t="shared" si="43"/>
        <v>1.8651514634857014</v>
      </c>
      <c r="V237" s="126">
        <f t="shared" si="44"/>
        <v>2.7533592893260979</v>
      </c>
      <c r="W237" s="126">
        <f t="shared" si="45"/>
        <v>1.9378073391610826</v>
      </c>
      <c r="X237" s="126">
        <f t="shared" si="46"/>
        <v>2.2684310526297704</v>
      </c>
      <c r="Y237" s="126">
        <f t="shared" si="47"/>
        <v>3.3461680875410016</v>
      </c>
      <c r="Z237" s="126">
        <f t="shared" si="48"/>
        <v>1.4487877123188078</v>
      </c>
      <c r="AA237" s="126">
        <f t="shared" si="49"/>
        <v>1.6352254754558642</v>
      </c>
      <c r="AB237" s="126">
        <f t="shared" si="50"/>
        <v>2.4450597184746732</v>
      </c>
    </row>
    <row r="238" spans="1:28">
      <c r="A238">
        <v>237</v>
      </c>
      <c r="B238" s="119">
        <v>0.21810699588477364</v>
      </c>
      <c r="F238">
        <v>0.15653101661332111</v>
      </c>
      <c r="G238">
        <v>0.48986434994665445</v>
      </c>
      <c r="H238">
        <v>0.82319768327998766</v>
      </c>
      <c r="I238">
        <v>0.26764212772443224</v>
      </c>
      <c r="J238">
        <v>0.60097546105776556</v>
      </c>
      <c r="K238">
        <v>0.93430879439109882</v>
      </c>
      <c r="L238">
        <v>8.2456942539247069E-2</v>
      </c>
      <c r="M238">
        <v>0.41579027587258038</v>
      </c>
      <c r="N238">
        <v>0.7491236092059137</v>
      </c>
      <c r="O238">
        <v>0.19356805365035815</v>
      </c>
      <c r="R238">
        <v>2.5</v>
      </c>
      <c r="S238" s="126">
        <f t="shared" si="41"/>
        <v>1.586154536481104</v>
      </c>
      <c r="T238" s="126">
        <f t="shared" si="42"/>
        <v>1.9379713331542923</v>
      </c>
      <c r="U238" s="126">
        <f t="shared" si="43"/>
        <v>2.9008529448180616</v>
      </c>
      <c r="V238" s="126">
        <f t="shared" si="44"/>
        <v>2.1083532892687975</v>
      </c>
      <c r="W238" s="126">
        <f t="shared" si="45"/>
        <v>2.4324296674649917</v>
      </c>
      <c r="X238" s="126">
        <f t="shared" si="46"/>
        <v>3.6286199441056559</v>
      </c>
      <c r="Y238" s="126">
        <f t="shared" si="47"/>
        <v>1.8400446546003351</v>
      </c>
      <c r="Z238" s="126">
        <f t="shared" si="48"/>
        <v>1.9111196321868045</v>
      </c>
      <c r="AA238" s="126">
        <f t="shared" si="49"/>
        <v>2.6763027208822026</v>
      </c>
      <c r="AB238" s="126">
        <f t="shared" si="50"/>
        <v>1.7935314206377129</v>
      </c>
    </row>
    <row r="239" spans="1:28">
      <c r="A239">
        <v>238</v>
      </c>
      <c r="B239" s="119">
        <v>0.55144032921810693</v>
      </c>
      <c r="F239">
        <v>0.52690138698369149</v>
      </c>
      <c r="G239">
        <v>0.86023472031702475</v>
      </c>
      <c r="H239">
        <v>0.30467916476146928</v>
      </c>
      <c r="I239">
        <v>0.63801249809480265</v>
      </c>
      <c r="J239">
        <v>0.97134583142813591</v>
      </c>
      <c r="K239">
        <v>2.072854747751867E-2</v>
      </c>
      <c r="L239">
        <v>0.35406188081085199</v>
      </c>
      <c r="M239">
        <v>0.68739521414418525</v>
      </c>
      <c r="N239">
        <v>0.13183965858862975</v>
      </c>
      <c r="O239">
        <v>0.4651729919219631</v>
      </c>
      <c r="R239">
        <v>2.5</v>
      </c>
      <c r="S239" s="126">
        <f t="shared" si="41"/>
        <v>2.4738873864618549</v>
      </c>
      <c r="T239" s="126">
        <f t="shared" si="42"/>
        <v>3.2970209291697583</v>
      </c>
      <c r="U239" s="126">
        <f t="shared" si="43"/>
        <v>2.3973459255870164</v>
      </c>
      <c r="V239" s="126">
        <f t="shared" si="44"/>
        <v>2.6579127073110254</v>
      </c>
      <c r="W239" s="126">
        <f t="shared" si="45"/>
        <v>4.0654993428011181</v>
      </c>
      <c r="X239" s="126">
        <f t="shared" si="46"/>
        <v>1.5233386121726573</v>
      </c>
      <c r="Y239" s="126">
        <f t="shared" si="47"/>
        <v>1.6185711764484871</v>
      </c>
      <c r="Z239" s="126">
        <f t="shared" si="48"/>
        <v>2.3781199864584428</v>
      </c>
      <c r="AA239" s="126">
        <f t="shared" si="49"/>
        <v>1.4350610324996915</v>
      </c>
      <c r="AB239" s="126">
        <f t="shared" si="50"/>
        <v>1.8108937235017031</v>
      </c>
    </row>
    <row r="240" spans="1:28">
      <c r="A240">
        <v>239</v>
      </c>
      <c r="B240" s="119">
        <v>0.88477366255144019</v>
      </c>
      <c r="F240">
        <v>0.79850632525529641</v>
      </c>
      <c r="G240">
        <v>0.24295076969974086</v>
      </c>
      <c r="H240">
        <v>0.57628410303307431</v>
      </c>
      <c r="I240">
        <v>0.90961743636640757</v>
      </c>
      <c r="J240">
        <v>5.7765584514555712E-2</v>
      </c>
      <c r="K240">
        <v>0.39109891784788903</v>
      </c>
      <c r="L240">
        <v>0.72443225118122245</v>
      </c>
      <c r="M240">
        <v>0.16887669562566679</v>
      </c>
      <c r="N240">
        <v>0.50221002895900013</v>
      </c>
      <c r="O240">
        <v>0.83554336229233339</v>
      </c>
      <c r="R240">
        <v>2.5</v>
      </c>
      <c r="S240" s="126">
        <f t="shared" si="41"/>
        <v>3.1080059255905557</v>
      </c>
      <c r="T240" s="126">
        <f t="shared" si="42"/>
        <v>2.1490557533187937</v>
      </c>
      <c r="U240" s="126">
        <f t="shared" si="43"/>
        <v>2.4005313261745358</v>
      </c>
      <c r="V240" s="126">
        <f t="shared" si="44"/>
        <v>3.4721492136798107</v>
      </c>
      <c r="W240" s="126">
        <f t="shared" si="45"/>
        <v>1.6087503890149708</v>
      </c>
      <c r="X240" s="126">
        <f t="shared" si="46"/>
        <v>1.7422644612516822</v>
      </c>
      <c r="Y240" s="126">
        <f t="shared" si="47"/>
        <v>2.5290194104805988</v>
      </c>
      <c r="Z240" s="126">
        <f t="shared" si="48"/>
        <v>1.6421480207966344</v>
      </c>
      <c r="AA240" s="126">
        <f t="shared" si="49"/>
        <v>1.9916402205665684</v>
      </c>
      <c r="AB240" s="126">
        <f t="shared" si="50"/>
        <v>2.9679822912464795</v>
      </c>
    </row>
    <row r="241" spans="1:28">
      <c r="A241">
        <v>240</v>
      </c>
      <c r="B241" s="119">
        <v>0.32921810699588477</v>
      </c>
      <c r="F241">
        <v>0.27998780673677792</v>
      </c>
      <c r="G241">
        <v>0.61332114007011129</v>
      </c>
      <c r="H241">
        <v>0.94665447340344455</v>
      </c>
      <c r="I241">
        <v>9.4802621551592747E-2</v>
      </c>
      <c r="J241">
        <v>0.42813595488492606</v>
      </c>
      <c r="K241">
        <v>0.76146928821825943</v>
      </c>
      <c r="L241">
        <v>0.20591373266270382</v>
      </c>
      <c r="M241">
        <v>0.53924706599603711</v>
      </c>
      <c r="N241">
        <v>0.87258039932937037</v>
      </c>
      <c r="O241">
        <v>0.31702484377381496</v>
      </c>
      <c r="R241">
        <v>2.5</v>
      </c>
      <c r="S241" s="126">
        <f t="shared" si="41"/>
        <v>1.9374698883552663</v>
      </c>
      <c r="T241" s="126">
        <f t="shared" si="42"/>
        <v>2.3730303736120608</v>
      </c>
      <c r="U241" s="126">
        <f t="shared" si="43"/>
        <v>3.6850178827626845</v>
      </c>
      <c r="V241" s="126">
        <f t="shared" si="44"/>
        <v>1.9318878430605451</v>
      </c>
      <c r="W241" s="126">
        <f t="shared" si="45"/>
        <v>1.9833049421477995</v>
      </c>
      <c r="X241" s="126">
        <f t="shared" si="46"/>
        <v>2.7449996676249522</v>
      </c>
      <c r="Y241" s="126">
        <f t="shared" si="47"/>
        <v>1.8644658158404557</v>
      </c>
      <c r="Z241" s="126">
        <f t="shared" si="48"/>
        <v>2.1800813027602994</v>
      </c>
      <c r="AA241" s="126">
        <f t="shared" si="49"/>
        <v>3.1966145183997741</v>
      </c>
      <c r="AB241" s="126">
        <f t="shared" si="50"/>
        <v>2.3757125118376994</v>
      </c>
    </row>
    <row r="242" spans="1:28">
      <c r="A242">
        <v>241</v>
      </c>
      <c r="B242" s="119">
        <v>0.66255144032921809</v>
      </c>
      <c r="F242">
        <v>0.65035817710714827</v>
      </c>
      <c r="G242">
        <v>0.98369151044048153</v>
      </c>
      <c r="H242">
        <v>3.3074226489864356E-2</v>
      </c>
      <c r="I242">
        <v>0.36640755982319767</v>
      </c>
      <c r="J242">
        <v>0.69974089315653099</v>
      </c>
      <c r="K242">
        <v>0.14418533760097543</v>
      </c>
      <c r="L242">
        <v>0.47751867093430878</v>
      </c>
      <c r="M242">
        <v>0.81085200426764203</v>
      </c>
      <c r="N242">
        <v>0.25529644871208657</v>
      </c>
      <c r="O242">
        <v>0.58862978204541994</v>
      </c>
      <c r="R242">
        <v>2.5</v>
      </c>
      <c r="S242" s="126">
        <f t="shared" si="41"/>
        <v>2.7368374938745084</v>
      </c>
      <c r="T242" s="126">
        <f t="shared" si="42"/>
        <v>4.2996670650394844</v>
      </c>
      <c r="U242" s="126">
        <f t="shared" si="43"/>
        <v>1.8072390903152393</v>
      </c>
      <c r="V242" s="126">
        <f t="shared" si="44"/>
        <v>1.7884729422172285</v>
      </c>
      <c r="W242" s="126">
        <f t="shared" si="45"/>
        <v>2.492524947730983</v>
      </c>
      <c r="X242" s="126">
        <f t="shared" si="46"/>
        <v>1.5387780953320016</v>
      </c>
      <c r="Y242" s="126">
        <f t="shared" si="47"/>
        <v>1.8886132774653266</v>
      </c>
      <c r="Z242" s="126">
        <f t="shared" si="48"/>
        <v>2.837626537825396</v>
      </c>
      <c r="AA242" s="126">
        <f t="shared" si="49"/>
        <v>2.0452704332471772</v>
      </c>
      <c r="AB242" s="126">
        <f t="shared" si="50"/>
        <v>2.3744534390879326</v>
      </c>
    </row>
    <row r="243" spans="1:28">
      <c r="A243">
        <v>242</v>
      </c>
      <c r="B243" s="119">
        <v>0.99588477366255135</v>
      </c>
      <c r="F243">
        <v>0.9219631153787532</v>
      </c>
      <c r="G243">
        <v>7.0111263526901391E-2</v>
      </c>
      <c r="H243">
        <v>0.40344459686023471</v>
      </c>
      <c r="I243">
        <v>0.73677793019356808</v>
      </c>
      <c r="J243">
        <v>0.18122237463801247</v>
      </c>
      <c r="K243">
        <v>0.51455570797134587</v>
      </c>
      <c r="L243">
        <v>0.84788904130467901</v>
      </c>
      <c r="M243">
        <v>0.2923334857491236</v>
      </c>
      <c r="N243">
        <v>0.62566681908245692</v>
      </c>
      <c r="O243">
        <v>0.95900015241579017</v>
      </c>
      <c r="R243">
        <v>2.5</v>
      </c>
      <c r="S243" s="126">
        <f t="shared" si="41"/>
        <v>3.5881244564496395</v>
      </c>
      <c r="T243" s="126">
        <f t="shared" si="42"/>
        <v>1.7485694196396024</v>
      </c>
      <c r="U243" s="126">
        <f t="shared" si="43"/>
        <v>1.8389433896576439</v>
      </c>
      <c r="V243" s="126">
        <f t="shared" si="44"/>
        <v>2.6084444933061852</v>
      </c>
      <c r="W243" s="126">
        <f t="shared" si="45"/>
        <v>1.721572643814699</v>
      </c>
      <c r="X243" s="126">
        <f t="shared" si="46"/>
        <v>2.0570899765817932</v>
      </c>
      <c r="Y243" s="126">
        <f t="shared" si="47"/>
        <v>3.0430383160685928</v>
      </c>
      <c r="Z243" s="126">
        <f t="shared" si="48"/>
        <v>2.2403389043423898</v>
      </c>
      <c r="AA243" s="126">
        <f t="shared" si="49"/>
        <v>2.5519863480198457</v>
      </c>
      <c r="AB243" s="126">
        <f t="shared" si="50"/>
        <v>3.8788474427169009</v>
      </c>
    </row>
    <row r="244" spans="1:28">
      <c r="A244">
        <v>243</v>
      </c>
      <c r="B244" s="119">
        <v>1.3717421124828531E-3</v>
      </c>
      <c r="F244">
        <v>0.10714830056393843</v>
      </c>
      <c r="G244">
        <v>0.44048163389727174</v>
      </c>
      <c r="H244">
        <v>0.77381496723060506</v>
      </c>
      <c r="I244">
        <v>0.2182594116750495</v>
      </c>
      <c r="J244">
        <v>0.55159274500838285</v>
      </c>
      <c r="K244">
        <v>0.8849260783417161</v>
      </c>
      <c r="L244">
        <v>0.32937052278616064</v>
      </c>
      <c r="M244">
        <v>0.66270385611949401</v>
      </c>
      <c r="N244">
        <v>0.99603718945282727</v>
      </c>
      <c r="O244">
        <v>1.5241579027587258E-3</v>
      </c>
      <c r="R244">
        <v>2.5</v>
      </c>
      <c r="S244" s="126">
        <f t="shared" si="41"/>
        <v>1.3939600430077566</v>
      </c>
      <c r="T244" s="126">
        <f t="shared" si="42"/>
        <v>1.7388194307505056</v>
      </c>
      <c r="U244" s="126">
        <f t="shared" si="43"/>
        <v>2.6554702448704672</v>
      </c>
      <c r="V244" s="126">
        <f t="shared" si="44"/>
        <v>1.8546021628211375</v>
      </c>
      <c r="W244" s="126">
        <f t="shared" si="45"/>
        <v>2.2008158640896078</v>
      </c>
      <c r="X244" s="126">
        <f t="shared" si="46"/>
        <v>3.2575994356671352</v>
      </c>
      <c r="Y244" s="126">
        <f t="shared" si="47"/>
        <v>2.4347223429033922</v>
      </c>
      <c r="Z244" s="126">
        <f t="shared" si="48"/>
        <v>2.7317142721940222</v>
      </c>
      <c r="AA244" s="126">
        <f t="shared" si="49"/>
        <v>4.7247142070127843</v>
      </c>
      <c r="AB244" s="126">
        <f t="shared" si="50"/>
        <v>1.0926322070213015</v>
      </c>
    </row>
    <row r="245" spans="1:28">
      <c r="A245">
        <v>244</v>
      </c>
      <c r="B245" s="119">
        <v>0.33470507544581618</v>
      </c>
      <c r="F245">
        <v>0.33485749123609204</v>
      </c>
      <c r="G245">
        <v>0.66819082456942536</v>
      </c>
      <c r="H245">
        <v>0.11263526901386983</v>
      </c>
      <c r="I245">
        <v>0.44596860234720315</v>
      </c>
      <c r="J245">
        <v>0.77930193568053641</v>
      </c>
      <c r="K245">
        <v>0.22374638012498094</v>
      </c>
      <c r="L245">
        <v>0.55707971345831431</v>
      </c>
      <c r="M245">
        <v>0.89041304679164757</v>
      </c>
      <c r="N245">
        <v>3.8561194939795762E-2</v>
      </c>
      <c r="O245">
        <v>0.37189452827312908</v>
      </c>
      <c r="R245">
        <v>2.5</v>
      </c>
      <c r="S245" s="126">
        <f t="shared" si="41"/>
        <v>2.0664178989409936</v>
      </c>
      <c r="T245" s="126">
        <f t="shared" si="42"/>
        <v>2.5590335305156175</v>
      </c>
      <c r="U245" s="126">
        <f t="shared" si="43"/>
        <v>1.4477187958286246</v>
      </c>
      <c r="V245" s="126">
        <f t="shared" si="44"/>
        <v>1.7772990531881649</v>
      </c>
      <c r="W245" s="126">
        <f t="shared" si="45"/>
        <v>2.689960141264724</v>
      </c>
      <c r="X245" s="126">
        <f t="shared" si="46"/>
        <v>1.8871820042735532</v>
      </c>
      <c r="Y245" s="126">
        <f t="shared" si="47"/>
        <v>2.2286410859206223</v>
      </c>
      <c r="Z245" s="126">
        <f t="shared" si="48"/>
        <v>3.2952970799278485</v>
      </c>
      <c r="AA245" s="126">
        <f t="shared" si="49"/>
        <v>1.360000608293521</v>
      </c>
      <c r="AB245" s="126">
        <f t="shared" si="50"/>
        <v>1.5756862802932377</v>
      </c>
    </row>
    <row r="246" spans="1:28">
      <c r="A246">
        <v>245</v>
      </c>
      <c r="B246" s="119">
        <v>0.66803840877914944</v>
      </c>
      <c r="F246">
        <v>0.70522786160646245</v>
      </c>
      <c r="G246">
        <v>0.14967230605090687</v>
      </c>
      <c r="H246">
        <v>0.48300563938424018</v>
      </c>
      <c r="I246">
        <v>0.81633897271757339</v>
      </c>
      <c r="J246">
        <v>0.26078341716201797</v>
      </c>
      <c r="K246">
        <v>0.59411675049535129</v>
      </c>
      <c r="L246">
        <v>0.92745008382868455</v>
      </c>
      <c r="M246">
        <v>7.5598231976832797E-2</v>
      </c>
      <c r="N246">
        <v>0.40893156531016611</v>
      </c>
      <c r="O246">
        <v>0.74226489864349943</v>
      </c>
      <c r="R246">
        <v>2.5</v>
      </c>
      <c r="S246" s="126">
        <f t="shared" si="41"/>
        <v>2.8632041945292204</v>
      </c>
      <c r="T246" s="126">
        <f t="shared" si="42"/>
        <v>1.7447635445041452</v>
      </c>
      <c r="U246" s="126">
        <f t="shared" si="43"/>
        <v>2.0034996846480295</v>
      </c>
      <c r="V246" s="126">
        <f t="shared" si="44"/>
        <v>2.9122443253010966</v>
      </c>
      <c r="W246" s="126">
        <f t="shared" si="45"/>
        <v>2.0967806865158436</v>
      </c>
      <c r="X246" s="126">
        <f t="shared" si="46"/>
        <v>2.4119936790879928</v>
      </c>
      <c r="Y246" s="126">
        <f t="shared" si="47"/>
        <v>3.5757785101876127</v>
      </c>
      <c r="Z246" s="126">
        <f t="shared" si="48"/>
        <v>1.7750633262507045</v>
      </c>
      <c r="AA246" s="126">
        <f t="shared" si="49"/>
        <v>1.8639275727476541</v>
      </c>
      <c r="AB246" s="126">
        <f t="shared" si="50"/>
        <v>2.6349409633316925</v>
      </c>
    </row>
    <row r="247" spans="1:28">
      <c r="A247">
        <v>246</v>
      </c>
      <c r="B247" s="119">
        <v>0.11248285322359396</v>
      </c>
      <c r="F247">
        <v>0.1867093430879439</v>
      </c>
      <c r="G247">
        <v>0.52004267642127722</v>
      </c>
      <c r="H247">
        <v>0.85337600975461048</v>
      </c>
      <c r="I247">
        <v>0.29782045419905501</v>
      </c>
      <c r="J247">
        <v>0.63115378753238838</v>
      </c>
      <c r="K247">
        <v>0.96448712086572164</v>
      </c>
      <c r="L247">
        <v>1.3869836915104404E-2</v>
      </c>
      <c r="M247">
        <v>0.34720317024843772</v>
      </c>
      <c r="N247">
        <v>0.68053650358177098</v>
      </c>
      <c r="O247">
        <v>0.12498094802621551</v>
      </c>
      <c r="R247">
        <v>2.5</v>
      </c>
      <c r="S247" s="126">
        <f t="shared" si="41"/>
        <v>1.6840829348301936</v>
      </c>
      <c r="T247" s="126">
        <f t="shared" si="42"/>
        <v>2.0496025420560469</v>
      </c>
      <c r="U247" s="126">
        <f t="shared" si="43"/>
        <v>3.0587415306483305</v>
      </c>
      <c r="V247" s="126">
        <f t="shared" si="44"/>
        <v>2.2613464985809246</v>
      </c>
      <c r="W247" s="126">
        <f t="shared" si="45"/>
        <v>2.574514563325196</v>
      </c>
      <c r="X247" s="126">
        <f t="shared" si="46"/>
        <v>3.9447004015937841</v>
      </c>
      <c r="Y247" s="126">
        <f t="shared" si="47"/>
        <v>1.3289915848471856</v>
      </c>
      <c r="Z247" s="126">
        <f t="shared" si="48"/>
        <v>1.5056292061609065</v>
      </c>
      <c r="AA247" s="126">
        <f t="shared" si="49"/>
        <v>2.3054524843341504</v>
      </c>
      <c r="AB247" s="126">
        <f t="shared" si="50"/>
        <v>1.3715633494683934</v>
      </c>
    </row>
    <row r="248" spans="1:28">
      <c r="A248">
        <v>247</v>
      </c>
      <c r="B248" s="119">
        <v>0.44581618655692729</v>
      </c>
      <c r="F248">
        <v>0.45831428135954883</v>
      </c>
      <c r="G248">
        <v>0.79164761469288214</v>
      </c>
      <c r="H248">
        <v>0.23609205913732662</v>
      </c>
      <c r="I248">
        <v>0.56942539247066004</v>
      </c>
      <c r="J248">
        <v>0.9027587258039933</v>
      </c>
      <c r="K248">
        <v>5.090687395214144E-2</v>
      </c>
      <c r="L248">
        <v>0.38424020728547476</v>
      </c>
      <c r="M248">
        <v>0.71757354061880818</v>
      </c>
      <c r="N248">
        <v>0.16201798506325255</v>
      </c>
      <c r="O248">
        <v>0.49535131839658586</v>
      </c>
      <c r="R248">
        <v>2.5</v>
      </c>
      <c r="S248" s="126">
        <f t="shared" si="41"/>
        <v>2.3318861601713294</v>
      </c>
      <c r="T248" s="126">
        <f t="shared" si="42"/>
        <v>3.0035958872373483</v>
      </c>
      <c r="U248" s="126">
        <f t="shared" si="43"/>
        <v>2.0783613590236842</v>
      </c>
      <c r="V248" s="126">
        <f t="shared" si="44"/>
        <v>2.3505788210263274</v>
      </c>
      <c r="W248" s="126">
        <f t="shared" si="45"/>
        <v>3.4132503642183734</v>
      </c>
      <c r="X248" s="126">
        <f t="shared" si="46"/>
        <v>1.5277524302994971</v>
      </c>
      <c r="Y248" s="126">
        <f t="shared" si="47"/>
        <v>1.6867850771530251</v>
      </c>
      <c r="Z248" s="126">
        <f t="shared" si="48"/>
        <v>2.4843003476889556</v>
      </c>
      <c r="AA248" s="126">
        <f t="shared" si="49"/>
        <v>1.5969207004687265</v>
      </c>
      <c r="AB248" s="126">
        <f t="shared" si="50"/>
        <v>1.9547285707337507</v>
      </c>
    </row>
    <row r="249" spans="1:28">
      <c r="A249">
        <v>248</v>
      </c>
      <c r="B249" s="119">
        <v>0.77914951989026049</v>
      </c>
      <c r="F249">
        <v>0.82868465172991912</v>
      </c>
      <c r="G249">
        <v>0.27312909617436365</v>
      </c>
      <c r="H249">
        <v>0.60646242950769702</v>
      </c>
      <c r="I249">
        <v>0.93979576284103028</v>
      </c>
      <c r="J249">
        <v>8.7943910989178475E-2</v>
      </c>
      <c r="K249">
        <v>0.42127724432251179</v>
      </c>
      <c r="L249">
        <v>0.75461057765584516</v>
      </c>
      <c r="M249">
        <v>0.19905502210028958</v>
      </c>
      <c r="N249">
        <v>0.53238835543362284</v>
      </c>
      <c r="O249">
        <v>0.8657216887669561</v>
      </c>
      <c r="R249">
        <v>2.5</v>
      </c>
      <c r="S249" s="126">
        <f t="shared" si="41"/>
        <v>3.2009462861398088</v>
      </c>
      <c r="T249" s="126">
        <f t="shared" si="42"/>
        <v>2.2728580323701917</v>
      </c>
      <c r="U249" s="126">
        <f t="shared" si="43"/>
        <v>2.526853138370877</v>
      </c>
      <c r="V249" s="126">
        <f t="shared" si="44"/>
        <v>3.712688843549742</v>
      </c>
      <c r="W249" s="126">
        <f t="shared" si="45"/>
        <v>1.9113370532996674</v>
      </c>
      <c r="X249" s="126">
        <f t="shared" si="46"/>
        <v>1.9585378482382378</v>
      </c>
      <c r="Y249" s="126">
        <f t="shared" si="47"/>
        <v>2.7144339876177432</v>
      </c>
      <c r="Z249" s="126">
        <f t="shared" si="48"/>
        <v>1.8290447879860654</v>
      </c>
      <c r="AA249" s="126">
        <f t="shared" si="49"/>
        <v>2.1480409353651311</v>
      </c>
      <c r="AB249" s="126">
        <f t="shared" si="50"/>
        <v>3.1538854393486186</v>
      </c>
    </row>
    <row r="250" spans="1:28">
      <c r="A250">
        <v>249</v>
      </c>
      <c r="B250" s="119">
        <v>0.22359396433470508</v>
      </c>
      <c r="F250">
        <v>0.31016613321140069</v>
      </c>
      <c r="G250">
        <v>0.643499466544734</v>
      </c>
      <c r="H250">
        <v>0.97683279987806726</v>
      </c>
      <c r="I250">
        <v>2.621551592745008E-2</v>
      </c>
      <c r="J250">
        <v>0.3595488492607834</v>
      </c>
      <c r="K250">
        <v>0.69288218259411671</v>
      </c>
      <c r="L250">
        <v>0.13732662703856119</v>
      </c>
      <c r="M250">
        <v>0.4706599603718945</v>
      </c>
      <c r="N250">
        <v>0.80399329370522776</v>
      </c>
      <c r="O250">
        <v>0.24843773814967229</v>
      </c>
      <c r="R250">
        <v>2.5</v>
      </c>
      <c r="S250" s="126">
        <f t="shared" si="41"/>
        <v>2.0096384329133117</v>
      </c>
      <c r="T250" s="126">
        <f t="shared" si="42"/>
        <v>2.475156718184556</v>
      </c>
      <c r="U250" s="126">
        <f t="shared" si="43"/>
        <v>4.0490184653298265</v>
      </c>
      <c r="V250" s="126">
        <f t="shared" si="44"/>
        <v>1.5970004247967164</v>
      </c>
      <c r="W250" s="126">
        <f t="shared" si="45"/>
        <v>1.6677281943108939</v>
      </c>
      <c r="X250" s="126">
        <f t="shared" si="46"/>
        <v>2.4156570450469053</v>
      </c>
      <c r="Y250" s="126">
        <f t="shared" si="47"/>
        <v>1.4748175120997642</v>
      </c>
      <c r="Z250" s="126">
        <f t="shared" si="48"/>
        <v>1.8422563714663012</v>
      </c>
      <c r="AA250" s="126">
        <f t="shared" si="49"/>
        <v>2.7936509812792774</v>
      </c>
      <c r="AB250" s="126">
        <f t="shared" si="50"/>
        <v>2.005435618734472</v>
      </c>
    </row>
    <row r="251" spans="1:28">
      <c r="A251">
        <v>250</v>
      </c>
      <c r="B251" s="119">
        <v>0.55692729766803839</v>
      </c>
      <c r="F251">
        <v>0.58177107148300566</v>
      </c>
      <c r="G251">
        <v>0.91510440481633892</v>
      </c>
      <c r="H251">
        <v>6.3252552964487119E-2</v>
      </c>
      <c r="I251">
        <v>0.39658588629782043</v>
      </c>
      <c r="J251">
        <v>0.7299192196311538</v>
      </c>
      <c r="K251">
        <v>0.17436366407559822</v>
      </c>
      <c r="L251">
        <v>0.50769699740893159</v>
      </c>
      <c r="M251">
        <v>0.84103033074226474</v>
      </c>
      <c r="N251">
        <v>0.28547477518670933</v>
      </c>
      <c r="O251">
        <v>0.61880810852004264</v>
      </c>
      <c r="R251">
        <v>2.5</v>
      </c>
      <c r="S251" s="126">
        <f t="shared" si="41"/>
        <v>2.5884879279961845</v>
      </c>
      <c r="T251" s="126">
        <f t="shared" si="42"/>
        <v>3.5950488240024612</v>
      </c>
      <c r="U251" s="126">
        <f t="shared" si="43"/>
        <v>1.7082798891336572</v>
      </c>
      <c r="V251" s="126">
        <f t="shared" si="44"/>
        <v>1.8040511873045288</v>
      </c>
      <c r="W251" s="126">
        <f t="shared" si="45"/>
        <v>2.5736902290201478</v>
      </c>
      <c r="X251" s="126">
        <f t="shared" si="46"/>
        <v>1.6823764721124721</v>
      </c>
      <c r="Y251" s="126">
        <f t="shared" si="47"/>
        <v>2.023204130420754</v>
      </c>
      <c r="Z251" s="126">
        <f t="shared" si="48"/>
        <v>3.0023187911176086</v>
      </c>
      <c r="AA251" s="126">
        <f t="shared" si="49"/>
        <v>2.2033169742661816</v>
      </c>
      <c r="AB251" s="126">
        <f t="shared" si="50"/>
        <v>2.5184944363092061</v>
      </c>
    </row>
    <row r="252" spans="1:28">
      <c r="A252">
        <v>251</v>
      </c>
      <c r="B252" s="119">
        <v>0.89026063100137165</v>
      </c>
      <c r="F252">
        <v>0.9521414418533759</v>
      </c>
      <c r="G252">
        <v>0.10028959000152415</v>
      </c>
      <c r="H252">
        <v>0.43362292333485747</v>
      </c>
      <c r="I252">
        <v>0.76695625666819078</v>
      </c>
      <c r="J252">
        <v>0.21140070111263526</v>
      </c>
      <c r="K252">
        <v>0.54473403444596857</v>
      </c>
      <c r="L252">
        <v>0.87806736777930183</v>
      </c>
      <c r="M252">
        <v>0.32251181222374636</v>
      </c>
      <c r="N252">
        <v>0.65584514555707973</v>
      </c>
      <c r="O252">
        <v>0.98917847889041299</v>
      </c>
      <c r="R252">
        <v>2.5</v>
      </c>
      <c r="S252" s="126">
        <f t="shared" si="41"/>
        <v>3.7923289105706401</v>
      </c>
      <c r="T252" s="126">
        <f t="shared" si="42"/>
        <v>2.012087786221286</v>
      </c>
      <c r="U252" s="126">
        <f t="shared" si="43"/>
        <v>2.0351309647025628</v>
      </c>
      <c r="V252" s="126">
        <f t="shared" si="44"/>
        <v>2.7857477459038327</v>
      </c>
      <c r="W252" s="126">
        <f t="shared" si="45"/>
        <v>1.9007088438065647</v>
      </c>
      <c r="X252" s="126">
        <f t="shared" si="46"/>
        <v>2.2097045148393453</v>
      </c>
      <c r="Y252" s="126">
        <f t="shared" si="47"/>
        <v>3.2335302407454822</v>
      </c>
      <c r="Z252" s="126">
        <f t="shared" si="48"/>
        <v>2.4069256086086392</v>
      </c>
      <c r="AA252" s="126">
        <f t="shared" si="49"/>
        <v>2.7023167502078942</v>
      </c>
      <c r="AB252" s="126">
        <f t="shared" si="50"/>
        <v>4.4141266666457888</v>
      </c>
    </row>
    <row r="253" spans="1:28">
      <c r="A253">
        <v>252</v>
      </c>
      <c r="B253" s="119">
        <v>3.8408779149519887E-2</v>
      </c>
      <c r="F253">
        <v>5.6393842402072862E-3</v>
      </c>
      <c r="G253">
        <v>0.33897271757354058</v>
      </c>
      <c r="H253">
        <v>0.6723060509068739</v>
      </c>
      <c r="I253">
        <v>0.11675049535131839</v>
      </c>
      <c r="J253">
        <v>0.45008382868465169</v>
      </c>
      <c r="K253">
        <v>0.78341716201798495</v>
      </c>
      <c r="L253">
        <v>0.22786160646242951</v>
      </c>
      <c r="M253">
        <v>0.56119493979576285</v>
      </c>
      <c r="N253">
        <v>0.89452827312909611</v>
      </c>
      <c r="O253">
        <v>4.2676421277244324E-2</v>
      </c>
      <c r="R253">
        <v>2.5</v>
      </c>
      <c r="S253" s="126">
        <f t="shared" si="41"/>
        <v>0.32823281270221027</v>
      </c>
      <c r="T253" s="126">
        <f t="shared" si="42"/>
        <v>0.98418387963880505</v>
      </c>
      <c r="U253" s="126">
        <f t="shared" si="43"/>
        <v>2.024478113551623</v>
      </c>
      <c r="V253" s="126">
        <f t="shared" si="44"/>
        <v>1.1965726639522742</v>
      </c>
      <c r="W253" s="126">
        <f t="shared" si="45"/>
        <v>1.6596540665220576</v>
      </c>
      <c r="X253" s="126">
        <f t="shared" si="46"/>
        <v>2.6423362863572573</v>
      </c>
      <c r="Y253" s="126">
        <f t="shared" si="47"/>
        <v>1.8745410403873237</v>
      </c>
      <c r="Z253" s="126">
        <f t="shared" si="48"/>
        <v>2.2308905643485977</v>
      </c>
      <c r="AA253" s="126">
        <f t="shared" si="49"/>
        <v>3.3147775451674164</v>
      </c>
      <c r="AB253" s="126">
        <f t="shared" si="50"/>
        <v>1.4087173172206229</v>
      </c>
    </row>
    <row r="254" spans="1:28">
      <c r="A254">
        <v>253</v>
      </c>
      <c r="B254" s="119">
        <v>0.37174211248285322</v>
      </c>
      <c r="F254">
        <v>0.37600975461057762</v>
      </c>
      <c r="G254">
        <v>0.70934308794391099</v>
      </c>
      <c r="H254">
        <v>0.15378753238835544</v>
      </c>
      <c r="I254">
        <v>0.48712086572168872</v>
      </c>
      <c r="J254">
        <v>0.82045419905502193</v>
      </c>
      <c r="K254">
        <v>0.26489864349946651</v>
      </c>
      <c r="L254">
        <v>0.59823197683279983</v>
      </c>
      <c r="M254">
        <v>0.93156531016613309</v>
      </c>
      <c r="N254">
        <v>7.9713458314281352E-2</v>
      </c>
      <c r="O254">
        <v>0.41304679164761465</v>
      </c>
      <c r="R254">
        <v>2.5</v>
      </c>
      <c r="S254" s="126">
        <f t="shared" si="41"/>
        <v>2.1576091142670641</v>
      </c>
      <c r="T254" s="126">
        <f t="shared" si="42"/>
        <v>2.7009914716293415</v>
      </c>
      <c r="U254" s="126">
        <f t="shared" si="43"/>
        <v>1.6776829362193091</v>
      </c>
      <c r="V254" s="126">
        <f t="shared" si="44"/>
        <v>1.9782990717702984</v>
      </c>
      <c r="W254" s="126">
        <f t="shared" si="45"/>
        <v>2.9124424913459821</v>
      </c>
      <c r="X254" s="126">
        <f t="shared" si="46"/>
        <v>2.1072864209224904</v>
      </c>
      <c r="Y254" s="126">
        <f t="shared" si="47"/>
        <v>2.426037918656351</v>
      </c>
      <c r="Z254" s="126">
        <f t="shared" si="48"/>
        <v>3.607986051068901</v>
      </c>
      <c r="AA254" s="126">
        <f t="shared" si="49"/>
        <v>1.8146063159749997</v>
      </c>
      <c r="AB254" s="126">
        <f t="shared" si="50"/>
        <v>1.8925281311254147</v>
      </c>
    </row>
    <row r="255" spans="1:28">
      <c r="A255">
        <v>254</v>
      </c>
      <c r="B255" s="119">
        <v>0.70507544581618653</v>
      </c>
      <c r="F255">
        <v>0.74638012498094797</v>
      </c>
      <c r="G255">
        <v>0.19082456942539247</v>
      </c>
      <c r="H255">
        <v>0.52415790275872576</v>
      </c>
      <c r="I255">
        <v>0.85749123609205902</v>
      </c>
      <c r="J255">
        <v>0.30193568053650355</v>
      </c>
      <c r="K255">
        <v>0.63526901386983692</v>
      </c>
      <c r="L255">
        <v>0.96860234720317018</v>
      </c>
      <c r="M255">
        <v>1.7985063252552964E-2</v>
      </c>
      <c r="N255">
        <v>0.35131839658588626</v>
      </c>
      <c r="O255">
        <v>0.68465172991921952</v>
      </c>
      <c r="R255">
        <v>2.5</v>
      </c>
      <c r="S255" s="126">
        <f t="shared" si="41"/>
        <v>2.9651867859988768</v>
      </c>
      <c r="T255" s="126">
        <f t="shared" si="42"/>
        <v>1.9304443554109789</v>
      </c>
      <c r="U255" s="126">
        <f t="shared" si="43"/>
        <v>2.1819450032741137</v>
      </c>
      <c r="V255" s="126">
        <f t="shared" si="44"/>
        <v>3.140179646712133</v>
      </c>
      <c r="W255" s="126">
        <f t="shared" si="45"/>
        <v>2.3120413626452616</v>
      </c>
      <c r="X255" s="126">
        <f t="shared" si="46"/>
        <v>2.6090093473083158</v>
      </c>
      <c r="Y255" s="126">
        <f t="shared" si="47"/>
        <v>4.0076698138703648</v>
      </c>
      <c r="Z255" s="126">
        <f t="shared" si="48"/>
        <v>1.4461581460124577</v>
      </c>
      <c r="AA255" s="126">
        <f t="shared" si="49"/>
        <v>1.5736879877761842</v>
      </c>
      <c r="AB255" s="126">
        <f t="shared" si="50"/>
        <v>2.3491828959215009</v>
      </c>
    </row>
    <row r="256" spans="1:28">
      <c r="A256">
        <v>255</v>
      </c>
      <c r="B256" s="119">
        <v>0.14951989026063101</v>
      </c>
      <c r="F256">
        <v>0.12909617436366408</v>
      </c>
      <c r="G256">
        <v>0.46242950769699737</v>
      </c>
      <c r="H256">
        <v>0.79576284103033068</v>
      </c>
      <c r="I256">
        <v>0.24020728547477518</v>
      </c>
      <c r="J256">
        <v>0.57354061880810858</v>
      </c>
      <c r="K256">
        <v>0.90687395214144184</v>
      </c>
      <c r="L256">
        <v>5.5022100289590002E-2</v>
      </c>
      <c r="M256">
        <v>0.3883554336229233</v>
      </c>
      <c r="N256">
        <v>0.72168876695625672</v>
      </c>
      <c r="O256">
        <v>0.16613321140070111</v>
      </c>
      <c r="R256">
        <v>2.5</v>
      </c>
      <c r="S256" s="126">
        <f t="shared" si="41"/>
        <v>1.4856475644197309</v>
      </c>
      <c r="T256" s="126">
        <f t="shared" si="42"/>
        <v>1.8306229776110821</v>
      </c>
      <c r="U256" s="126">
        <f t="shared" si="43"/>
        <v>2.763562953320768</v>
      </c>
      <c r="V256" s="126">
        <f t="shared" si="44"/>
        <v>1.96868566106953</v>
      </c>
      <c r="W256" s="126">
        <f t="shared" si="45"/>
        <v>2.3041031408827717</v>
      </c>
      <c r="X256" s="126">
        <f t="shared" si="46"/>
        <v>3.4099473880341535</v>
      </c>
      <c r="Y256" s="126">
        <f t="shared" si="47"/>
        <v>1.5575411315650185</v>
      </c>
      <c r="Z256" s="126">
        <f t="shared" si="48"/>
        <v>1.7106278006232241</v>
      </c>
      <c r="AA256" s="126">
        <f t="shared" si="49"/>
        <v>2.5063605708533965</v>
      </c>
      <c r="AB256" s="126">
        <f t="shared" si="50"/>
        <v>1.6217321070050823</v>
      </c>
    </row>
    <row r="257" spans="1:28">
      <c r="A257">
        <v>256</v>
      </c>
      <c r="B257" s="119">
        <v>0.48285322359396432</v>
      </c>
      <c r="F257">
        <v>0.4994665447340344</v>
      </c>
      <c r="G257">
        <v>0.83279987806736766</v>
      </c>
      <c r="H257">
        <v>0.27724432251181219</v>
      </c>
      <c r="I257">
        <v>0.61057765584514556</v>
      </c>
      <c r="J257">
        <v>0.94391098917847882</v>
      </c>
      <c r="K257">
        <v>9.205913732662703E-2</v>
      </c>
      <c r="L257">
        <v>0.42539247065996033</v>
      </c>
      <c r="M257">
        <v>0.7587258039932937</v>
      </c>
      <c r="N257">
        <v>0.20317024843773815</v>
      </c>
      <c r="O257">
        <v>0.53650358177107138</v>
      </c>
      <c r="R257">
        <v>2.5</v>
      </c>
      <c r="S257" s="126">
        <f t="shared" si="41"/>
        <v>2.4171245385124802</v>
      </c>
      <c r="T257" s="126">
        <f t="shared" si="42"/>
        <v>3.172744330071231</v>
      </c>
      <c r="U257" s="126">
        <f t="shared" si="43"/>
        <v>2.2688528239375629</v>
      </c>
      <c r="V257" s="126">
        <f t="shared" si="44"/>
        <v>2.5336772641134804</v>
      </c>
      <c r="W257" s="126">
        <f t="shared" si="45"/>
        <v>3.7453312740787643</v>
      </c>
      <c r="X257" s="126">
        <f t="shared" si="46"/>
        <v>1.9486471373036918</v>
      </c>
      <c r="Y257" s="126">
        <f t="shared" si="47"/>
        <v>1.9859585963328978</v>
      </c>
      <c r="Z257" s="126">
        <f t="shared" si="48"/>
        <v>2.7390527980043173</v>
      </c>
      <c r="AA257" s="126">
        <f t="shared" si="49"/>
        <v>1.8535020696963067</v>
      </c>
      <c r="AB257" s="126">
        <f t="shared" si="50"/>
        <v>2.1688731516520536</v>
      </c>
    </row>
    <row r="258" spans="1:28">
      <c r="A258">
        <v>257</v>
      </c>
      <c r="B258" s="119">
        <v>0.81618655692729747</v>
      </c>
      <c r="F258">
        <v>0.86983691510440464</v>
      </c>
      <c r="G258">
        <v>0.31428135954884923</v>
      </c>
      <c r="H258">
        <v>0.64761469288218254</v>
      </c>
      <c r="I258">
        <v>0.9809480262155158</v>
      </c>
      <c r="J258">
        <v>3.0330742264898642E-2</v>
      </c>
      <c r="K258">
        <v>0.36366407559823194</v>
      </c>
      <c r="L258">
        <v>0.69699740893156525</v>
      </c>
      <c r="M258">
        <v>0.14144185337600976</v>
      </c>
      <c r="N258">
        <v>0.47477518670934304</v>
      </c>
      <c r="O258">
        <v>0.8081085200426763</v>
      </c>
      <c r="R258">
        <v>2.5</v>
      </c>
      <c r="S258" s="126">
        <f t="shared" si="41"/>
        <v>3.346639262163575</v>
      </c>
      <c r="T258" s="126">
        <f t="shared" si="42"/>
        <v>2.4447506538097348</v>
      </c>
      <c r="U258" s="126">
        <f t="shared" si="43"/>
        <v>2.7029664090354775</v>
      </c>
      <c r="V258" s="126">
        <f t="shared" si="44"/>
        <v>4.2306548185484987</v>
      </c>
      <c r="W258" s="126">
        <f t="shared" si="45"/>
        <v>1.7407670192084623</v>
      </c>
      <c r="X258" s="126">
        <f t="shared" si="46"/>
        <v>1.7490441314292</v>
      </c>
      <c r="Y258" s="126">
        <f t="shared" si="47"/>
        <v>2.4662157776206204</v>
      </c>
      <c r="Z258" s="126">
        <f t="shared" si="48"/>
        <v>1.5155245847736196</v>
      </c>
      <c r="AA258" s="126">
        <f t="shared" si="49"/>
        <v>1.8712438288138484</v>
      </c>
      <c r="AB258" s="126">
        <f t="shared" si="50"/>
        <v>2.8205718741826633</v>
      </c>
    </row>
    <row r="259" spans="1:28">
      <c r="A259">
        <v>258</v>
      </c>
      <c r="B259" s="119">
        <v>0.26063100137174211</v>
      </c>
      <c r="F259">
        <v>0.25255296448712083</v>
      </c>
      <c r="G259">
        <v>0.5858862978204542</v>
      </c>
      <c r="H259">
        <v>0.91921963115378746</v>
      </c>
      <c r="I259">
        <v>6.7367779301935674E-2</v>
      </c>
      <c r="J259">
        <v>0.40070111263526897</v>
      </c>
      <c r="K259">
        <v>0.73403444596860234</v>
      </c>
      <c r="L259">
        <v>0.17847889041304679</v>
      </c>
      <c r="M259">
        <v>0.51181222374638013</v>
      </c>
      <c r="N259">
        <v>0.84514555707971328</v>
      </c>
      <c r="O259">
        <v>0.28959000152415787</v>
      </c>
      <c r="R259">
        <v>2.5</v>
      </c>
      <c r="S259" s="126">
        <f t="shared" si="41"/>
        <v>1.8685167830669358</v>
      </c>
      <c r="T259" s="126">
        <f t="shared" si="42"/>
        <v>2.2798054034759505</v>
      </c>
      <c r="U259" s="126">
        <f t="shared" si="43"/>
        <v>3.4621470417040503</v>
      </c>
      <c r="V259" s="126">
        <f t="shared" si="44"/>
        <v>1.6681609148713252</v>
      </c>
      <c r="W259" s="126">
        <f t="shared" si="45"/>
        <v>1.792680882500759</v>
      </c>
      <c r="X259" s="126">
        <f t="shared" si="46"/>
        <v>2.5782790577219075</v>
      </c>
      <c r="Y259" s="126">
        <f t="shared" si="47"/>
        <v>1.6977833200967156</v>
      </c>
      <c r="Z259" s="126">
        <f t="shared" si="48"/>
        <v>2.0394582888858857</v>
      </c>
      <c r="AA259" s="126">
        <f t="shared" si="49"/>
        <v>3.0246182910150163</v>
      </c>
      <c r="AB259" s="126">
        <f t="shared" si="50"/>
        <v>2.2244806352756576</v>
      </c>
    </row>
    <row r="260" spans="1:28">
      <c r="A260">
        <v>259</v>
      </c>
      <c r="B260" s="119">
        <v>0.59396433470507537</v>
      </c>
      <c r="F260">
        <v>0.62292333485749118</v>
      </c>
      <c r="G260">
        <v>0.95625666819082444</v>
      </c>
      <c r="H260">
        <v>0.10440481633897271</v>
      </c>
      <c r="I260">
        <v>0.43773814967230601</v>
      </c>
      <c r="J260">
        <v>0.77107148300563932</v>
      </c>
      <c r="K260">
        <v>0.21551592745008383</v>
      </c>
      <c r="L260">
        <v>0.54884926078341711</v>
      </c>
      <c r="M260">
        <v>0.88218259411675037</v>
      </c>
      <c r="N260">
        <v>0.3266270385611949</v>
      </c>
      <c r="O260">
        <v>0.65996037189452827</v>
      </c>
      <c r="R260">
        <v>2.5</v>
      </c>
      <c r="S260" s="126">
        <f t="shared" si="41"/>
        <v>2.6765280790631363</v>
      </c>
      <c r="T260" s="126">
        <f t="shared" si="42"/>
        <v>3.9163746532933081</v>
      </c>
      <c r="U260" s="126">
        <f t="shared" si="43"/>
        <v>2.0934512774424898</v>
      </c>
      <c r="V260" s="126">
        <f t="shared" si="44"/>
        <v>2.0846446723577468</v>
      </c>
      <c r="W260" s="126">
        <f t="shared" si="45"/>
        <v>2.8217850120472581</v>
      </c>
      <c r="X260" s="126">
        <f t="shared" si="46"/>
        <v>1.9304866685629927</v>
      </c>
      <c r="Y260" s="126">
        <f t="shared" si="47"/>
        <v>2.233237979318563</v>
      </c>
      <c r="Z260" s="126">
        <f t="shared" si="48"/>
        <v>3.2623395163227062</v>
      </c>
      <c r="AA260" s="126">
        <f t="shared" si="49"/>
        <v>2.4308410310995554</v>
      </c>
      <c r="AB260" s="126">
        <f t="shared" si="50"/>
        <v>2.7235785293991479</v>
      </c>
    </row>
    <row r="261" spans="1:28">
      <c r="A261">
        <v>260</v>
      </c>
      <c r="B261" s="119">
        <v>0.92729766803840863</v>
      </c>
      <c r="F261">
        <v>0.99329370522786153</v>
      </c>
      <c r="G261">
        <v>9.7546105776558454E-3</v>
      </c>
      <c r="H261">
        <v>0.34308794391098918</v>
      </c>
      <c r="I261">
        <v>0.67642127724432244</v>
      </c>
      <c r="J261">
        <v>0.12086572168876696</v>
      </c>
      <c r="K261">
        <v>0.45419905502210028</v>
      </c>
      <c r="L261">
        <v>0.78753238835543349</v>
      </c>
      <c r="M261">
        <v>0.23197683279987805</v>
      </c>
      <c r="N261">
        <v>0.56531016613321139</v>
      </c>
      <c r="O261">
        <v>0.89864349946654465</v>
      </c>
      <c r="R261">
        <v>2.5</v>
      </c>
      <c r="S261" s="126">
        <f t="shared" si="41"/>
        <v>4.457646130587313</v>
      </c>
      <c r="T261" s="126">
        <f t="shared" si="42"/>
        <v>1.4756920078238425</v>
      </c>
      <c r="U261" s="126">
        <f t="shared" si="43"/>
        <v>1.5701497314788158</v>
      </c>
      <c r="V261" s="126">
        <f t="shared" si="44"/>
        <v>2.3284077566695145</v>
      </c>
      <c r="W261" s="126">
        <f t="shared" si="45"/>
        <v>1.3664165522672482</v>
      </c>
      <c r="X261" s="126">
        <f t="shared" si="46"/>
        <v>1.7535874787048431</v>
      </c>
      <c r="Y261" s="126">
        <f t="shared" si="47"/>
        <v>2.7011789049773278</v>
      </c>
      <c r="Z261" s="126">
        <f t="shared" si="48"/>
        <v>1.9152959165348098</v>
      </c>
      <c r="AA261" s="126">
        <f t="shared" si="49"/>
        <v>2.2599906328397705</v>
      </c>
      <c r="AB261" s="126">
        <f t="shared" si="50"/>
        <v>3.3482785427052901</v>
      </c>
    </row>
    <row r="262" spans="1:28">
      <c r="A262">
        <v>261</v>
      </c>
      <c r="B262" s="119">
        <v>7.5445816186556922E-2</v>
      </c>
      <c r="F262">
        <v>4.6791647614692886E-2</v>
      </c>
      <c r="G262">
        <v>0.38012498094802621</v>
      </c>
      <c r="H262">
        <v>0.71345831428135953</v>
      </c>
      <c r="I262">
        <v>0.15790275872580398</v>
      </c>
      <c r="J262">
        <v>0.49123609205913732</v>
      </c>
      <c r="K262">
        <v>0.82456942539247047</v>
      </c>
      <c r="L262">
        <v>0.26901386983691511</v>
      </c>
      <c r="M262">
        <v>0.60234720317024837</v>
      </c>
      <c r="N262">
        <v>0.93568053650358163</v>
      </c>
      <c r="O262">
        <v>8.3828684651729921E-2</v>
      </c>
      <c r="R262">
        <v>2.5</v>
      </c>
      <c r="S262" s="126">
        <f t="shared" si="41"/>
        <v>1.0352099573593989</v>
      </c>
      <c r="T262" s="126">
        <f t="shared" si="42"/>
        <v>1.4303341331325981</v>
      </c>
      <c r="U262" s="126">
        <f t="shared" si="43"/>
        <v>2.3454016104047404</v>
      </c>
      <c r="V262" s="126">
        <f t="shared" si="44"/>
        <v>1.5131572755624385</v>
      </c>
      <c r="W262" s="126">
        <f t="shared" si="45"/>
        <v>1.9041197386455542</v>
      </c>
      <c r="X262" s="126">
        <f t="shared" si="46"/>
        <v>2.8882106378719303</v>
      </c>
      <c r="Y262" s="126">
        <f t="shared" si="47"/>
        <v>2.1054317813763177</v>
      </c>
      <c r="Z262" s="126">
        <f t="shared" si="48"/>
        <v>2.4338930631349447</v>
      </c>
      <c r="AA262" s="126">
        <f t="shared" si="49"/>
        <v>3.6382783514582107</v>
      </c>
      <c r="AB262" s="126">
        <f t="shared" si="50"/>
        <v>1.852291567671809</v>
      </c>
    </row>
    <row r="263" spans="1:28">
      <c r="A263">
        <v>262</v>
      </c>
      <c r="B263" s="119">
        <v>0.40877914951989025</v>
      </c>
      <c r="F263">
        <v>0.41716201798506325</v>
      </c>
      <c r="G263">
        <v>0.75049535131839651</v>
      </c>
      <c r="H263">
        <v>0.19493979576284101</v>
      </c>
      <c r="I263">
        <v>0.5282731290961743</v>
      </c>
      <c r="J263">
        <v>0.86160646242950756</v>
      </c>
      <c r="K263">
        <v>0.30605090687395214</v>
      </c>
      <c r="L263">
        <v>0.63938424020728546</v>
      </c>
      <c r="M263">
        <v>0.97271757354061872</v>
      </c>
      <c r="N263">
        <v>2.2100289590001522E-2</v>
      </c>
      <c r="O263">
        <v>0.35543362292333486</v>
      </c>
      <c r="R263">
        <v>2.5</v>
      </c>
      <c r="S263" s="126">
        <f t="shared" si="41"/>
        <v>2.2457130103797525</v>
      </c>
      <c r="T263" s="126">
        <f t="shared" si="42"/>
        <v>2.8480283232123198</v>
      </c>
      <c r="U263" s="126">
        <f t="shared" si="43"/>
        <v>1.8839539516884911</v>
      </c>
      <c r="V263" s="126">
        <f t="shared" si="44"/>
        <v>2.1671054752759367</v>
      </c>
      <c r="W263" s="126">
        <f t="shared" si="45"/>
        <v>3.1479384763969644</v>
      </c>
      <c r="X263" s="126">
        <f t="shared" si="46"/>
        <v>2.3256454093817087</v>
      </c>
      <c r="Y263" s="126">
        <f t="shared" si="47"/>
        <v>2.6248964978883635</v>
      </c>
      <c r="Z263" s="126">
        <f t="shared" si="48"/>
        <v>4.0665342323820823</v>
      </c>
      <c r="AA263" s="126">
        <f t="shared" si="49"/>
        <v>1.5459184536646706</v>
      </c>
      <c r="AB263" s="126">
        <f t="shared" si="50"/>
        <v>1.6329596212671731</v>
      </c>
    </row>
    <row r="264" spans="1:28">
      <c r="A264">
        <v>263</v>
      </c>
      <c r="B264" s="119">
        <v>0.74211248285322351</v>
      </c>
      <c r="F264">
        <v>0.68876695625666806</v>
      </c>
      <c r="G264">
        <v>0.13321140070111262</v>
      </c>
      <c r="H264">
        <v>0.46654473403444596</v>
      </c>
      <c r="I264">
        <v>0.79987806736777922</v>
      </c>
      <c r="J264">
        <v>0.24432251181222372</v>
      </c>
      <c r="K264">
        <v>0.57765584514555712</v>
      </c>
      <c r="L264">
        <v>0.91098917847889038</v>
      </c>
      <c r="M264">
        <v>5.9137326627038564E-2</v>
      </c>
      <c r="N264">
        <v>0.39247065996037189</v>
      </c>
      <c r="O264">
        <v>0.72580399329370526</v>
      </c>
      <c r="R264">
        <v>2.5</v>
      </c>
      <c r="S264" s="126">
        <f t="shared" si="41"/>
        <v>2.8243245486810711</v>
      </c>
      <c r="T264" s="126">
        <f t="shared" si="42"/>
        <v>1.6646012086999813</v>
      </c>
      <c r="U264" s="126">
        <f t="shared" si="43"/>
        <v>1.9291070788584426</v>
      </c>
      <c r="V264" s="126">
        <f t="shared" si="44"/>
        <v>2.8251066895448105</v>
      </c>
      <c r="W264" s="126">
        <f t="shared" si="45"/>
        <v>2.0104804903536948</v>
      </c>
      <c r="X264" s="126">
        <f t="shared" si="46"/>
        <v>2.3337733888687251</v>
      </c>
      <c r="Y264" s="126">
        <f t="shared" si="47"/>
        <v>3.4455815042233269</v>
      </c>
      <c r="Z264" s="126">
        <f t="shared" si="48"/>
        <v>1.6050924116538949</v>
      </c>
      <c r="AA264" s="126">
        <f t="shared" si="49"/>
        <v>1.7433710189795772</v>
      </c>
      <c r="AB264" s="126">
        <f t="shared" si="50"/>
        <v>2.5329670830863575</v>
      </c>
    </row>
    <row r="265" spans="1:28">
      <c r="A265">
        <v>264</v>
      </c>
      <c r="B265" s="119">
        <v>0.18655692729766804</v>
      </c>
      <c r="F265">
        <v>0.17024843773814965</v>
      </c>
      <c r="G265">
        <v>0.50358177107148294</v>
      </c>
      <c r="H265">
        <v>0.8369151044048162</v>
      </c>
      <c r="I265">
        <v>0.28135954884926079</v>
      </c>
      <c r="J265">
        <v>0.6146928821825941</v>
      </c>
      <c r="K265">
        <v>0.94802621551592736</v>
      </c>
      <c r="L265">
        <v>9.6174363664075599E-2</v>
      </c>
      <c r="M265">
        <v>0.42950769699740893</v>
      </c>
      <c r="N265">
        <v>0.76284103033074224</v>
      </c>
      <c r="O265">
        <v>0.20728547477518669</v>
      </c>
      <c r="R265">
        <v>2.5</v>
      </c>
      <c r="S265" s="126">
        <f t="shared" si="41"/>
        <v>1.6320413156079545</v>
      </c>
      <c r="T265" s="126">
        <f t="shared" si="42"/>
        <v>1.9893966982081941</v>
      </c>
      <c r="U265" s="126">
        <f t="shared" si="43"/>
        <v>2.9714347297285322</v>
      </c>
      <c r="V265" s="126">
        <f t="shared" si="44"/>
        <v>2.1777701430890311</v>
      </c>
      <c r="W265" s="126">
        <f t="shared" si="45"/>
        <v>2.4967629227942005</v>
      </c>
      <c r="X265" s="126">
        <f t="shared" si="46"/>
        <v>3.7577333744359338</v>
      </c>
      <c r="Y265" s="126">
        <f t="shared" si="47"/>
        <v>1.975103516901777</v>
      </c>
      <c r="Z265" s="126">
        <f t="shared" si="48"/>
        <v>2.0079071668640642</v>
      </c>
      <c r="AA265" s="126">
        <f t="shared" si="49"/>
        <v>2.7610222162020923</v>
      </c>
      <c r="AB265" s="126">
        <f t="shared" si="50"/>
        <v>1.8764825218120671</v>
      </c>
    </row>
    <row r="266" spans="1:28">
      <c r="A266">
        <v>265</v>
      </c>
      <c r="B266" s="119">
        <v>0.5198902606310013</v>
      </c>
      <c r="F266">
        <v>0.54061880810851992</v>
      </c>
      <c r="G266">
        <v>0.87395214144185318</v>
      </c>
      <c r="H266">
        <v>0.31839658588629782</v>
      </c>
      <c r="I266">
        <v>0.65172991921963108</v>
      </c>
      <c r="J266">
        <v>0.98506325255296434</v>
      </c>
      <c r="K266">
        <v>3.4445968602347207E-2</v>
      </c>
      <c r="L266">
        <v>0.36777930193568054</v>
      </c>
      <c r="M266">
        <v>0.7011126352690138</v>
      </c>
      <c r="N266">
        <v>0.1455570797134583</v>
      </c>
      <c r="O266">
        <v>0.47889041304679164</v>
      </c>
      <c r="R266">
        <v>2.5</v>
      </c>
      <c r="S266" s="126">
        <f t="shared" si="41"/>
        <v>2.5023511079512892</v>
      </c>
      <c r="T266" s="126">
        <f t="shared" si="42"/>
        <v>3.3640310136887832</v>
      </c>
      <c r="U266" s="126">
        <f t="shared" si="43"/>
        <v>2.4630294208897601</v>
      </c>
      <c r="V266" s="126">
        <f t="shared" si="44"/>
        <v>2.721313995125592</v>
      </c>
      <c r="W266" s="126">
        <f t="shared" si="45"/>
        <v>4.3207305112551948</v>
      </c>
      <c r="X266" s="126">
        <f t="shared" si="46"/>
        <v>1.8329099991675997</v>
      </c>
      <c r="Y266" s="126">
        <f t="shared" si="47"/>
        <v>1.8043794794189276</v>
      </c>
      <c r="Z266" s="126">
        <f t="shared" si="48"/>
        <v>2.5037757356855304</v>
      </c>
      <c r="AA266" s="126">
        <f t="shared" si="49"/>
        <v>1.5493997588532851</v>
      </c>
      <c r="AB266" s="126">
        <f t="shared" si="50"/>
        <v>1.8967919983574109</v>
      </c>
    </row>
    <row r="267" spans="1:28">
      <c r="A267">
        <v>266</v>
      </c>
      <c r="B267" s="119">
        <v>0.85322359396433456</v>
      </c>
      <c r="F267">
        <v>0.81222374638012484</v>
      </c>
      <c r="G267">
        <v>0.25666819082456943</v>
      </c>
      <c r="H267">
        <v>0.59000152415790275</v>
      </c>
      <c r="I267">
        <v>0.92333485749123601</v>
      </c>
      <c r="J267">
        <v>7.1483005639384242E-2</v>
      </c>
      <c r="K267">
        <v>0.40481633897271757</v>
      </c>
      <c r="L267">
        <v>0.73814967230605089</v>
      </c>
      <c r="M267">
        <v>0.18259411675049533</v>
      </c>
      <c r="N267">
        <v>0.51592745008382868</v>
      </c>
      <c r="O267">
        <v>0.84926078341716182</v>
      </c>
      <c r="R267">
        <v>2.5</v>
      </c>
      <c r="S267" s="126">
        <f t="shared" si="41"/>
        <v>3.1490997663907834</v>
      </c>
      <c r="T267" s="126">
        <f t="shared" si="42"/>
        <v>2.2053332574405204</v>
      </c>
      <c r="U267" s="126">
        <f t="shared" si="43"/>
        <v>2.4578102657139689</v>
      </c>
      <c r="V267" s="126">
        <f t="shared" si="44"/>
        <v>3.5747271760378125</v>
      </c>
      <c r="W267" s="126">
        <f t="shared" si="45"/>
        <v>1.7501896253239135</v>
      </c>
      <c r="X267" s="126">
        <f t="shared" si="46"/>
        <v>1.8426784850756508</v>
      </c>
      <c r="Y267" s="126">
        <f t="shared" si="47"/>
        <v>2.6137924873264859</v>
      </c>
      <c r="Z267" s="126">
        <f t="shared" si="48"/>
        <v>1.7285439444386355</v>
      </c>
      <c r="AA267" s="126">
        <f t="shared" si="49"/>
        <v>2.0634318567589269</v>
      </c>
      <c r="AB267" s="126">
        <f t="shared" si="50"/>
        <v>3.0510478521684923</v>
      </c>
    </row>
    <row r="268" spans="1:28">
      <c r="A268">
        <v>267</v>
      </c>
      <c r="B268" s="119">
        <v>0.29766803840877915</v>
      </c>
      <c r="F268">
        <v>0.29370522786160647</v>
      </c>
      <c r="G268">
        <v>0.62703856119493973</v>
      </c>
      <c r="H268">
        <v>0.96037189452827298</v>
      </c>
      <c r="I268">
        <v>0.10852004267642128</v>
      </c>
      <c r="J268">
        <v>0.44185337600975461</v>
      </c>
      <c r="K268">
        <v>0.77518670934308787</v>
      </c>
      <c r="L268">
        <v>0.21963115378753237</v>
      </c>
      <c r="M268">
        <v>0.55296448712086566</v>
      </c>
      <c r="N268">
        <v>0.88629782045419891</v>
      </c>
      <c r="O268">
        <v>0.3307422648986435</v>
      </c>
      <c r="R268">
        <v>2.5</v>
      </c>
      <c r="S268" s="126">
        <f t="shared" si="41"/>
        <v>1.9706972079678244</v>
      </c>
      <c r="T268" s="126">
        <f t="shared" si="42"/>
        <v>2.4194515690269975</v>
      </c>
      <c r="U268" s="126">
        <f t="shared" si="43"/>
        <v>3.8252827316814253</v>
      </c>
      <c r="V268" s="126">
        <f t="shared" si="44"/>
        <v>2.0661508513190929</v>
      </c>
      <c r="W268" s="126">
        <f t="shared" si="45"/>
        <v>2.0795297991639141</v>
      </c>
      <c r="X268" s="126">
        <f t="shared" si="46"/>
        <v>2.8304790275709646</v>
      </c>
      <c r="Y268" s="126">
        <f t="shared" si="47"/>
        <v>1.9463932812965803</v>
      </c>
      <c r="Z268" s="126">
        <f t="shared" si="48"/>
        <v>2.2498107103217913</v>
      </c>
      <c r="AA268" s="126">
        <f t="shared" si="49"/>
        <v>3.2880754125731104</v>
      </c>
      <c r="AB268" s="126">
        <f t="shared" si="50"/>
        <v>2.4531635240317495</v>
      </c>
    </row>
    <row r="269" spans="1:28">
      <c r="A269">
        <v>268</v>
      </c>
      <c r="B269" s="119">
        <v>0.63100137174211246</v>
      </c>
      <c r="F269">
        <v>0.66407559823197682</v>
      </c>
      <c r="G269">
        <v>0.99740893156531008</v>
      </c>
      <c r="H269">
        <v>2.8959000152415787E-3</v>
      </c>
      <c r="I269">
        <v>0.33622923334857491</v>
      </c>
      <c r="J269">
        <v>0.66956256668190828</v>
      </c>
      <c r="K269">
        <v>0.11400701112635268</v>
      </c>
      <c r="L269">
        <v>0.44734034445968601</v>
      </c>
      <c r="M269">
        <v>0.78067367779301933</v>
      </c>
      <c r="N269">
        <v>0.22511812223746377</v>
      </c>
      <c r="O269">
        <v>0.55845145557079723</v>
      </c>
      <c r="R269">
        <v>2.5</v>
      </c>
      <c r="S269" s="126">
        <f t="shared" si="41"/>
        <v>2.7676226162512783</v>
      </c>
      <c r="T269" s="126">
        <f t="shared" si="42"/>
        <v>4.8584533621104633</v>
      </c>
      <c r="U269" s="126">
        <f t="shared" si="43"/>
        <v>1.3276813471430828</v>
      </c>
      <c r="V269" s="126">
        <f t="shared" si="44"/>
        <v>1.4803141769076995</v>
      </c>
      <c r="W269" s="126">
        <f t="shared" si="45"/>
        <v>2.2675777267272244</v>
      </c>
      <c r="X269" s="126">
        <f t="shared" si="46"/>
        <v>1.3071234816641453</v>
      </c>
      <c r="Y269" s="126">
        <f t="shared" si="47"/>
        <v>1.7094975032829796</v>
      </c>
      <c r="Z269" s="126">
        <f t="shared" si="48"/>
        <v>2.6597041010362723</v>
      </c>
      <c r="AA269" s="126">
        <f t="shared" si="49"/>
        <v>1.875753211268357</v>
      </c>
      <c r="AB269" s="126">
        <f t="shared" si="50"/>
        <v>2.2257631061886189</v>
      </c>
    </row>
    <row r="270" spans="1:28">
      <c r="A270">
        <v>269</v>
      </c>
      <c r="B270" s="119">
        <v>0.96433470507544572</v>
      </c>
      <c r="F270">
        <v>0.89178478890413049</v>
      </c>
      <c r="G270">
        <v>3.9932937052278614E-2</v>
      </c>
      <c r="H270">
        <v>0.37326627038561194</v>
      </c>
      <c r="I270">
        <v>0.70659960371894537</v>
      </c>
      <c r="J270">
        <v>0.1510440481633897</v>
      </c>
      <c r="K270">
        <v>0.48437738149672305</v>
      </c>
      <c r="L270">
        <v>0.81771071483005631</v>
      </c>
      <c r="M270">
        <v>0.26215515927450084</v>
      </c>
      <c r="N270">
        <v>0.59548849260783421</v>
      </c>
      <c r="O270">
        <v>0.92882182594116747</v>
      </c>
      <c r="R270">
        <v>2.5</v>
      </c>
      <c r="S270" s="126">
        <f t="shared" si="41"/>
        <v>3.4377426868784551</v>
      </c>
      <c r="T270" s="126">
        <f t="shared" si="42"/>
        <v>1.4449287216826119</v>
      </c>
      <c r="U270" s="126">
        <f t="shared" si="43"/>
        <v>1.6213610131906031</v>
      </c>
      <c r="V270" s="126">
        <f t="shared" si="44"/>
        <v>2.4248840697199907</v>
      </c>
      <c r="W270" s="126">
        <f t="shared" si="45"/>
        <v>1.5293087062294197</v>
      </c>
      <c r="X270" s="126">
        <f t="shared" si="46"/>
        <v>1.8980504878730491</v>
      </c>
      <c r="Y270" s="126">
        <f t="shared" si="47"/>
        <v>2.8635133379929476</v>
      </c>
      <c r="Z270" s="126">
        <f t="shared" si="48"/>
        <v>2.0757664804443721</v>
      </c>
      <c r="AA270" s="126">
        <f t="shared" si="49"/>
        <v>2.4043507793327206</v>
      </c>
      <c r="AB270" s="126">
        <f t="shared" si="50"/>
        <v>3.5801954971314389</v>
      </c>
    </row>
    <row r="271" spans="1:28">
      <c r="A271">
        <v>270</v>
      </c>
      <c r="B271" s="119">
        <v>1.3717421124828532E-2</v>
      </c>
      <c r="F271">
        <v>7.6969974089315649E-2</v>
      </c>
      <c r="G271">
        <v>0.41030330742264898</v>
      </c>
      <c r="H271">
        <v>0.74363664075598235</v>
      </c>
      <c r="I271">
        <v>0.18808108520042674</v>
      </c>
      <c r="J271">
        <v>0.52141441853376014</v>
      </c>
      <c r="K271">
        <v>0.8547477518670934</v>
      </c>
      <c r="L271">
        <v>0.29919219631153787</v>
      </c>
      <c r="M271">
        <v>0.6325255296448713</v>
      </c>
      <c r="N271">
        <v>0.96585886297820456</v>
      </c>
      <c r="O271">
        <v>1.5241579027587257E-2</v>
      </c>
      <c r="R271">
        <v>2.5</v>
      </c>
      <c r="S271" s="126">
        <f t="shared" si="41"/>
        <v>1.2422672117444069</v>
      </c>
      <c r="T271" s="126">
        <f t="shared" si="42"/>
        <v>1.5990553109080552</v>
      </c>
      <c r="U271" s="126">
        <f t="shared" si="43"/>
        <v>2.5053249334286782</v>
      </c>
      <c r="V271" s="126">
        <f t="shared" si="44"/>
        <v>1.6909642221813419</v>
      </c>
      <c r="W271" s="126">
        <f t="shared" si="45"/>
        <v>2.0559009443148235</v>
      </c>
      <c r="X271" s="126">
        <f t="shared" si="46"/>
        <v>3.0668496701673629</v>
      </c>
      <c r="Y271" s="126">
        <f t="shared" si="47"/>
        <v>2.2686830910853892</v>
      </c>
      <c r="Z271" s="126">
        <f t="shared" si="48"/>
        <v>2.5812033977629962</v>
      </c>
      <c r="AA271" s="126">
        <f t="shared" si="49"/>
        <v>3.962765680102764</v>
      </c>
      <c r="AB271" s="126">
        <f t="shared" si="50"/>
        <v>1.3687483534859362</v>
      </c>
    </row>
    <row r="272" spans="1:28">
      <c r="A272">
        <v>271</v>
      </c>
      <c r="B272" s="119">
        <v>0.34705075445816186</v>
      </c>
      <c r="F272">
        <v>0.34857491236092059</v>
      </c>
      <c r="G272">
        <v>0.6819082456942539</v>
      </c>
      <c r="H272">
        <v>0.12635269013869835</v>
      </c>
      <c r="I272">
        <v>0.45968602347203169</v>
      </c>
      <c r="J272">
        <v>0.79301935680536506</v>
      </c>
      <c r="K272">
        <v>0.23746380124980945</v>
      </c>
      <c r="L272">
        <v>0.57079713458314296</v>
      </c>
      <c r="M272">
        <v>0.90413046791647622</v>
      </c>
      <c r="N272">
        <v>5.2278616064624292E-2</v>
      </c>
      <c r="O272">
        <v>0.38561194939795762</v>
      </c>
      <c r="R272">
        <v>2.5</v>
      </c>
      <c r="S272" s="126">
        <f t="shared" si="41"/>
        <v>2.0972393890462042</v>
      </c>
      <c r="T272" s="126">
        <f t="shared" si="42"/>
        <v>2.6059646590453269</v>
      </c>
      <c r="U272" s="126">
        <f t="shared" si="43"/>
        <v>1.5280766325473798</v>
      </c>
      <c r="V272" s="126">
        <f t="shared" si="44"/>
        <v>1.8462485785795224</v>
      </c>
      <c r="W272" s="126">
        <f t="shared" si="45"/>
        <v>2.7634661527673816</v>
      </c>
      <c r="X272" s="126">
        <f t="shared" si="46"/>
        <v>1.961338666314282</v>
      </c>
      <c r="Y272" s="126">
        <f t="shared" si="47"/>
        <v>2.2946438490673895</v>
      </c>
      <c r="Z272" s="126">
        <f t="shared" si="48"/>
        <v>3.3917520480035219</v>
      </c>
      <c r="AA272" s="126">
        <f t="shared" si="49"/>
        <v>1.5276474702445717</v>
      </c>
      <c r="AB272" s="126">
        <f t="shared" si="50"/>
        <v>1.6896923692082442</v>
      </c>
    </row>
    <row r="273" spans="1:28">
      <c r="A273">
        <v>272</v>
      </c>
      <c r="B273" s="119">
        <v>0.68038408779149506</v>
      </c>
      <c r="F273">
        <v>0.7189452827312911</v>
      </c>
      <c r="G273">
        <v>0.16338972717573538</v>
      </c>
      <c r="H273">
        <v>0.49672306050906873</v>
      </c>
      <c r="I273">
        <v>0.83005639384240204</v>
      </c>
      <c r="J273">
        <v>0.27450083828684652</v>
      </c>
      <c r="K273">
        <v>0.60783417162017994</v>
      </c>
      <c r="L273">
        <v>0.9411675049535132</v>
      </c>
      <c r="M273">
        <v>8.9315653101661327E-2</v>
      </c>
      <c r="N273">
        <v>0.42264898643499466</v>
      </c>
      <c r="O273">
        <v>0.75598231976832808</v>
      </c>
      <c r="R273">
        <v>2.5</v>
      </c>
      <c r="S273" s="126">
        <f t="shared" si="41"/>
        <v>2.896373182369115</v>
      </c>
      <c r="T273" s="126">
        <f t="shared" si="42"/>
        <v>1.8086280325076158</v>
      </c>
      <c r="U273" s="126">
        <f t="shared" si="43"/>
        <v>2.0639688486895045</v>
      </c>
      <c r="V273" s="126">
        <f t="shared" si="44"/>
        <v>2.9862575131806786</v>
      </c>
      <c r="W273" s="126">
        <f t="shared" si="45"/>
        <v>2.168353489177627</v>
      </c>
      <c r="X273" s="126">
        <f t="shared" si="46"/>
        <v>2.4772719786572828</v>
      </c>
      <c r="Y273" s="126">
        <f t="shared" si="47"/>
        <v>3.6973276851154937</v>
      </c>
      <c r="Z273" s="126">
        <f t="shared" si="48"/>
        <v>1.9106638417436805</v>
      </c>
      <c r="AA273" s="126">
        <f t="shared" si="49"/>
        <v>1.9610910226165312</v>
      </c>
      <c r="AB273" s="126">
        <f t="shared" si="50"/>
        <v>2.7193186108611531</v>
      </c>
    </row>
    <row r="274" spans="1:28">
      <c r="A274">
        <v>273</v>
      </c>
      <c r="B274" s="119">
        <v>0.12482853223593963</v>
      </c>
      <c r="F274">
        <v>0.20042676421277242</v>
      </c>
      <c r="G274">
        <v>0.53376009754610576</v>
      </c>
      <c r="H274">
        <v>0.86709343087943902</v>
      </c>
      <c r="I274">
        <v>0.31153787532388355</v>
      </c>
      <c r="J274">
        <v>0.64487120865721692</v>
      </c>
      <c r="K274">
        <v>0.97820454199055018</v>
      </c>
      <c r="L274">
        <v>2.7587258039932935E-2</v>
      </c>
      <c r="M274">
        <v>0.36092059137326626</v>
      </c>
      <c r="N274">
        <v>0.69425392470659963</v>
      </c>
      <c r="O274">
        <v>0.13869836915104403</v>
      </c>
      <c r="R274">
        <v>2.5</v>
      </c>
      <c r="S274" s="126">
        <f t="shared" si="41"/>
        <v>1.7253147376359541</v>
      </c>
      <c r="T274" s="126">
        <f t="shared" si="42"/>
        <v>2.0987520305935177</v>
      </c>
      <c r="U274" s="126">
        <f t="shared" si="43"/>
        <v>3.1343615495325143</v>
      </c>
      <c r="V274" s="126">
        <f t="shared" si="44"/>
        <v>2.3316717357922263</v>
      </c>
      <c r="W274" s="126">
        <f t="shared" si="45"/>
        <v>2.6400472424676473</v>
      </c>
      <c r="X274" s="126">
        <f t="shared" si="46"/>
        <v>4.1530643187621026</v>
      </c>
      <c r="Y274" s="126">
        <f t="shared" si="47"/>
        <v>1.6675040546664031</v>
      </c>
      <c r="Z274" s="126">
        <f t="shared" si="48"/>
        <v>1.7061868580368047</v>
      </c>
      <c r="AA274" s="126">
        <f t="shared" si="49"/>
        <v>2.4382097139045031</v>
      </c>
      <c r="AB274" s="126">
        <f t="shared" si="50"/>
        <v>1.4912854823300454</v>
      </c>
    </row>
    <row r="275" spans="1:28">
      <c r="A275">
        <v>274</v>
      </c>
      <c r="B275" s="119">
        <v>0.45816186556927296</v>
      </c>
      <c r="F275">
        <v>0.47203170248437737</v>
      </c>
      <c r="G275">
        <v>0.80536503581771068</v>
      </c>
      <c r="H275">
        <v>0.24980948026215513</v>
      </c>
      <c r="I275">
        <v>0.58314281359548858</v>
      </c>
      <c r="J275">
        <v>0.91647614692882184</v>
      </c>
      <c r="K275">
        <v>6.462429507696997E-2</v>
      </c>
      <c r="L275">
        <v>0.3979576284103033</v>
      </c>
      <c r="M275">
        <v>0.73129096174363672</v>
      </c>
      <c r="N275">
        <v>0.17573540618808106</v>
      </c>
      <c r="O275">
        <v>0.50906873952141452</v>
      </c>
      <c r="R275">
        <v>2.5</v>
      </c>
      <c r="S275" s="126">
        <f t="shared" si="41"/>
        <v>2.3603564603165297</v>
      </c>
      <c r="T275" s="126">
        <f t="shared" si="42"/>
        <v>3.0581476479770888</v>
      </c>
      <c r="U275" s="126">
        <f t="shared" si="43"/>
        <v>2.1419387013530997</v>
      </c>
      <c r="V275" s="126">
        <f t="shared" si="44"/>
        <v>2.4114244802004494</v>
      </c>
      <c r="W275" s="126">
        <f t="shared" si="45"/>
        <v>3.5133788515941031</v>
      </c>
      <c r="X275" s="126">
        <f t="shared" si="46"/>
        <v>1.6762709378908189</v>
      </c>
      <c r="Y275" s="126">
        <f t="shared" si="47"/>
        <v>1.7908973349441499</v>
      </c>
      <c r="Z275" s="126">
        <f t="shared" si="48"/>
        <v>2.5705047850712712</v>
      </c>
      <c r="AA275" s="126">
        <f t="shared" si="49"/>
        <v>1.6851638385321064</v>
      </c>
      <c r="AB275" s="126">
        <f t="shared" si="50"/>
        <v>2.0274417199987917</v>
      </c>
    </row>
    <row r="276" spans="1:28">
      <c r="A276">
        <v>275</v>
      </c>
      <c r="B276" s="119">
        <v>0.79149519890260622</v>
      </c>
      <c r="F276">
        <v>0.84240207285474766</v>
      </c>
      <c r="G276">
        <v>0.28684651729919219</v>
      </c>
      <c r="H276">
        <v>0.62017985063252556</v>
      </c>
      <c r="I276">
        <v>0.95351318396585882</v>
      </c>
      <c r="J276">
        <v>0.10166133211400701</v>
      </c>
      <c r="K276">
        <v>0.43499466544734033</v>
      </c>
      <c r="L276">
        <v>0.7683279987806737</v>
      </c>
      <c r="M276">
        <v>0.2127724432251181</v>
      </c>
      <c r="N276">
        <v>0.54610577655845149</v>
      </c>
      <c r="O276">
        <v>0.87943910989178475</v>
      </c>
      <c r="R276">
        <v>2.5</v>
      </c>
      <c r="S276" s="126">
        <f t="shared" si="41"/>
        <v>3.2466394341711249</v>
      </c>
      <c r="T276" s="126">
        <f t="shared" si="42"/>
        <v>2.3294386739374975</v>
      </c>
      <c r="U276" s="126">
        <f t="shared" si="43"/>
        <v>2.5848534956027294</v>
      </c>
      <c r="V276" s="126">
        <f t="shared" si="44"/>
        <v>3.8464696433613623</v>
      </c>
      <c r="W276" s="126">
        <f t="shared" si="45"/>
        <v>2.0457003460098266</v>
      </c>
      <c r="X276" s="126">
        <f t="shared" si="46"/>
        <v>2.0548997367409441</v>
      </c>
      <c r="Y276" s="126">
        <f t="shared" si="47"/>
        <v>2.7993884588852529</v>
      </c>
      <c r="Z276" s="126">
        <f t="shared" si="48"/>
        <v>1.911467761749448</v>
      </c>
      <c r="AA276" s="126">
        <f t="shared" si="49"/>
        <v>2.2179665004188789</v>
      </c>
      <c r="AB276" s="126">
        <f t="shared" si="50"/>
        <v>3.2432976646938769</v>
      </c>
    </row>
    <row r="277" spans="1:28">
      <c r="A277">
        <v>276</v>
      </c>
      <c r="B277" s="119">
        <v>0.23593964334705075</v>
      </c>
      <c r="F277">
        <v>0.32388355433622923</v>
      </c>
      <c r="G277">
        <v>0.65721688766956265</v>
      </c>
      <c r="H277">
        <v>0.99055022100289591</v>
      </c>
      <c r="I277">
        <v>7.0111263526901396E-3</v>
      </c>
      <c r="J277">
        <v>0.34034445968602345</v>
      </c>
      <c r="K277">
        <v>0.67367779301935682</v>
      </c>
      <c r="L277">
        <v>0.11812223746380124</v>
      </c>
      <c r="M277">
        <v>0.45145557079713455</v>
      </c>
      <c r="N277">
        <v>0.78478890413046787</v>
      </c>
      <c r="O277">
        <v>0.22923334857491234</v>
      </c>
      <c r="R277">
        <v>2.5</v>
      </c>
      <c r="S277" s="126">
        <f t="shared" si="41"/>
        <v>2.0414040708673911</v>
      </c>
      <c r="T277" s="126">
        <f t="shared" si="42"/>
        <v>2.5216815840269384</v>
      </c>
      <c r="U277" s="126">
        <f t="shared" si="43"/>
        <v>4.3653477279219031</v>
      </c>
      <c r="V277" s="126">
        <f t="shared" si="44"/>
        <v>1.3294709651133285</v>
      </c>
      <c r="W277" s="126">
        <f t="shared" si="45"/>
        <v>1.4904951962036104</v>
      </c>
      <c r="X277" s="126">
        <f t="shared" si="46"/>
        <v>2.28208585376861</v>
      </c>
      <c r="Y277" s="126">
        <f t="shared" si="47"/>
        <v>1.3317892290161462</v>
      </c>
      <c r="Z277" s="126">
        <f t="shared" si="48"/>
        <v>1.7304717323903236</v>
      </c>
      <c r="AA277" s="126">
        <f t="shared" si="49"/>
        <v>2.6817920922057499</v>
      </c>
      <c r="AB277" s="126">
        <f t="shared" si="50"/>
        <v>1.8981108602872139</v>
      </c>
    </row>
    <row r="278" spans="1:28">
      <c r="A278">
        <v>277</v>
      </c>
      <c r="B278" s="119">
        <v>0.56927297668038412</v>
      </c>
      <c r="F278">
        <v>0.56256668190824577</v>
      </c>
      <c r="G278">
        <v>0.89590001524157903</v>
      </c>
      <c r="H278">
        <v>4.4048163389727175E-2</v>
      </c>
      <c r="I278">
        <v>0.37738149672306048</v>
      </c>
      <c r="J278">
        <v>0.71071483005639391</v>
      </c>
      <c r="K278">
        <v>0.15515927450083827</v>
      </c>
      <c r="L278">
        <v>0.48849260783417159</v>
      </c>
      <c r="M278">
        <v>0.82182594116750485</v>
      </c>
      <c r="N278">
        <v>0.26627038561194938</v>
      </c>
      <c r="O278">
        <v>0.59960371894528275</v>
      </c>
      <c r="R278">
        <v>2.5</v>
      </c>
      <c r="S278" s="126">
        <f t="shared" si="41"/>
        <v>2.5481168735863187</v>
      </c>
      <c r="T278" s="126">
        <f t="shared" si="42"/>
        <v>3.4804469244101699</v>
      </c>
      <c r="U278" s="126">
        <f t="shared" si="43"/>
        <v>1.5042820395047993</v>
      </c>
      <c r="V278" s="126">
        <f t="shared" si="44"/>
        <v>1.6601407749422563</v>
      </c>
      <c r="W278" s="126">
        <f t="shared" si="45"/>
        <v>2.4542693287869692</v>
      </c>
      <c r="X278" s="126">
        <f t="shared" si="46"/>
        <v>1.5584391913835043</v>
      </c>
      <c r="Y278" s="126">
        <f t="shared" si="47"/>
        <v>1.9212045239400968</v>
      </c>
      <c r="Z278" s="126">
        <f t="shared" si="48"/>
        <v>2.8880758294192854</v>
      </c>
      <c r="AA278" s="126">
        <f t="shared" si="49"/>
        <v>2.0984901164920928</v>
      </c>
      <c r="AB278" s="126">
        <f t="shared" si="50"/>
        <v>2.4245433552927875</v>
      </c>
    </row>
    <row r="279" spans="1:28">
      <c r="A279">
        <v>278</v>
      </c>
      <c r="B279" s="119">
        <v>0.90260631001371738</v>
      </c>
      <c r="F279">
        <v>0.93293705227861601</v>
      </c>
      <c r="G279">
        <v>8.1085200426764203E-2</v>
      </c>
      <c r="H279">
        <v>0.41441853376009752</v>
      </c>
      <c r="I279">
        <v>0.74775186709343089</v>
      </c>
      <c r="J279">
        <v>0.19219631153787531</v>
      </c>
      <c r="K279">
        <v>0.52552964487120868</v>
      </c>
      <c r="L279">
        <v>0.85886297820454194</v>
      </c>
      <c r="M279">
        <v>0.30330742264898641</v>
      </c>
      <c r="N279">
        <v>0.63664075598231984</v>
      </c>
      <c r="O279">
        <v>0.9699740893156531</v>
      </c>
      <c r="R279">
        <v>2.5</v>
      </c>
      <c r="S279" s="126">
        <f t="shared" si="41"/>
        <v>3.6538011896633193</v>
      </c>
      <c r="T279" s="126">
        <f t="shared" si="42"/>
        <v>1.8452149719594</v>
      </c>
      <c r="U279" s="126">
        <f t="shared" si="43"/>
        <v>1.9108162422132546</v>
      </c>
      <c r="V279" s="126">
        <f t="shared" si="44"/>
        <v>2.6726015525489193</v>
      </c>
      <c r="W279" s="126">
        <f t="shared" si="45"/>
        <v>1.7875401533949062</v>
      </c>
      <c r="X279" s="126">
        <f t="shared" si="46"/>
        <v>2.112962895934094</v>
      </c>
      <c r="Y279" s="126">
        <f t="shared" si="47"/>
        <v>3.1105481007279594</v>
      </c>
      <c r="Z279" s="126">
        <f t="shared" si="48"/>
        <v>2.3003898876800886</v>
      </c>
      <c r="AA279" s="126">
        <f t="shared" si="49"/>
        <v>2.6061660338659731</v>
      </c>
      <c r="AB279" s="126">
        <f t="shared" si="50"/>
        <v>4.0225510814513346</v>
      </c>
    </row>
    <row r="280" spans="1:28">
      <c r="A280">
        <v>279</v>
      </c>
      <c r="B280" s="119">
        <v>5.0754458161865565E-2</v>
      </c>
      <c r="F280">
        <v>1.9356805365035819E-2</v>
      </c>
      <c r="G280">
        <v>0.35269013869836913</v>
      </c>
      <c r="H280">
        <v>0.68602347203170244</v>
      </c>
      <c r="I280">
        <v>0.13046791647614692</v>
      </c>
      <c r="J280">
        <v>0.46380124980948023</v>
      </c>
      <c r="K280">
        <v>0.7971345831428136</v>
      </c>
      <c r="L280">
        <v>0.24157902758725802</v>
      </c>
      <c r="M280">
        <v>0.5749123609205915</v>
      </c>
      <c r="N280">
        <v>0.90824569425392476</v>
      </c>
      <c r="O280">
        <v>5.6393842402072854E-2</v>
      </c>
      <c r="R280">
        <v>2.5</v>
      </c>
      <c r="S280" s="126">
        <f t="shared" si="41"/>
        <v>0.71318598010311485</v>
      </c>
      <c r="T280" s="126">
        <f t="shared" si="42"/>
        <v>1.2083444470151299</v>
      </c>
      <c r="U280" s="126">
        <f t="shared" si="43"/>
        <v>2.1687476439294349</v>
      </c>
      <c r="V280" s="126">
        <f t="shared" si="44"/>
        <v>1.3245147097069578</v>
      </c>
      <c r="W280" s="126">
        <f t="shared" si="45"/>
        <v>1.7524858199459514</v>
      </c>
      <c r="X280" s="126">
        <f t="shared" si="46"/>
        <v>2.7282901655429166</v>
      </c>
      <c r="Y280" s="126">
        <f t="shared" si="47"/>
        <v>1.9545896758302981</v>
      </c>
      <c r="Z280" s="126">
        <f t="shared" si="48"/>
        <v>2.2999046326940173</v>
      </c>
      <c r="AA280" s="126">
        <f t="shared" si="49"/>
        <v>3.4146676906764819</v>
      </c>
      <c r="AB280" s="126">
        <f t="shared" si="50"/>
        <v>1.5699824823762683</v>
      </c>
    </row>
    <row r="281" spans="1:28">
      <c r="A281">
        <v>280</v>
      </c>
      <c r="B281" s="119">
        <v>0.38408779149519889</v>
      </c>
      <c r="F281">
        <v>0.38972717573540616</v>
      </c>
      <c r="G281">
        <v>0.72306050906873964</v>
      </c>
      <c r="H281">
        <v>0.16750495351318395</v>
      </c>
      <c r="I281">
        <v>0.50083828684651732</v>
      </c>
      <c r="J281">
        <v>0.83417162017985058</v>
      </c>
      <c r="K281">
        <v>0.27861606462429506</v>
      </c>
      <c r="L281">
        <v>0.61194939795762848</v>
      </c>
      <c r="M281">
        <v>0.94528273129096174</v>
      </c>
      <c r="N281">
        <v>9.3430879439109882E-2</v>
      </c>
      <c r="O281">
        <v>0.4267642127724432</v>
      </c>
      <c r="R281">
        <v>2.5</v>
      </c>
      <c r="S281" s="126">
        <f t="shared" si="41"/>
        <v>2.1872585485684599</v>
      </c>
      <c r="T281" s="126">
        <f t="shared" si="42"/>
        <v>2.7492902142361229</v>
      </c>
      <c r="U281" s="126">
        <f t="shared" si="43"/>
        <v>1.7483542436075266</v>
      </c>
      <c r="V281" s="126">
        <f t="shared" si="44"/>
        <v>2.0421834145050171</v>
      </c>
      <c r="W281" s="126">
        <f t="shared" si="45"/>
        <v>2.9888299639142035</v>
      </c>
      <c r="X281" s="126">
        <f t="shared" si="46"/>
        <v>2.179790684906687</v>
      </c>
      <c r="Y281" s="126">
        <f t="shared" si="47"/>
        <v>2.4918662159753735</v>
      </c>
      <c r="Z281" s="126">
        <f t="shared" si="48"/>
        <v>3.7344296788435649</v>
      </c>
      <c r="AA281" s="126">
        <f t="shared" si="49"/>
        <v>1.9499818535897604</v>
      </c>
      <c r="AB281" s="126">
        <f t="shared" si="50"/>
        <v>1.9895151396625386</v>
      </c>
    </row>
    <row r="282" spans="1:28">
      <c r="A282">
        <v>281</v>
      </c>
      <c r="B282" s="119">
        <v>0.71742112482853226</v>
      </c>
      <c r="F282">
        <v>0.76009754610577662</v>
      </c>
      <c r="G282">
        <v>0.20454199055022099</v>
      </c>
      <c r="H282">
        <v>0.5378753238835543</v>
      </c>
      <c r="I282">
        <v>0.87120865721688756</v>
      </c>
      <c r="J282">
        <v>0.31565310166133209</v>
      </c>
      <c r="K282">
        <v>0.64898643499466546</v>
      </c>
      <c r="L282">
        <v>0.98231976832799872</v>
      </c>
      <c r="M282">
        <v>3.1702484377381497E-2</v>
      </c>
      <c r="N282">
        <v>0.3650358177107148</v>
      </c>
      <c r="O282">
        <v>0.69836915104404818</v>
      </c>
      <c r="R282">
        <v>2.5</v>
      </c>
      <c r="S282" s="126">
        <f t="shared" si="41"/>
        <v>3.0010446290980926</v>
      </c>
      <c r="T282" s="126">
        <f t="shared" si="42"/>
        <v>1.9891745453552987</v>
      </c>
      <c r="U282" s="126">
        <f t="shared" si="43"/>
        <v>2.239910556252477</v>
      </c>
      <c r="V282" s="126">
        <f t="shared" si="44"/>
        <v>3.2212816162384095</v>
      </c>
      <c r="W282" s="126">
        <f t="shared" si="45"/>
        <v>2.3849309938958094</v>
      </c>
      <c r="X282" s="126">
        <f t="shared" si="46"/>
        <v>2.6759502702290878</v>
      </c>
      <c r="Y282" s="126">
        <f t="shared" si="47"/>
        <v>4.2422093252911424</v>
      </c>
      <c r="Z282" s="126">
        <f t="shared" si="48"/>
        <v>1.7627517910192294</v>
      </c>
      <c r="AA282" s="126">
        <f t="shared" si="49"/>
        <v>1.7631055466491481</v>
      </c>
      <c r="AB282" s="126">
        <f t="shared" si="50"/>
        <v>2.476525849959633</v>
      </c>
    </row>
    <row r="283" spans="1:28">
      <c r="A283">
        <v>282</v>
      </c>
      <c r="B283" s="119">
        <v>0.16186556927297668</v>
      </c>
      <c r="F283">
        <v>0.1428135954884926</v>
      </c>
      <c r="G283">
        <v>0.47614692882182591</v>
      </c>
      <c r="H283">
        <v>0.80948026215515922</v>
      </c>
      <c r="I283">
        <v>0.2539247065996037</v>
      </c>
      <c r="J283">
        <v>0.58725803993293713</v>
      </c>
      <c r="K283">
        <v>0.92059137326627039</v>
      </c>
      <c r="L283">
        <v>6.8739521414418525E-2</v>
      </c>
      <c r="M283">
        <v>0.40207285474775184</v>
      </c>
      <c r="N283">
        <v>0.73540618808108527</v>
      </c>
      <c r="O283">
        <v>0.17985063252552963</v>
      </c>
      <c r="R283">
        <v>2.5</v>
      </c>
      <c r="S283" s="126">
        <f t="shared" si="41"/>
        <v>1.5375360768983897</v>
      </c>
      <c r="T283" s="126">
        <f t="shared" si="42"/>
        <v>1.8851482146263263</v>
      </c>
      <c r="U283" s="126">
        <f t="shared" si="43"/>
        <v>2.8317134075329902</v>
      </c>
      <c r="V283" s="126">
        <f t="shared" si="44"/>
        <v>2.038772223573365</v>
      </c>
      <c r="W283" s="126">
        <f t="shared" si="45"/>
        <v>2.3682804847256316</v>
      </c>
      <c r="X283" s="126">
        <f t="shared" si="46"/>
        <v>3.5142183844760719</v>
      </c>
      <c r="Y283" s="126">
        <f t="shared" si="47"/>
        <v>1.7029438584191625</v>
      </c>
      <c r="Z283" s="126">
        <f t="shared" si="48"/>
        <v>1.8130886720793922</v>
      </c>
      <c r="AA283" s="126">
        <f t="shared" si="49"/>
        <v>2.5919884039257912</v>
      </c>
      <c r="AB283" s="126">
        <f t="shared" si="50"/>
        <v>1.708998059314236</v>
      </c>
    </row>
    <row r="284" spans="1:28">
      <c r="A284">
        <v>283</v>
      </c>
      <c r="B284" s="119">
        <v>0.49519890260631</v>
      </c>
      <c r="F284">
        <v>0.51318396585886306</v>
      </c>
      <c r="G284">
        <v>0.8465172991921962</v>
      </c>
      <c r="H284">
        <v>0.29096174363664074</v>
      </c>
      <c r="I284">
        <v>0.62429507696997411</v>
      </c>
      <c r="J284">
        <v>0.95762841030330736</v>
      </c>
      <c r="K284">
        <v>0.10577655845145556</v>
      </c>
      <c r="L284">
        <v>0.43910989178478887</v>
      </c>
      <c r="M284">
        <v>0.77244322511812225</v>
      </c>
      <c r="N284">
        <v>0.21688766956256667</v>
      </c>
      <c r="O284">
        <v>0.55022100289590004</v>
      </c>
      <c r="R284">
        <v>2.5</v>
      </c>
      <c r="S284" s="126">
        <f t="shared" si="41"/>
        <v>2.4454898176651412</v>
      </c>
      <c r="T284" s="126">
        <f t="shared" si="42"/>
        <v>3.2334547614754685</v>
      </c>
      <c r="U284" s="126">
        <f t="shared" si="43"/>
        <v>2.3327456626707281</v>
      </c>
      <c r="V284" s="126">
        <f t="shared" si="44"/>
        <v>2.5954463093328783</v>
      </c>
      <c r="W284" s="126">
        <f t="shared" si="45"/>
        <v>3.8879925358064265</v>
      </c>
      <c r="X284" s="126">
        <f t="shared" si="46"/>
        <v>2.0854047703512375</v>
      </c>
      <c r="Y284" s="126">
        <f t="shared" si="47"/>
        <v>2.0834707891539797</v>
      </c>
      <c r="Z284" s="126">
        <f t="shared" si="48"/>
        <v>2.8249371557349288</v>
      </c>
      <c r="AA284" s="126">
        <f t="shared" si="49"/>
        <v>1.9359306271902716</v>
      </c>
      <c r="AB284" s="126">
        <f t="shared" si="50"/>
        <v>2.2388322062968955</v>
      </c>
    </row>
    <row r="285" spans="1:28">
      <c r="A285">
        <v>284</v>
      </c>
      <c r="B285" s="119">
        <v>0.8285322359396432</v>
      </c>
      <c r="F285">
        <v>0.88355433622923329</v>
      </c>
      <c r="G285">
        <v>0.32799878067367777</v>
      </c>
      <c r="H285">
        <v>0.6613321140070112</v>
      </c>
      <c r="I285">
        <v>0.99466544734034446</v>
      </c>
      <c r="J285">
        <v>1.1126352690138699E-2</v>
      </c>
      <c r="K285">
        <v>0.34445968602347204</v>
      </c>
      <c r="L285">
        <v>0.67779301935680536</v>
      </c>
      <c r="M285">
        <v>0.12223746380124981</v>
      </c>
      <c r="N285">
        <v>0.45557079713458315</v>
      </c>
      <c r="O285">
        <v>0.78890413046791641</v>
      </c>
      <c r="R285">
        <v>2.5</v>
      </c>
      <c r="S285" s="126">
        <f t="shared" si="41"/>
        <v>3.4021676048721323</v>
      </c>
      <c r="T285" s="126">
        <f t="shared" si="42"/>
        <v>2.5042531151746084</v>
      </c>
      <c r="U285" s="126">
        <f t="shared" si="43"/>
        <v>2.7635655282442313</v>
      </c>
      <c r="V285" s="126">
        <f t="shared" si="44"/>
        <v>4.656701704992452</v>
      </c>
      <c r="W285" s="126">
        <f t="shared" si="45"/>
        <v>1.6166710186273252</v>
      </c>
      <c r="X285" s="126">
        <f t="shared" si="46"/>
        <v>1.6440807150382801</v>
      </c>
      <c r="Y285" s="126">
        <f t="shared" si="47"/>
        <v>2.3687174589544302</v>
      </c>
      <c r="Z285" s="126">
        <f t="shared" si="48"/>
        <v>1.3922812543953877</v>
      </c>
      <c r="AA285" s="126">
        <f t="shared" si="49"/>
        <v>1.7694413817898964</v>
      </c>
      <c r="AB285" s="126">
        <f t="shared" si="50"/>
        <v>2.7130534575097629</v>
      </c>
    </row>
    <row r="286" spans="1:28">
      <c r="A286">
        <v>285</v>
      </c>
      <c r="B286" s="119">
        <v>0.27297668038408779</v>
      </c>
      <c r="F286">
        <v>0.23334857491236088</v>
      </c>
      <c r="G286">
        <v>0.56668190824569431</v>
      </c>
      <c r="H286">
        <v>0.90001524157902757</v>
      </c>
      <c r="I286">
        <v>4.8163389727175737E-2</v>
      </c>
      <c r="J286">
        <v>0.38149672306050908</v>
      </c>
      <c r="K286">
        <v>0.71483005639384245</v>
      </c>
      <c r="L286">
        <v>0.15927450083828681</v>
      </c>
      <c r="M286">
        <v>0.49260783417162018</v>
      </c>
      <c r="N286">
        <v>0.82594116750495339</v>
      </c>
      <c r="O286">
        <v>0.27038561194939797</v>
      </c>
      <c r="R286">
        <v>2.5</v>
      </c>
      <c r="S286" s="126">
        <f t="shared" si="41"/>
        <v>1.8178856270307659</v>
      </c>
      <c r="T286" s="126">
        <f t="shared" si="42"/>
        <v>2.2139076901339041</v>
      </c>
      <c r="U286" s="126">
        <f t="shared" si="43"/>
        <v>3.3315328120690948</v>
      </c>
      <c r="V286" s="126">
        <f t="shared" si="44"/>
        <v>1.4645725313458673</v>
      </c>
      <c r="W286" s="126">
        <f t="shared" si="45"/>
        <v>1.6491013339982401</v>
      </c>
      <c r="X286" s="126">
        <f t="shared" si="46"/>
        <v>2.4586818352497448</v>
      </c>
      <c r="Y286" s="126">
        <f t="shared" si="47"/>
        <v>1.5747690488915786</v>
      </c>
      <c r="Z286" s="126">
        <f t="shared" si="48"/>
        <v>1.9379224304070337</v>
      </c>
      <c r="AA286" s="126">
        <f t="shared" si="49"/>
        <v>2.9095930979353337</v>
      </c>
      <c r="AB286" s="126">
        <f t="shared" si="50"/>
        <v>2.119602347227389</v>
      </c>
    </row>
    <row r="287" spans="1:28">
      <c r="A287">
        <v>286</v>
      </c>
      <c r="B287" s="119">
        <v>0.6063100137174211</v>
      </c>
      <c r="F287">
        <v>0.60371894528273129</v>
      </c>
      <c r="G287">
        <v>0.93705227861606455</v>
      </c>
      <c r="H287">
        <v>8.5200426764212772E-2</v>
      </c>
      <c r="I287">
        <v>0.41853376009754611</v>
      </c>
      <c r="J287">
        <v>0.75186709343087943</v>
      </c>
      <c r="K287">
        <v>0.19631153787532385</v>
      </c>
      <c r="L287">
        <v>0.52964487120865722</v>
      </c>
      <c r="M287">
        <v>0.86297820454199048</v>
      </c>
      <c r="N287">
        <v>0.30742264898643501</v>
      </c>
      <c r="O287">
        <v>0.64075598231976838</v>
      </c>
      <c r="R287">
        <v>2.5</v>
      </c>
      <c r="S287" s="126">
        <f t="shared" si="41"/>
        <v>2.6351375013132166</v>
      </c>
      <c r="T287" s="126">
        <f t="shared" si="42"/>
        <v>3.748495847167685</v>
      </c>
      <c r="U287" s="126">
        <f t="shared" si="43"/>
        <v>1.9149891701156787</v>
      </c>
      <c r="V287" s="126">
        <f t="shared" si="44"/>
        <v>1.9545842580253749</v>
      </c>
      <c r="W287" s="126">
        <f t="shared" si="45"/>
        <v>2.7052763950997933</v>
      </c>
      <c r="X287" s="126">
        <f t="shared" si="46"/>
        <v>1.816302513665764</v>
      </c>
      <c r="Y287" s="126">
        <f t="shared" si="47"/>
        <v>2.1359473903883637</v>
      </c>
      <c r="Z287" s="126">
        <f t="shared" si="48"/>
        <v>3.1374191710809241</v>
      </c>
      <c r="AA287" s="126">
        <f t="shared" si="49"/>
        <v>2.3235803364041532</v>
      </c>
      <c r="AB287" s="126">
        <f t="shared" si="50"/>
        <v>2.6268830141771491</v>
      </c>
    </row>
    <row r="288" spans="1:28">
      <c r="A288">
        <v>287</v>
      </c>
      <c r="B288" s="119">
        <v>0.93964334705075436</v>
      </c>
      <c r="F288">
        <v>0.97408931565310164</v>
      </c>
      <c r="G288">
        <v>2.3472031702484377E-2</v>
      </c>
      <c r="H288">
        <v>0.35680536503581772</v>
      </c>
      <c r="I288">
        <v>0.69013869836915098</v>
      </c>
      <c r="J288">
        <v>0.13458314281359546</v>
      </c>
      <c r="K288">
        <v>0.46791647614692883</v>
      </c>
      <c r="L288">
        <v>0.80124980948026214</v>
      </c>
      <c r="M288">
        <v>0.24569425392470656</v>
      </c>
      <c r="N288">
        <v>0.57902758725804004</v>
      </c>
      <c r="O288">
        <v>0.9123609205913733</v>
      </c>
      <c r="R288">
        <v>2.5</v>
      </c>
      <c r="S288" s="126">
        <f t="shared" si="41"/>
        <v>4.0221456448466588</v>
      </c>
      <c r="T288" s="126">
        <f t="shared" si="42"/>
        <v>1.5445414719703194</v>
      </c>
      <c r="U288" s="126">
        <f t="shared" si="43"/>
        <v>1.6353032194333985</v>
      </c>
      <c r="V288" s="126">
        <f t="shared" si="44"/>
        <v>2.3929325006975639</v>
      </c>
      <c r="W288" s="126">
        <f t="shared" si="45"/>
        <v>1.4530240614653978</v>
      </c>
      <c r="X288" s="126">
        <f t="shared" si="46"/>
        <v>1.8256140429347996</v>
      </c>
      <c r="Y288" s="126">
        <f t="shared" si="47"/>
        <v>2.7771392806298776</v>
      </c>
      <c r="Z288" s="126">
        <f t="shared" si="48"/>
        <v>1.9899710561760948</v>
      </c>
      <c r="AA288" s="126">
        <f t="shared" si="49"/>
        <v>2.3263573221930054</v>
      </c>
      <c r="AB288" s="126">
        <f t="shared" si="50"/>
        <v>3.4489196094666839</v>
      </c>
    </row>
    <row r="289" spans="1:28">
      <c r="A289">
        <v>288</v>
      </c>
      <c r="B289" s="119">
        <v>8.77914951989026E-2</v>
      </c>
      <c r="F289">
        <v>6.0509068739521416E-2</v>
      </c>
      <c r="G289">
        <v>0.39384240207285476</v>
      </c>
      <c r="H289">
        <v>0.72717573540618818</v>
      </c>
      <c r="I289">
        <v>0.17162017985063249</v>
      </c>
      <c r="J289">
        <v>0.50495351318396586</v>
      </c>
      <c r="K289">
        <v>0.83828684651729912</v>
      </c>
      <c r="L289">
        <v>0.28273129096174365</v>
      </c>
      <c r="M289">
        <v>0.61606462429507702</v>
      </c>
      <c r="N289">
        <v>0.94939795762841028</v>
      </c>
      <c r="O289">
        <v>9.754610577655845E-2</v>
      </c>
      <c r="R289">
        <v>2.5</v>
      </c>
      <c r="S289" s="126">
        <f t="shared" si="41"/>
        <v>1.1393632919231607</v>
      </c>
      <c r="T289" s="126">
        <f t="shared" si="42"/>
        <v>1.5122377537515437</v>
      </c>
      <c r="U289" s="126">
        <f t="shared" si="43"/>
        <v>2.4201994112109322</v>
      </c>
      <c r="V289" s="126">
        <f t="shared" si="44"/>
        <v>1.5963889309160053</v>
      </c>
      <c r="W289" s="126">
        <f t="shared" si="45"/>
        <v>1.9743140048913372</v>
      </c>
      <c r="X289" s="126">
        <f t="shared" si="46"/>
        <v>2.9684593091124092</v>
      </c>
      <c r="Y289" s="126">
        <f t="shared" si="47"/>
        <v>2.1796239656696446</v>
      </c>
      <c r="Z289" s="126">
        <f t="shared" si="48"/>
        <v>2.500655390764448</v>
      </c>
      <c r="AA289" s="126">
        <f t="shared" si="49"/>
        <v>3.7704403769104067</v>
      </c>
      <c r="AB289" s="126">
        <f t="shared" si="50"/>
        <v>1.9880893611571047</v>
      </c>
    </row>
    <row r="290" spans="1:28">
      <c r="A290">
        <v>289</v>
      </c>
      <c r="B290" s="119">
        <v>0.42112482853223593</v>
      </c>
      <c r="F290">
        <v>0.43087943910989179</v>
      </c>
      <c r="G290">
        <v>0.76421277244322516</v>
      </c>
      <c r="H290">
        <v>0.20865721688766953</v>
      </c>
      <c r="I290">
        <v>0.54199055022100284</v>
      </c>
      <c r="J290">
        <v>0.8753238835543361</v>
      </c>
      <c r="K290">
        <v>0.31976832799878069</v>
      </c>
      <c r="L290">
        <v>0.653101661332114</v>
      </c>
      <c r="M290">
        <v>0.98643499466544726</v>
      </c>
      <c r="N290">
        <v>3.5817710714830059E-2</v>
      </c>
      <c r="O290">
        <v>0.3691510440481634</v>
      </c>
      <c r="R290">
        <v>2.5</v>
      </c>
      <c r="S290" s="126">
        <f t="shared" si="41"/>
        <v>2.2746003786322633</v>
      </c>
      <c r="T290" s="126">
        <f t="shared" si="42"/>
        <v>2.898731335802696</v>
      </c>
      <c r="U290" s="126">
        <f t="shared" si="43"/>
        <v>1.9496434174616937</v>
      </c>
      <c r="V290" s="126">
        <f t="shared" si="44"/>
        <v>2.2285932187947712</v>
      </c>
      <c r="W290" s="126">
        <f t="shared" si="45"/>
        <v>3.2319254517557976</v>
      </c>
      <c r="X290" s="126">
        <f t="shared" si="46"/>
        <v>2.3998007892810493</v>
      </c>
      <c r="Y290" s="126">
        <f t="shared" si="47"/>
        <v>2.6925976270226348</v>
      </c>
      <c r="Z290" s="126">
        <f t="shared" si="48"/>
        <v>4.3375398159481628</v>
      </c>
      <c r="AA290" s="126">
        <f t="shared" si="49"/>
        <v>1.8559570074198275</v>
      </c>
      <c r="AB290" s="126">
        <f t="shared" si="50"/>
        <v>1.8189635527035521</v>
      </c>
    </row>
    <row r="291" spans="1:28">
      <c r="A291">
        <v>290</v>
      </c>
      <c r="B291" s="119">
        <v>0.75445816186556924</v>
      </c>
      <c r="F291">
        <v>0.70248437738149672</v>
      </c>
      <c r="G291">
        <v>0.14692882182594114</v>
      </c>
      <c r="H291">
        <v>0.48026215515927451</v>
      </c>
      <c r="I291">
        <v>0.81359548849260777</v>
      </c>
      <c r="J291">
        <v>0.2580399329370523</v>
      </c>
      <c r="K291">
        <v>0.59137326627038567</v>
      </c>
      <c r="L291">
        <v>0.92470659960371893</v>
      </c>
      <c r="M291">
        <v>7.2854747751867094E-2</v>
      </c>
      <c r="N291">
        <v>0.40618808108520044</v>
      </c>
      <c r="O291">
        <v>0.73952141441853381</v>
      </c>
      <c r="R291">
        <v>2.5</v>
      </c>
      <c r="S291" s="126">
        <f t="shared" si="41"/>
        <v>2.8566575680767672</v>
      </c>
      <c r="T291" s="126">
        <f t="shared" si="42"/>
        <v>1.7316938070844574</v>
      </c>
      <c r="U291" s="126">
        <f t="shared" si="43"/>
        <v>1.9912527421191066</v>
      </c>
      <c r="V291" s="126">
        <f t="shared" si="44"/>
        <v>2.897612605544265</v>
      </c>
      <c r="W291" s="126">
        <f t="shared" si="45"/>
        <v>2.0824424179317109</v>
      </c>
      <c r="X291" s="126">
        <f t="shared" si="46"/>
        <v>2.398956917855136</v>
      </c>
      <c r="Y291" s="126">
        <f t="shared" si="47"/>
        <v>3.5530617342050901</v>
      </c>
      <c r="Z291" s="126">
        <f t="shared" si="48"/>
        <v>1.7475321242480355</v>
      </c>
      <c r="AA291" s="126">
        <f t="shared" si="49"/>
        <v>1.8442611155493327</v>
      </c>
      <c r="AB291" s="126">
        <f t="shared" si="50"/>
        <v>2.6180679903101503</v>
      </c>
    </row>
    <row r="292" spans="1:28">
      <c r="A292">
        <v>291</v>
      </c>
      <c r="B292" s="119">
        <v>0.19890260631001372</v>
      </c>
      <c r="F292">
        <v>0.18396585886297817</v>
      </c>
      <c r="G292">
        <v>0.5172991921963116</v>
      </c>
      <c r="H292">
        <v>0.85063252552964475</v>
      </c>
      <c r="I292">
        <v>0.29507696997408933</v>
      </c>
      <c r="J292">
        <v>0.62841030330742265</v>
      </c>
      <c r="K292">
        <v>0.96174363664075591</v>
      </c>
      <c r="L292">
        <v>0.10989178478890413</v>
      </c>
      <c r="M292">
        <v>0.44322511812223747</v>
      </c>
      <c r="N292">
        <v>0.77655845145557079</v>
      </c>
      <c r="O292">
        <v>0.22100289590001521</v>
      </c>
      <c r="R292">
        <v>2.5</v>
      </c>
      <c r="S292" s="126">
        <f t="shared" si="41"/>
        <v>1.675615190071241</v>
      </c>
      <c r="T292" s="126">
        <f t="shared" si="42"/>
        <v>2.0396683593477802</v>
      </c>
      <c r="U292" s="126">
        <f t="shared" si="43"/>
        <v>3.0439557327156099</v>
      </c>
      <c r="V292" s="126">
        <f t="shared" si="44"/>
        <v>2.2473716180102601</v>
      </c>
      <c r="W292" s="126">
        <f t="shared" si="45"/>
        <v>2.5614987746178737</v>
      </c>
      <c r="X292" s="126">
        <f t="shared" si="46"/>
        <v>3.9100955390008432</v>
      </c>
      <c r="Y292" s="126">
        <f t="shared" si="47"/>
        <v>2.1148262212044919</v>
      </c>
      <c r="Z292" s="126">
        <f t="shared" si="48"/>
        <v>2.1068598509900958</v>
      </c>
      <c r="AA292" s="126">
        <f t="shared" si="49"/>
        <v>2.847995920789907</v>
      </c>
      <c r="AB292" s="126">
        <f t="shared" si="50"/>
        <v>1.9590152576131183</v>
      </c>
    </row>
    <row r="293" spans="1:28">
      <c r="A293">
        <v>292</v>
      </c>
      <c r="B293" s="119">
        <v>0.53223593964334692</v>
      </c>
      <c r="F293">
        <v>0.55433622923334858</v>
      </c>
      <c r="G293">
        <v>0.88766956256668184</v>
      </c>
      <c r="H293">
        <v>0.33211400701112637</v>
      </c>
      <c r="I293">
        <v>0.66544734034445974</v>
      </c>
      <c r="J293">
        <v>0.998780673677793</v>
      </c>
      <c r="K293">
        <v>6.0966316110349034E-4</v>
      </c>
      <c r="L293">
        <v>0.33394299649443682</v>
      </c>
      <c r="M293">
        <v>0.66727632982777019</v>
      </c>
      <c r="N293">
        <v>0.11172077427221459</v>
      </c>
      <c r="O293">
        <v>0.44505410760554792</v>
      </c>
      <c r="R293">
        <v>2.5</v>
      </c>
      <c r="S293" s="126">
        <f t="shared" si="41"/>
        <v>2.5309153989295594</v>
      </c>
      <c r="T293" s="126">
        <f t="shared" si="42"/>
        <v>3.435260333638908</v>
      </c>
      <c r="U293" s="126">
        <f t="shared" si="43"/>
        <v>2.5302574482075619</v>
      </c>
      <c r="V293" s="126">
        <f t="shared" si="44"/>
        <v>2.785934746185887</v>
      </c>
      <c r="W293" s="126">
        <f t="shared" si="45"/>
        <v>5.0617844477669003</v>
      </c>
      <c r="X293" s="126">
        <f t="shared" si="46"/>
        <v>1.0381129332442773</v>
      </c>
      <c r="Y293" s="126">
        <f t="shared" si="47"/>
        <v>1.3296016024079043</v>
      </c>
      <c r="Z293" s="126">
        <f t="shared" si="48"/>
        <v>2.1866325592612172</v>
      </c>
      <c r="AA293" s="126">
        <f t="shared" si="49"/>
        <v>1.2565946392377416</v>
      </c>
      <c r="AB293" s="126">
        <f t="shared" si="50"/>
        <v>1.679331534593242</v>
      </c>
    </row>
    <row r="294" spans="1:28">
      <c r="A294">
        <v>293</v>
      </c>
      <c r="B294" s="119">
        <v>0.86556927297668018</v>
      </c>
      <c r="F294">
        <v>0.77838744093888124</v>
      </c>
      <c r="G294">
        <v>0.22283188538332568</v>
      </c>
      <c r="H294">
        <v>0.55616521871665914</v>
      </c>
      <c r="I294">
        <v>0.8894985520499924</v>
      </c>
      <c r="J294">
        <v>3.764670019814053E-2</v>
      </c>
      <c r="K294">
        <v>0.37098003353147385</v>
      </c>
      <c r="L294">
        <v>0.70431336686480728</v>
      </c>
      <c r="M294">
        <v>0.14875781130925161</v>
      </c>
      <c r="N294">
        <v>0.48209114464258496</v>
      </c>
      <c r="O294">
        <v>0.81542447797591822</v>
      </c>
      <c r="R294">
        <v>2.5</v>
      </c>
      <c r="S294" s="126">
        <f t="shared" si="41"/>
        <v>3.0506498461184082</v>
      </c>
      <c r="T294" s="126">
        <f t="shared" si="42"/>
        <v>2.0659387374335658</v>
      </c>
      <c r="U294" s="126">
        <f t="shared" si="43"/>
        <v>2.3165742618011507</v>
      </c>
      <c r="V294" s="126">
        <f t="shared" si="44"/>
        <v>3.3354820908060052</v>
      </c>
      <c r="W294" s="126">
        <f t="shared" si="45"/>
        <v>1.3710913095700359</v>
      </c>
      <c r="X294" s="126">
        <f t="shared" si="46"/>
        <v>1.5792652573334016</v>
      </c>
      <c r="Y294" s="126">
        <f t="shared" si="47"/>
        <v>2.3982576081472891</v>
      </c>
      <c r="Z294" s="126">
        <f t="shared" si="48"/>
        <v>1.5078350094561348</v>
      </c>
      <c r="AA294" s="126">
        <f t="shared" si="49"/>
        <v>1.8825269037852668</v>
      </c>
      <c r="AB294" s="126">
        <f t="shared" si="50"/>
        <v>2.8486092465524604</v>
      </c>
    </row>
    <row r="295" spans="1:28">
      <c r="A295">
        <v>294</v>
      </c>
      <c r="B295" s="119">
        <v>0.31001371742112482</v>
      </c>
      <c r="F295">
        <v>0.25986892242036275</v>
      </c>
      <c r="G295">
        <v>0.59320225575369612</v>
      </c>
      <c r="H295">
        <v>0.92653558908702938</v>
      </c>
      <c r="I295">
        <v>7.4683737235177558E-2</v>
      </c>
      <c r="J295">
        <v>0.40801707056851089</v>
      </c>
      <c r="K295">
        <v>0.74135040390184426</v>
      </c>
      <c r="L295">
        <v>0.18579484834628865</v>
      </c>
      <c r="M295">
        <v>0.51912818167962205</v>
      </c>
      <c r="N295">
        <v>0.85246151501295531</v>
      </c>
      <c r="O295">
        <v>0.29690595945739978</v>
      </c>
      <c r="R295">
        <v>2.5</v>
      </c>
      <c r="S295" s="126">
        <f t="shared" si="41"/>
        <v>1.887262800551001</v>
      </c>
      <c r="T295" s="126">
        <f t="shared" si="42"/>
        <v>2.3047454640993417</v>
      </c>
      <c r="U295" s="126">
        <f t="shared" si="43"/>
        <v>3.5164362514405698</v>
      </c>
      <c r="V295" s="126">
        <f t="shared" si="44"/>
        <v>1.7399170054197741</v>
      </c>
      <c r="W295" s="126">
        <f t="shared" si="45"/>
        <v>1.844321008582277</v>
      </c>
      <c r="X295" s="126">
        <f t="shared" si="46"/>
        <v>2.6227529102652922</v>
      </c>
      <c r="Y295" s="126">
        <f t="shared" si="47"/>
        <v>1.7429645987247939</v>
      </c>
      <c r="Z295" s="126">
        <f t="shared" si="48"/>
        <v>2.0773034965723021</v>
      </c>
      <c r="AA295" s="126">
        <f t="shared" si="49"/>
        <v>3.0693862093385396</v>
      </c>
      <c r="AB295" s="126">
        <f t="shared" si="50"/>
        <v>2.2645184144772315</v>
      </c>
    </row>
    <row r="296" spans="1:28">
      <c r="A296">
        <v>295</v>
      </c>
      <c r="B296" s="119">
        <v>0.64334705075445808</v>
      </c>
      <c r="F296">
        <v>0.63023929279073321</v>
      </c>
      <c r="G296">
        <v>0.96357262612406647</v>
      </c>
      <c r="H296">
        <v>1.2955342173449168E-2</v>
      </c>
      <c r="I296">
        <v>0.3462886755067825</v>
      </c>
      <c r="J296">
        <v>0.67962200884011581</v>
      </c>
      <c r="K296">
        <v>0.12406645328456027</v>
      </c>
      <c r="L296">
        <v>0.4573997866178936</v>
      </c>
      <c r="M296">
        <v>0.79073311995122697</v>
      </c>
      <c r="N296">
        <v>0.23517756439567136</v>
      </c>
      <c r="O296">
        <v>0.56851089772900487</v>
      </c>
      <c r="R296">
        <v>2.5</v>
      </c>
      <c r="S296" s="126">
        <f t="shared" si="41"/>
        <v>2.6924628705377733</v>
      </c>
      <c r="T296" s="126">
        <f t="shared" si="42"/>
        <v>3.9944356685662612</v>
      </c>
      <c r="U296" s="126">
        <f t="shared" si="43"/>
        <v>1.3320493746452007</v>
      </c>
      <c r="V296" s="126">
        <f t="shared" si="44"/>
        <v>1.5051226687204577</v>
      </c>
      <c r="W296" s="126">
        <f t="shared" si="45"/>
        <v>2.3030884728000482</v>
      </c>
      <c r="X296" s="126">
        <f t="shared" si="46"/>
        <v>1.3667012619377963</v>
      </c>
      <c r="Y296" s="126">
        <f t="shared" si="47"/>
        <v>1.7603889079451169</v>
      </c>
      <c r="Z296" s="126">
        <f t="shared" si="48"/>
        <v>2.7137354145990709</v>
      </c>
      <c r="AA296" s="126">
        <f t="shared" si="49"/>
        <v>1.9302266226477753</v>
      </c>
      <c r="AB296" s="126">
        <f t="shared" si="50"/>
        <v>2.2742068595901102</v>
      </c>
    </row>
    <row r="297" spans="1:28">
      <c r="A297">
        <v>296</v>
      </c>
      <c r="B297" s="119">
        <v>0.97668038408779134</v>
      </c>
      <c r="F297">
        <v>0.90184423106233813</v>
      </c>
      <c r="G297">
        <v>4.9992379210486208E-2</v>
      </c>
      <c r="H297">
        <v>0.38332571254381953</v>
      </c>
      <c r="I297">
        <v>0.71665904587715301</v>
      </c>
      <c r="J297">
        <v>0.16110349032159729</v>
      </c>
      <c r="K297">
        <v>0.49443682365493064</v>
      </c>
      <c r="L297">
        <v>0.82777015698826395</v>
      </c>
      <c r="M297">
        <v>0.27221460143270843</v>
      </c>
      <c r="N297">
        <v>0.60554793476604185</v>
      </c>
      <c r="O297">
        <v>0.93888126809937511</v>
      </c>
      <c r="R297">
        <v>2.5</v>
      </c>
      <c r="S297" s="126">
        <f t="shared" si="41"/>
        <v>3.4839776701586489</v>
      </c>
      <c r="T297" s="126">
        <f t="shared" si="42"/>
        <v>1.5560383965600684</v>
      </c>
      <c r="U297" s="126">
        <f t="shared" si="43"/>
        <v>1.6990265041656913</v>
      </c>
      <c r="V297" s="126">
        <f t="shared" si="44"/>
        <v>2.4882232287761026</v>
      </c>
      <c r="W297" s="126">
        <f t="shared" si="45"/>
        <v>1.5958118857517323</v>
      </c>
      <c r="X297" s="126">
        <f t="shared" si="46"/>
        <v>1.9522804374742653</v>
      </c>
      <c r="Y297" s="126">
        <f t="shared" si="47"/>
        <v>2.9227014531524369</v>
      </c>
      <c r="Z297" s="126">
        <f t="shared" si="48"/>
        <v>2.1307421250189558</v>
      </c>
      <c r="AA297" s="126">
        <f t="shared" si="49"/>
        <v>2.4534653776153212</v>
      </c>
      <c r="AB297" s="126">
        <f t="shared" si="50"/>
        <v>3.6695262658398522</v>
      </c>
    </row>
    <row r="298" spans="1:28">
      <c r="A298">
        <v>297</v>
      </c>
      <c r="B298" s="119">
        <v>2.6063100137174208E-2</v>
      </c>
      <c r="F298">
        <v>8.7029416247523236E-2</v>
      </c>
      <c r="G298">
        <v>0.42036274958085657</v>
      </c>
      <c r="H298">
        <v>0.75369608291418999</v>
      </c>
      <c r="I298">
        <v>0.19814052735863433</v>
      </c>
      <c r="J298">
        <v>0.53147386069196767</v>
      </c>
      <c r="K298">
        <v>0.86480719402530093</v>
      </c>
      <c r="L298">
        <v>0.30925163846974546</v>
      </c>
      <c r="M298">
        <v>0.64258497180307883</v>
      </c>
      <c r="N298">
        <v>0.97591830513641209</v>
      </c>
      <c r="O298">
        <v>2.5301021185794845E-2</v>
      </c>
      <c r="R298">
        <v>2.5</v>
      </c>
      <c r="S298" s="126">
        <f t="shared" si="41"/>
        <v>1.2970957783502488</v>
      </c>
      <c r="T298" s="126">
        <f t="shared" si="42"/>
        <v>1.6478913794377563</v>
      </c>
      <c r="U298" s="126">
        <f t="shared" si="43"/>
        <v>2.5559081505491168</v>
      </c>
      <c r="V298" s="126">
        <f t="shared" si="44"/>
        <v>1.7466640534113718</v>
      </c>
      <c r="W298" s="126">
        <f t="shared" si="45"/>
        <v>2.1047396111593573</v>
      </c>
      <c r="X298" s="126">
        <f t="shared" si="46"/>
        <v>3.1286434828570977</v>
      </c>
      <c r="Y298" s="126">
        <f t="shared" si="47"/>
        <v>2.3234557629383508</v>
      </c>
      <c r="Z298" s="126">
        <f t="shared" si="48"/>
        <v>2.6308592020764183</v>
      </c>
      <c r="AA298" s="126">
        <f t="shared" si="49"/>
        <v>4.113739359542846</v>
      </c>
      <c r="AB298" s="126">
        <f t="shared" si="50"/>
        <v>1.6169413976755629</v>
      </c>
    </row>
    <row r="299" spans="1:28">
      <c r="A299">
        <v>298</v>
      </c>
      <c r="B299" s="119">
        <v>0.35939643347050754</v>
      </c>
      <c r="F299">
        <v>0.35863435451912817</v>
      </c>
      <c r="G299">
        <v>0.69196768785246154</v>
      </c>
      <c r="H299">
        <v>0.13641213229690594</v>
      </c>
      <c r="I299">
        <v>0.46974546563023928</v>
      </c>
      <c r="J299">
        <v>0.80307879896357259</v>
      </c>
      <c r="K299">
        <v>0.24752324340801704</v>
      </c>
      <c r="L299">
        <v>0.58085657674135049</v>
      </c>
      <c r="M299">
        <v>0.91418991007468375</v>
      </c>
      <c r="N299">
        <v>6.2338058222831887E-2</v>
      </c>
      <c r="O299">
        <v>0.39567139155616521</v>
      </c>
      <c r="R299">
        <v>2.5</v>
      </c>
      <c r="S299" s="126">
        <f t="shared" ref="S299:S362" si="51">NORMINV(F299,0,1)*0.8248+0.4974*(2.3356-R299)+R299</f>
        <v>2.1195578734757614</v>
      </c>
      <c r="T299" s="126">
        <f t="shared" ref="T299:T362" si="52">NORMINV(G299,0,1)*0.8248+0.4974*(2.3356-S299)+S299</f>
        <v>2.6406012705207562</v>
      </c>
      <c r="U299" s="126">
        <f t="shared" ref="U299:U362" si="53">NORMINV(H299,0,1)*0.8248+0.4974*(2.3356-T299)+T299</f>
        <v>1.5844330029815628</v>
      </c>
      <c r="V299" s="126">
        <f t="shared" ref="V299:V362" si="54">NORMINV(I299,0,1)*0.8248+0.4974*(2.3356-U299)+U299</f>
        <v>1.8954531380467055</v>
      </c>
      <c r="W299" s="126">
        <f t="shared" ref="W299:W362" si="55">NORMINV(J299,0,1)*0.8248+0.4974*(2.3356-V299)+V299</f>
        <v>2.8176642988535967</v>
      </c>
      <c r="X299" s="126">
        <f t="shared" ref="X299:X362" si="56">NORMINV(K299,0,1)*0.8248+0.4974*(2.3356-W299)+W299</f>
        <v>2.0151208414816821</v>
      </c>
      <c r="Y299" s="126">
        <f t="shared" ref="Y299:Y362" si="57">NORMINV(L299,0,1)*0.8248+0.4974*(2.3356-X299)+X299</f>
        <v>2.3428567250604271</v>
      </c>
      <c r="Z299" s="126">
        <f t="shared" ref="Z299:Z362" si="58">NORMINV(M299,0,1)*0.8248+0.4974*(2.3356-Y299)+Y299</f>
        <v>3.4667623179004354</v>
      </c>
      <c r="AA299" s="126">
        <f t="shared" ref="AA299:AA362" si="59">NORMINV(N299,0,1)*0.8248+0.4974*(2.3356-Z299)+Z299</f>
        <v>1.6376923839344009</v>
      </c>
      <c r="AB299" s="126">
        <f t="shared" ref="AB299:AB362" si="60">NORMINV(O299,0,1)*0.8248+0.4974*(2.3356-AA299)+AA299</f>
        <v>1.7666164905750765</v>
      </c>
    </row>
    <row r="300" spans="1:28">
      <c r="A300">
        <v>299</v>
      </c>
      <c r="B300" s="119">
        <v>0.6927297668038408</v>
      </c>
      <c r="F300">
        <v>0.72900472488949863</v>
      </c>
      <c r="G300">
        <v>0.17344916933394297</v>
      </c>
      <c r="H300">
        <v>0.50678250266727642</v>
      </c>
      <c r="I300">
        <v>0.84011583600060957</v>
      </c>
      <c r="J300">
        <v>0.2845602804450541</v>
      </c>
      <c r="K300">
        <v>0.61789361377838747</v>
      </c>
      <c r="L300">
        <v>0.95122694711172073</v>
      </c>
      <c r="M300">
        <v>9.9375095259868915E-2</v>
      </c>
      <c r="N300">
        <v>0.43270842859320224</v>
      </c>
      <c r="O300">
        <v>0.76604176192653561</v>
      </c>
      <c r="R300">
        <v>2.5</v>
      </c>
      <c r="S300" s="126">
        <f t="shared" si="51"/>
        <v>2.9211951502318221</v>
      </c>
      <c r="T300" s="126">
        <f t="shared" si="52"/>
        <v>1.854094670554979</v>
      </c>
      <c r="U300" s="126">
        <f t="shared" si="53"/>
        <v>2.1076186974558042</v>
      </c>
      <c r="V300" s="126">
        <f t="shared" si="54"/>
        <v>3.041638223692952</v>
      </c>
      <c r="W300" s="126">
        <f t="shared" si="55"/>
        <v>2.2208572646652094</v>
      </c>
      <c r="X300" s="126">
        <f t="shared" si="56"/>
        <v>2.5253317885216733</v>
      </c>
      <c r="Y300" s="126">
        <f t="shared" si="57"/>
        <v>3.7975441659517415</v>
      </c>
      <c r="Z300" s="126">
        <f t="shared" si="58"/>
        <v>2.0104057767270125</v>
      </c>
      <c r="AA300" s="126">
        <f t="shared" si="59"/>
        <v>2.0323679247697428</v>
      </c>
      <c r="AB300" s="126">
        <f t="shared" si="60"/>
        <v>2.7818958162215308</v>
      </c>
    </row>
    <row r="301" spans="1:28">
      <c r="A301">
        <v>300</v>
      </c>
      <c r="B301" s="119">
        <v>0.13717421124828533</v>
      </c>
      <c r="F301">
        <v>0.21048620637098001</v>
      </c>
      <c r="G301">
        <v>0.5438195397043134</v>
      </c>
      <c r="H301">
        <v>0.87715287303764666</v>
      </c>
      <c r="I301">
        <v>0.32159731748209114</v>
      </c>
      <c r="J301">
        <v>0.65493065081542456</v>
      </c>
      <c r="K301">
        <v>0.98826398414875782</v>
      </c>
      <c r="L301">
        <v>4.7248894985520507E-3</v>
      </c>
      <c r="M301">
        <v>0.33805822283188536</v>
      </c>
      <c r="N301">
        <v>0.67139155616521873</v>
      </c>
      <c r="O301">
        <v>0.11583600060966315</v>
      </c>
      <c r="R301">
        <v>2.5</v>
      </c>
      <c r="S301" s="126">
        <f t="shared" si="51"/>
        <v>1.7544817189866349</v>
      </c>
      <c r="T301" s="126">
        <f t="shared" si="52"/>
        <v>2.134308344946136</v>
      </c>
      <c r="U301" s="126">
        <f t="shared" si="53"/>
        <v>3.1919174379380713</v>
      </c>
      <c r="V301" s="126">
        <f t="shared" si="54"/>
        <v>2.3839074245729375</v>
      </c>
      <c r="W301" s="126">
        <f t="shared" si="55"/>
        <v>2.6886997279592091</v>
      </c>
      <c r="X301" s="126">
        <f t="shared" si="56"/>
        <v>4.3817866697627235</v>
      </c>
      <c r="Y301" s="126">
        <f t="shared" si="57"/>
        <v>1.2233781919708653</v>
      </c>
      <c r="Z301" s="126">
        <f t="shared" si="58"/>
        <v>1.4320219302552264</v>
      </c>
      <c r="AA301" s="126">
        <f t="shared" si="59"/>
        <v>2.2474740240297986</v>
      </c>
      <c r="AB301" s="126">
        <f t="shared" si="60"/>
        <v>1.3047951774466173</v>
      </c>
    </row>
    <row r="302" spans="1:28">
      <c r="A302">
        <v>301</v>
      </c>
      <c r="B302" s="119">
        <v>0.47050754458161864</v>
      </c>
      <c r="F302">
        <v>0.44916933394299646</v>
      </c>
      <c r="G302">
        <v>0.78250266727632978</v>
      </c>
      <c r="H302">
        <v>0.22694711172077425</v>
      </c>
      <c r="I302">
        <v>0.56028044505410768</v>
      </c>
      <c r="J302">
        <v>0.89361377838744094</v>
      </c>
      <c r="K302">
        <v>4.1761926535589092E-2</v>
      </c>
      <c r="L302">
        <v>0.37509525986892239</v>
      </c>
      <c r="M302">
        <v>0.70842859320225582</v>
      </c>
      <c r="N302">
        <v>0.15287303764670018</v>
      </c>
      <c r="O302">
        <v>0.4862063709800335</v>
      </c>
      <c r="R302">
        <v>2.5</v>
      </c>
      <c r="S302" s="126">
        <f t="shared" si="51"/>
        <v>2.3128507438838626</v>
      </c>
      <c r="T302" s="126">
        <f t="shared" si="52"/>
        <v>2.9680655654297774</v>
      </c>
      <c r="U302" s="126">
        <f t="shared" si="53"/>
        <v>2.0357526492606057</v>
      </c>
      <c r="V302" s="126">
        <f t="shared" si="54"/>
        <v>2.3100026181141042</v>
      </c>
      <c r="W302" s="126">
        <f t="shared" si="55"/>
        <v>3.3504174750721702</v>
      </c>
      <c r="X302" s="126">
        <f t="shared" si="56"/>
        <v>1.4182517165842641</v>
      </c>
      <c r="Y302" s="126">
        <f t="shared" si="57"/>
        <v>1.6119341999301633</v>
      </c>
      <c r="Z302" s="126">
        <f t="shared" si="58"/>
        <v>2.4245356847538178</v>
      </c>
      <c r="AA302" s="126">
        <f t="shared" si="59"/>
        <v>1.5355480961420549</v>
      </c>
      <c r="AB302" s="126">
        <f t="shared" si="60"/>
        <v>1.9049703558997593</v>
      </c>
    </row>
    <row r="303" spans="1:28">
      <c r="A303">
        <v>302</v>
      </c>
      <c r="B303" s="119">
        <v>0.80384087791495185</v>
      </c>
      <c r="F303">
        <v>0.81953970431336676</v>
      </c>
      <c r="G303">
        <v>0.26398414875781129</v>
      </c>
      <c r="H303">
        <v>0.59731748209114466</v>
      </c>
      <c r="I303">
        <v>0.93065081542447792</v>
      </c>
      <c r="J303">
        <v>7.8798963572626113E-2</v>
      </c>
      <c r="K303">
        <v>0.41213229690595943</v>
      </c>
      <c r="L303">
        <v>0.7454656302392928</v>
      </c>
      <c r="M303">
        <v>0.18991007468373722</v>
      </c>
      <c r="N303">
        <v>0.52324340801707059</v>
      </c>
      <c r="O303">
        <v>0.85657674135040385</v>
      </c>
      <c r="R303">
        <v>2.5</v>
      </c>
      <c r="S303" s="126">
        <f t="shared" si="51"/>
        <v>3.1717748801102017</v>
      </c>
      <c r="T303" s="126">
        <f t="shared" si="52"/>
        <v>2.2353215813140297</v>
      </c>
      <c r="U303" s="126">
        <f t="shared" si="53"/>
        <v>2.488438853781695</v>
      </c>
      <c r="V303" s="126">
        <f t="shared" si="54"/>
        <v>3.6336615530123888</v>
      </c>
      <c r="W303" s="126">
        <f t="shared" si="55"/>
        <v>1.822401184164971</v>
      </c>
      <c r="X303" s="126">
        <f t="shared" si="56"/>
        <v>1.8945084514043204</v>
      </c>
      <c r="Y303" s="126">
        <f t="shared" si="57"/>
        <v>2.6585133026682781</v>
      </c>
      <c r="Z303" s="126">
        <f t="shared" si="58"/>
        <v>1.7735339988834684</v>
      </c>
      <c r="AA303" s="126">
        <f t="shared" si="59"/>
        <v>2.1011878265852237</v>
      </c>
      <c r="AB303" s="126">
        <f t="shared" si="60"/>
        <v>3.0962500520009804</v>
      </c>
    </row>
    <row r="304" spans="1:28">
      <c r="A304">
        <v>303</v>
      </c>
      <c r="B304" s="119">
        <v>0.24828532235939643</v>
      </c>
      <c r="F304">
        <v>0.30102118579484832</v>
      </c>
      <c r="G304">
        <v>0.63435451912818175</v>
      </c>
      <c r="H304">
        <v>0.96768785246151501</v>
      </c>
      <c r="I304">
        <v>1.7070568510897728E-2</v>
      </c>
      <c r="J304">
        <v>0.35040390184423104</v>
      </c>
      <c r="K304">
        <v>0.68373723517756435</v>
      </c>
      <c r="L304">
        <v>0.12818167962200883</v>
      </c>
      <c r="M304">
        <v>0.46151501295534214</v>
      </c>
      <c r="N304">
        <v>0.79484834628867551</v>
      </c>
      <c r="O304">
        <v>0.23929279073311993</v>
      </c>
      <c r="R304">
        <v>2.5</v>
      </c>
      <c r="S304" s="126">
        <f t="shared" si="51"/>
        <v>1.9881225044420363</v>
      </c>
      <c r="T304" s="126">
        <f t="shared" si="52"/>
        <v>2.4442013653260117</v>
      </c>
      <c r="U304" s="126">
        <f t="shared" si="53"/>
        <v>3.9142883030830502</v>
      </c>
      <c r="V304" s="126">
        <f t="shared" si="54"/>
        <v>1.3817917499239019</v>
      </c>
      <c r="W304" s="126">
        <f t="shared" si="55"/>
        <v>1.5393028678136929</v>
      </c>
      <c r="X304" s="126">
        <f t="shared" si="56"/>
        <v>2.3297799461741833</v>
      </c>
      <c r="Y304" s="126">
        <f t="shared" si="57"/>
        <v>1.3965032985956487</v>
      </c>
      <c r="Z304" s="126">
        <f t="shared" si="58"/>
        <v>1.7839197461455907</v>
      </c>
      <c r="AA304" s="126">
        <f t="shared" si="59"/>
        <v>2.7374328256097669</v>
      </c>
      <c r="AB304" s="126">
        <f t="shared" si="60"/>
        <v>1.9531249659393275</v>
      </c>
    </row>
    <row r="305" spans="1:28">
      <c r="A305">
        <v>304</v>
      </c>
      <c r="B305" s="119">
        <v>0.58161865569272975</v>
      </c>
      <c r="F305">
        <v>0.57262612406645341</v>
      </c>
      <c r="G305">
        <v>0.90595945739978667</v>
      </c>
      <c r="H305">
        <v>5.410760554793477E-2</v>
      </c>
      <c r="I305">
        <v>0.38744093888126807</v>
      </c>
      <c r="J305">
        <v>0.72077427221460155</v>
      </c>
      <c r="K305">
        <v>0.16521871665904586</v>
      </c>
      <c r="L305">
        <v>0.49855204999237918</v>
      </c>
      <c r="M305">
        <v>0.83188538332571249</v>
      </c>
      <c r="N305">
        <v>0.27632982777015697</v>
      </c>
      <c r="O305">
        <v>0.60966316110349039</v>
      </c>
      <c r="R305">
        <v>2.5</v>
      </c>
      <c r="S305" s="126">
        <f t="shared" si="51"/>
        <v>2.5692186801437087</v>
      </c>
      <c r="T305" s="126">
        <f t="shared" si="52"/>
        <v>3.5386820242234731</v>
      </c>
      <c r="U305" s="126">
        <f t="shared" si="53"/>
        <v>1.6154198285012709</v>
      </c>
      <c r="V305" s="126">
        <f t="shared" si="54"/>
        <v>1.7377486908159443</v>
      </c>
      <c r="W305" s="126">
        <f t="shared" si="55"/>
        <v>2.5177460160524205</v>
      </c>
      <c r="X305" s="126">
        <f t="shared" si="56"/>
        <v>1.6244238767751646</v>
      </c>
      <c r="Y305" s="126">
        <f t="shared" si="57"/>
        <v>1.9751692850349765</v>
      </c>
      <c r="Z305" s="126">
        <f t="shared" si="58"/>
        <v>2.9476102265971522</v>
      </c>
      <c r="AA305" s="126">
        <f t="shared" si="59"/>
        <v>2.1534470742942999</v>
      </c>
      <c r="AB305" s="126">
        <f t="shared" si="60"/>
        <v>2.4737082613046177</v>
      </c>
    </row>
    <row r="306" spans="1:28">
      <c r="A306">
        <v>305</v>
      </c>
      <c r="B306" s="119">
        <v>0.91495198902606301</v>
      </c>
      <c r="F306">
        <v>0.94299649443682365</v>
      </c>
      <c r="G306">
        <v>9.1144642584971791E-2</v>
      </c>
      <c r="H306">
        <v>0.42447797591830511</v>
      </c>
      <c r="I306">
        <v>0.75781130925163853</v>
      </c>
      <c r="J306">
        <v>0.2022557536960829</v>
      </c>
      <c r="K306">
        <v>0.53558908702941621</v>
      </c>
      <c r="L306">
        <v>0.86892242036274947</v>
      </c>
      <c r="M306">
        <v>0.313366864807194</v>
      </c>
      <c r="N306">
        <v>0.64670019814052737</v>
      </c>
      <c r="O306">
        <v>0.98003353147386063</v>
      </c>
      <c r="R306">
        <v>2.5</v>
      </c>
      <c r="S306" s="126">
        <f t="shared" si="51"/>
        <v>3.7217712025505598</v>
      </c>
      <c r="T306" s="126">
        <f t="shared" si="52"/>
        <v>1.9322214086828502</v>
      </c>
      <c r="U306" s="126">
        <f t="shared" si="53"/>
        <v>1.9757781616703609</v>
      </c>
      <c r="V306" s="126">
        <f t="shared" si="54"/>
        <v>2.7315192681519065</v>
      </c>
      <c r="W306" s="126">
        <f t="shared" si="55"/>
        <v>1.8470431797422795</v>
      </c>
      <c r="X306" s="126">
        <f t="shared" si="56"/>
        <v>2.1637284707264763</v>
      </c>
      <c r="Y306" s="126">
        <f t="shared" si="57"/>
        <v>3.1740753521231158</v>
      </c>
      <c r="Z306" s="126">
        <f t="shared" si="58"/>
        <v>2.3558933299040845</v>
      </c>
      <c r="AA306" s="126">
        <f t="shared" si="59"/>
        <v>2.6562762760254297</v>
      </c>
      <c r="AB306" s="126">
        <f t="shared" si="60"/>
        <v>4.1912756110829932</v>
      </c>
    </row>
    <row r="307" spans="1:28">
      <c r="A307">
        <v>306</v>
      </c>
      <c r="B307" s="119">
        <v>6.3100137174211243E-2</v>
      </c>
      <c r="F307">
        <v>2.9416247523243406E-2</v>
      </c>
      <c r="G307">
        <v>0.36274958085657671</v>
      </c>
      <c r="H307">
        <v>0.69608291418991008</v>
      </c>
      <c r="I307">
        <v>0.1405273586343545</v>
      </c>
      <c r="J307">
        <v>0.47386069196768782</v>
      </c>
      <c r="K307">
        <v>0.80719402530102113</v>
      </c>
      <c r="L307">
        <v>0.25163846974546561</v>
      </c>
      <c r="M307">
        <v>0.58497180307879904</v>
      </c>
      <c r="N307">
        <v>0.91830513641213229</v>
      </c>
      <c r="O307">
        <v>6.6453284560280435E-2</v>
      </c>
      <c r="R307">
        <v>2.5</v>
      </c>
      <c r="S307" s="126">
        <f t="shared" si="51"/>
        <v>0.85981486191401069</v>
      </c>
      <c r="T307" s="126">
        <f t="shared" si="52"/>
        <v>1.3042675344419663</v>
      </c>
      <c r="U307" s="126">
        <f t="shared" si="53"/>
        <v>2.2405128406075425</v>
      </c>
      <c r="V307" s="126">
        <f t="shared" si="54"/>
        <v>1.3987135333419962</v>
      </c>
      <c r="W307" s="126">
        <f t="shared" si="55"/>
        <v>1.8106399790648249</v>
      </c>
      <c r="X307" s="126">
        <f t="shared" si="56"/>
        <v>2.7873536776197811</v>
      </c>
      <c r="Y307" s="126">
        <f t="shared" si="57"/>
        <v>2.0105775978814333</v>
      </c>
      <c r="Z307" s="126">
        <f t="shared" si="58"/>
        <v>2.3492699390049698</v>
      </c>
      <c r="AA307" s="126">
        <f t="shared" si="59"/>
        <v>3.4920447524474785</v>
      </c>
      <c r="AB307" s="126">
        <f t="shared" si="60"/>
        <v>1.677370669116333</v>
      </c>
    </row>
    <row r="308" spans="1:28">
      <c r="A308">
        <v>307</v>
      </c>
      <c r="B308" s="119">
        <v>0.39643347050754457</v>
      </c>
      <c r="F308">
        <v>0.39978661789361375</v>
      </c>
      <c r="G308">
        <v>0.73311995122694718</v>
      </c>
      <c r="H308">
        <v>0.17756439567139154</v>
      </c>
      <c r="I308">
        <v>0.51089772900472497</v>
      </c>
      <c r="J308">
        <v>0.84423106233805811</v>
      </c>
      <c r="K308">
        <v>0.28867550678250264</v>
      </c>
      <c r="L308">
        <v>0.62200884011583601</v>
      </c>
      <c r="M308">
        <v>0.95534217344916927</v>
      </c>
      <c r="N308">
        <v>0.10349032159731747</v>
      </c>
      <c r="O308">
        <v>0.43682365493065078</v>
      </c>
      <c r="R308">
        <v>2.5</v>
      </c>
      <c r="S308" s="126">
        <f t="shared" si="51"/>
        <v>2.2088111694541115</v>
      </c>
      <c r="T308" s="126">
        <f t="shared" si="52"/>
        <v>2.7851295574981574</v>
      </c>
      <c r="U308" s="126">
        <f t="shared" si="53"/>
        <v>1.7988517937866682</v>
      </c>
      <c r="V308" s="126">
        <f t="shared" si="54"/>
        <v>2.0883638494371257</v>
      </c>
      <c r="W308" s="126">
        <f t="shared" si="55"/>
        <v>3.0460370179575582</v>
      </c>
      <c r="X308" s="126">
        <f t="shared" si="56"/>
        <v>2.2330390614160573</v>
      </c>
      <c r="Y308" s="126">
        <f t="shared" si="57"/>
        <v>2.5403685454878513</v>
      </c>
      <c r="Z308" s="126">
        <f t="shared" si="58"/>
        <v>3.8398673260239367</v>
      </c>
      <c r="AA308" s="126">
        <f t="shared" si="59"/>
        <v>2.0508201752246507</v>
      </c>
      <c r="AB308" s="126">
        <f t="shared" si="60"/>
        <v>2.0613038850577996</v>
      </c>
    </row>
    <row r="309" spans="1:28">
      <c r="A309">
        <v>308</v>
      </c>
      <c r="B309" s="119">
        <v>0.72976680384087789</v>
      </c>
      <c r="F309">
        <v>0.77015698826398415</v>
      </c>
      <c r="G309">
        <v>0.21460143270842857</v>
      </c>
      <c r="H309">
        <v>0.54793476604176194</v>
      </c>
      <c r="I309">
        <v>0.8812680993750952</v>
      </c>
      <c r="J309">
        <v>0.32571254381953968</v>
      </c>
      <c r="K309">
        <v>0.65904587715287311</v>
      </c>
      <c r="L309">
        <v>0.99237921048620636</v>
      </c>
      <c r="M309">
        <v>8.8401158360006098E-3</v>
      </c>
      <c r="N309">
        <v>0.34217344916933395</v>
      </c>
      <c r="O309">
        <v>0.67550678250266727</v>
      </c>
      <c r="R309">
        <v>2.5</v>
      </c>
      <c r="S309" s="126">
        <f t="shared" si="51"/>
        <v>3.0280548302812935</v>
      </c>
      <c r="T309" s="126">
        <f t="shared" si="52"/>
        <v>2.0315768330224824</v>
      </c>
      <c r="U309" s="126">
        <f t="shared" si="53"/>
        <v>2.2821411777017673</v>
      </c>
      <c r="V309" s="126">
        <f t="shared" si="54"/>
        <v>3.2831088907174166</v>
      </c>
      <c r="W309" s="126">
        <f t="shared" si="55"/>
        <v>2.4391870866583565</v>
      </c>
      <c r="X309" s="126">
        <f t="shared" si="56"/>
        <v>2.7257158515969935</v>
      </c>
      <c r="Y309" s="126">
        <f t="shared" si="57"/>
        <v>4.5331215071740854</v>
      </c>
      <c r="Z309" s="126">
        <f t="shared" si="58"/>
        <v>1.4834443759999378</v>
      </c>
      <c r="AA309" s="126">
        <f t="shared" si="59"/>
        <v>1.5719935429226604</v>
      </c>
      <c r="AB309" s="126">
        <f t="shared" si="60"/>
        <v>2.3272361913216404</v>
      </c>
    </row>
    <row r="310" spans="1:28">
      <c r="A310">
        <v>309</v>
      </c>
      <c r="B310" s="119">
        <v>0.17421124828532236</v>
      </c>
      <c r="F310">
        <v>0.11995122694711172</v>
      </c>
      <c r="G310">
        <v>0.45328456028044506</v>
      </c>
      <c r="H310">
        <v>0.78661789361377832</v>
      </c>
      <c r="I310">
        <v>0.23106233805822279</v>
      </c>
      <c r="J310">
        <v>0.56439567139155622</v>
      </c>
      <c r="K310">
        <v>0.89772900472488948</v>
      </c>
      <c r="L310">
        <v>4.5877152873037653E-2</v>
      </c>
      <c r="M310">
        <v>0.37921048620637099</v>
      </c>
      <c r="N310">
        <v>0.71254381953970436</v>
      </c>
      <c r="O310">
        <v>0.15698826398414872</v>
      </c>
      <c r="R310">
        <v>2.5</v>
      </c>
      <c r="S310" s="126">
        <f t="shared" si="51"/>
        <v>1.448897205727083</v>
      </c>
      <c r="T310" s="126">
        <f t="shared" si="52"/>
        <v>1.7931387564567596</v>
      </c>
      <c r="U310" s="126">
        <f t="shared" si="53"/>
        <v>2.7184613057152456</v>
      </c>
      <c r="V310" s="126">
        <f t="shared" si="54"/>
        <v>1.9215071251097826</v>
      </c>
      <c r="W310" s="126">
        <f t="shared" si="55"/>
        <v>2.2611963246613755</v>
      </c>
      <c r="X310" s="126">
        <f t="shared" si="56"/>
        <v>3.3446425555415007</v>
      </c>
      <c r="Y310" s="126">
        <f t="shared" si="57"/>
        <v>1.4519542707452886</v>
      </c>
      <c r="Z310" s="126">
        <f t="shared" si="58"/>
        <v>1.6378082992250853</v>
      </c>
      <c r="AA310" s="126">
        <f t="shared" si="59"/>
        <v>2.4474637725432395</v>
      </c>
      <c r="AB310" s="126">
        <f t="shared" si="60"/>
        <v>1.5613207931574482</v>
      </c>
    </row>
    <row r="311" spans="1:28">
      <c r="A311">
        <v>310</v>
      </c>
      <c r="B311" s="119">
        <v>0.50754458161865568</v>
      </c>
      <c r="F311">
        <v>0.49032159731748209</v>
      </c>
      <c r="G311">
        <v>0.8236549306508153</v>
      </c>
      <c r="H311">
        <v>0.26809937509525988</v>
      </c>
      <c r="I311">
        <v>0.6014327084285932</v>
      </c>
      <c r="J311">
        <v>0.93476604176192646</v>
      </c>
      <c r="K311">
        <v>8.2914189910074682E-2</v>
      </c>
      <c r="L311">
        <v>0.41624752324340802</v>
      </c>
      <c r="M311">
        <v>0.74958085657674134</v>
      </c>
      <c r="N311">
        <v>0.19402530102118576</v>
      </c>
      <c r="O311">
        <v>0.52735863435451913</v>
      </c>
      <c r="R311">
        <v>2.5</v>
      </c>
      <c r="S311" s="126">
        <f t="shared" si="51"/>
        <v>2.3982156986178671</v>
      </c>
      <c r="T311" s="126">
        <f t="shared" si="52"/>
        <v>3.1336265382679218</v>
      </c>
      <c r="U311" s="126">
        <f t="shared" si="53"/>
        <v>2.226490450544965</v>
      </c>
      <c r="V311" s="126">
        <f t="shared" si="54"/>
        <v>2.4927823551675008</v>
      </c>
      <c r="W311" s="126">
        <f t="shared" si="55"/>
        <v>3.6619113032889343</v>
      </c>
      <c r="X311" s="126">
        <f t="shared" si="56"/>
        <v>1.859251299566796</v>
      </c>
      <c r="Y311" s="126">
        <f t="shared" si="57"/>
        <v>1.9217397383118737</v>
      </c>
      <c r="Z311" s="126">
        <f t="shared" si="58"/>
        <v>2.6828255606183102</v>
      </c>
      <c r="AA311" s="126">
        <f t="shared" si="59"/>
        <v>1.7981828479619864</v>
      </c>
      <c r="AB311" s="126">
        <f t="shared" si="60"/>
        <v>2.1221016216110731</v>
      </c>
    </row>
    <row r="312" spans="1:28">
      <c r="A312">
        <v>311</v>
      </c>
      <c r="B312" s="119">
        <v>0.84087791495198883</v>
      </c>
      <c r="F312">
        <v>0.86069196768785239</v>
      </c>
      <c r="G312">
        <v>0.30513641213229692</v>
      </c>
      <c r="H312">
        <v>0.63846974546563029</v>
      </c>
      <c r="I312">
        <v>0.97180307879896355</v>
      </c>
      <c r="J312">
        <v>2.1185794848346286E-2</v>
      </c>
      <c r="K312">
        <v>0.35451912818167963</v>
      </c>
      <c r="L312">
        <v>0.68785246151501289</v>
      </c>
      <c r="M312">
        <v>0.13229690595945737</v>
      </c>
      <c r="N312">
        <v>0.46563023929279074</v>
      </c>
      <c r="O312">
        <v>0.79896357262612405</v>
      </c>
      <c r="R312">
        <v>2.5</v>
      </c>
      <c r="S312" s="126">
        <f t="shared" si="51"/>
        <v>3.3118433690572857</v>
      </c>
      <c r="T312" s="126">
        <f t="shared" si="52"/>
        <v>2.4058725071988483</v>
      </c>
      <c r="U312" s="126">
        <f t="shared" si="53"/>
        <v>2.6632045546038423</v>
      </c>
      <c r="V312" s="126">
        <f t="shared" si="54"/>
        <v>4.0739556907535146</v>
      </c>
      <c r="W312" s="126">
        <f t="shared" si="55"/>
        <v>1.5350756752626067</v>
      </c>
      <c r="X312" s="126">
        <f t="shared" si="56"/>
        <v>1.6254839605794351</v>
      </c>
      <c r="Y312" s="126">
        <f t="shared" si="57"/>
        <v>2.3826598215193848</v>
      </c>
      <c r="Z312" s="126">
        <f t="shared" si="58"/>
        <v>1.4391061948308077</v>
      </c>
      <c r="AA312" s="126">
        <f t="shared" si="59"/>
        <v>1.8138757367576832</v>
      </c>
      <c r="AB312" s="126">
        <f t="shared" si="60"/>
        <v>2.7645018845701537</v>
      </c>
    </row>
    <row r="313" spans="1:28">
      <c r="A313">
        <v>312</v>
      </c>
      <c r="B313" s="119">
        <v>0.28532235939643347</v>
      </c>
      <c r="F313">
        <v>0.24340801707056847</v>
      </c>
      <c r="G313">
        <v>0.57674135040390195</v>
      </c>
      <c r="H313">
        <v>0.91007468373723521</v>
      </c>
      <c r="I313">
        <v>5.8222831885383332E-2</v>
      </c>
      <c r="J313">
        <v>0.39155616521871667</v>
      </c>
      <c r="K313">
        <v>0.72488949855205009</v>
      </c>
      <c r="L313">
        <v>0.1693339429964944</v>
      </c>
      <c r="M313">
        <v>0.50266727632982777</v>
      </c>
      <c r="N313">
        <v>0.83600060966316103</v>
      </c>
      <c r="O313">
        <v>0.28044505410760556</v>
      </c>
      <c r="R313">
        <v>2.5</v>
      </c>
      <c r="S313" s="126">
        <f t="shared" si="51"/>
        <v>1.8446764931004311</v>
      </c>
      <c r="T313" s="126">
        <f t="shared" si="52"/>
        <v>2.2485134217365443</v>
      </c>
      <c r="U313" s="126">
        <f t="shared" si="53"/>
        <v>3.3980644815436789</v>
      </c>
      <c r="V313" s="126">
        <f t="shared" si="54"/>
        <v>1.5747669554723016</v>
      </c>
      <c r="W313" s="126">
        <f t="shared" si="55"/>
        <v>1.7261663944649654</v>
      </c>
      <c r="X313" s="126">
        <f t="shared" si="56"/>
        <v>2.5220581014947054</v>
      </c>
      <c r="Y313" s="126">
        <f t="shared" si="57"/>
        <v>1.6401446687530026</v>
      </c>
      <c r="Z313" s="126">
        <f t="shared" si="58"/>
        <v>1.9915786973940037</v>
      </c>
      <c r="AA313" s="126">
        <f t="shared" si="59"/>
        <v>2.9694752831376547</v>
      </c>
      <c r="AB313" s="126">
        <f t="shared" si="60"/>
        <v>2.1745481013087504</v>
      </c>
    </row>
    <row r="314" spans="1:28">
      <c r="A314">
        <v>313</v>
      </c>
      <c r="B314" s="119">
        <v>0.61865569272976673</v>
      </c>
      <c r="F314">
        <v>0.61377838744093893</v>
      </c>
      <c r="G314">
        <v>0.94711172077427219</v>
      </c>
      <c r="H314">
        <v>9.525986892242036E-2</v>
      </c>
      <c r="I314">
        <v>0.4285932022557537</v>
      </c>
      <c r="J314">
        <v>0.76192653558908707</v>
      </c>
      <c r="K314">
        <v>0.20637098003353144</v>
      </c>
      <c r="L314">
        <v>0.53970431336686475</v>
      </c>
      <c r="M314">
        <v>0.87303764670019801</v>
      </c>
      <c r="N314">
        <v>0.3174820911446426</v>
      </c>
      <c r="O314">
        <v>0.65081542447797591</v>
      </c>
      <c r="R314">
        <v>2.5</v>
      </c>
      <c r="S314" s="126">
        <f t="shared" si="51"/>
        <v>2.656743546902764</v>
      </c>
      <c r="T314" s="126">
        <f t="shared" si="52"/>
        <v>3.8310971799953917</v>
      </c>
      <c r="U314" s="126">
        <f t="shared" si="53"/>
        <v>2.0075381003145116</v>
      </c>
      <c r="V314" s="126">
        <f t="shared" si="54"/>
        <v>2.0222876380646886</v>
      </c>
      <c r="W314" s="126">
        <f t="shared" si="55"/>
        <v>2.76581024297136</v>
      </c>
      <c r="X314" s="126">
        <f t="shared" si="56"/>
        <v>1.8762482019344144</v>
      </c>
      <c r="Y314" s="126">
        <f t="shared" si="57"/>
        <v>2.186953128567692</v>
      </c>
      <c r="Z314" s="126">
        <f t="shared" si="58"/>
        <v>3.2018783082667213</v>
      </c>
      <c r="AA314" s="126">
        <f t="shared" si="59"/>
        <v>2.3794165290646365</v>
      </c>
      <c r="AB314" s="126">
        <f t="shared" si="60"/>
        <v>2.6772510575579309</v>
      </c>
    </row>
    <row r="315" spans="1:28">
      <c r="A315">
        <v>314</v>
      </c>
      <c r="B315" s="119">
        <v>0.95198902606309999</v>
      </c>
      <c r="F315">
        <v>0.98414875781130917</v>
      </c>
      <c r="G315">
        <v>3.3531473860691975E-2</v>
      </c>
      <c r="H315">
        <v>0.36686480719402531</v>
      </c>
      <c r="I315">
        <v>0.70019814052735863</v>
      </c>
      <c r="J315">
        <v>0.14464258497180305</v>
      </c>
      <c r="K315">
        <v>0.47797591830513642</v>
      </c>
      <c r="L315">
        <v>0.81130925163846968</v>
      </c>
      <c r="M315">
        <v>0.25575369608291421</v>
      </c>
      <c r="N315">
        <v>0.58908702941624758</v>
      </c>
      <c r="O315">
        <v>0.92242036274958084</v>
      </c>
      <c r="R315">
        <v>2.5</v>
      </c>
      <c r="S315" s="126">
        <f t="shared" si="51"/>
        <v>4.1900148807183646</v>
      </c>
      <c r="T315" s="126">
        <f t="shared" si="52"/>
        <v>1.757212320580098</v>
      </c>
      <c r="U315" s="126">
        <f t="shared" si="53"/>
        <v>1.7643313470700004</v>
      </c>
      <c r="V315" s="126">
        <f t="shared" si="54"/>
        <v>2.4814760191902994</v>
      </c>
      <c r="W315" s="126">
        <f t="shared" si="55"/>
        <v>1.5348840985389063</v>
      </c>
      <c r="X315" s="126">
        <f t="shared" si="56"/>
        <v>1.8876029718904213</v>
      </c>
      <c r="Y315" s="126">
        <f t="shared" si="57"/>
        <v>2.8385134239402587</v>
      </c>
      <c r="Z315" s="126">
        <f t="shared" si="58"/>
        <v>2.0468894017934978</v>
      </c>
      <c r="AA315" s="126">
        <f t="shared" si="59"/>
        <v>2.3762366258865582</v>
      </c>
      <c r="AB315" s="126">
        <f t="shared" si="60"/>
        <v>3.5285117475343419</v>
      </c>
    </row>
    <row r="316" spans="1:28">
      <c r="A316">
        <v>315</v>
      </c>
      <c r="B316" s="119">
        <v>0.10013717421124828</v>
      </c>
      <c r="F316">
        <v>7.0568510897729003E-2</v>
      </c>
      <c r="G316">
        <v>0.40390184423106235</v>
      </c>
      <c r="H316">
        <v>0.73723517756439572</v>
      </c>
      <c r="I316">
        <v>0.18167962200884008</v>
      </c>
      <c r="J316">
        <v>0.51501295534217351</v>
      </c>
      <c r="K316">
        <v>0.84834628867550665</v>
      </c>
      <c r="L316">
        <v>0.29279073311995124</v>
      </c>
      <c r="M316">
        <v>0.62612406645328456</v>
      </c>
      <c r="N316">
        <v>0.95945739978661781</v>
      </c>
      <c r="O316">
        <v>0.10760554793476604</v>
      </c>
      <c r="R316">
        <v>2.5</v>
      </c>
      <c r="S316" s="126">
        <f t="shared" si="51"/>
        <v>1.2044764736408762</v>
      </c>
      <c r="T316" s="126">
        <f t="shared" si="52"/>
        <v>1.5664561474822456</v>
      </c>
      <c r="U316" s="126">
        <f t="shared" si="53"/>
        <v>2.4726482864285906</v>
      </c>
      <c r="V316" s="126">
        <f t="shared" si="54"/>
        <v>1.6547515162817215</v>
      </c>
      <c r="W316" s="126">
        <f t="shared" si="55"/>
        <v>2.0244516714536558</v>
      </c>
      <c r="X316" s="126">
        <f t="shared" si="56"/>
        <v>3.0282384486459906</v>
      </c>
      <c r="Y316" s="126">
        <f t="shared" si="57"/>
        <v>2.23399773902768</v>
      </c>
      <c r="Z316" s="126">
        <f t="shared" si="58"/>
        <v>2.5497946038513208</v>
      </c>
      <c r="AA316" s="126">
        <f t="shared" si="59"/>
        <v>3.8820550409485843</v>
      </c>
      <c r="AB316" s="126">
        <f t="shared" si="60"/>
        <v>2.090621697981081</v>
      </c>
    </row>
    <row r="317" spans="1:28">
      <c r="A317">
        <v>316</v>
      </c>
      <c r="B317" s="119">
        <v>0.43347050754458161</v>
      </c>
      <c r="F317">
        <v>0.44093888126809938</v>
      </c>
      <c r="G317">
        <v>0.7742722146014327</v>
      </c>
      <c r="H317">
        <v>0.21871665904587712</v>
      </c>
      <c r="I317">
        <v>0.55204999237921049</v>
      </c>
      <c r="J317">
        <v>0.88538332571254375</v>
      </c>
      <c r="K317">
        <v>0.32982777015698828</v>
      </c>
      <c r="L317">
        <v>0.66316110349032165</v>
      </c>
      <c r="M317">
        <v>0.99649443682365491</v>
      </c>
      <c r="N317">
        <v>1.9814052735863436E-3</v>
      </c>
      <c r="O317">
        <v>0.33531473860691968</v>
      </c>
      <c r="R317">
        <v>2.5</v>
      </c>
      <c r="S317" s="126">
        <f t="shared" si="51"/>
        <v>2.2956710333318071</v>
      </c>
      <c r="T317" s="126">
        <f t="shared" si="52"/>
        <v>2.9365983370844706</v>
      </c>
      <c r="U317" s="126">
        <f t="shared" si="53"/>
        <v>1.9971759121936656</v>
      </c>
      <c r="V317" s="126">
        <f t="shared" si="54"/>
        <v>2.2734268292304884</v>
      </c>
      <c r="W317" s="126">
        <f t="shared" si="55"/>
        <v>3.2960385522015105</v>
      </c>
      <c r="X317" s="126">
        <f t="shared" si="56"/>
        <v>2.4550837397744143</v>
      </c>
      <c r="Y317" s="126">
        <f t="shared" si="57"/>
        <v>2.7429806292632506</v>
      </c>
      <c r="Z317" s="126">
        <f t="shared" si="58"/>
        <v>4.764270379196903</v>
      </c>
      <c r="AA317" s="126">
        <f t="shared" si="59"/>
        <v>1.1799126587882318</v>
      </c>
      <c r="AB317" s="126">
        <f t="shared" si="60"/>
        <v>1.4039770969611411</v>
      </c>
    </row>
    <row r="318" spans="1:28">
      <c r="A318">
        <v>317</v>
      </c>
      <c r="B318" s="119">
        <v>0.76680384087791487</v>
      </c>
      <c r="F318">
        <v>0.668648071940253</v>
      </c>
      <c r="G318">
        <v>0.11309251638469744</v>
      </c>
      <c r="H318">
        <v>0.44642584971803079</v>
      </c>
      <c r="I318">
        <v>0.77975918305136405</v>
      </c>
      <c r="J318">
        <v>0.22420362749580855</v>
      </c>
      <c r="K318">
        <v>0.55753696082914195</v>
      </c>
      <c r="L318">
        <v>0.89087029416247521</v>
      </c>
      <c r="M318">
        <v>3.9018442310623382E-2</v>
      </c>
      <c r="N318">
        <v>0.37235177564395672</v>
      </c>
      <c r="O318">
        <v>0.70568510897729009</v>
      </c>
      <c r="R318">
        <v>2.5</v>
      </c>
      <c r="S318" s="126">
        <f t="shared" si="51"/>
        <v>2.7779912977354155</v>
      </c>
      <c r="T318" s="126">
        <f t="shared" si="52"/>
        <v>1.5597360857172933</v>
      </c>
      <c r="U318" s="126">
        <f t="shared" si="53"/>
        <v>1.8345529762603174</v>
      </c>
      <c r="V318" s="126">
        <f t="shared" si="54"/>
        <v>2.7200081183335274</v>
      </c>
      <c r="W318" s="126">
        <f t="shared" si="55"/>
        <v>1.9035448722726049</v>
      </c>
      <c r="X318" s="126">
        <f t="shared" si="56"/>
        <v>2.2378202800101445</v>
      </c>
      <c r="Y318" s="126">
        <f t="shared" si="57"/>
        <v>3.3019246585368585</v>
      </c>
      <c r="Z318" s="126">
        <f t="shared" si="58"/>
        <v>1.3678189159044705</v>
      </c>
      <c r="AA318" s="126">
        <f t="shared" si="59"/>
        <v>1.5806127744374638</v>
      </c>
      <c r="AB318" s="126">
        <f t="shared" si="60"/>
        <v>2.402213998850923</v>
      </c>
    </row>
    <row r="319" spans="1:28">
      <c r="A319">
        <v>318</v>
      </c>
      <c r="B319" s="119">
        <v>0.2112482853223594</v>
      </c>
      <c r="F319">
        <v>0.15012955342173448</v>
      </c>
      <c r="G319">
        <v>0.48346288675506782</v>
      </c>
      <c r="H319">
        <v>0.81679622008840103</v>
      </c>
      <c r="I319">
        <v>0.26124066453284561</v>
      </c>
      <c r="J319">
        <v>0.59457399786617893</v>
      </c>
      <c r="K319">
        <v>0.92790733119951219</v>
      </c>
      <c r="L319">
        <v>7.605547934766041E-2</v>
      </c>
      <c r="M319">
        <v>0.40938881268099375</v>
      </c>
      <c r="N319">
        <v>0.74272214601432707</v>
      </c>
      <c r="O319">
        <v>0.18716659045877151</v>
      </c>
      <c r="R319">
        <v>2.5</v>
      </c>
      <c r="S319" s="126">
        <f t="shared" si="51"/>
        <v>1.5638353441480621</v>
      </c>
      <c r="T319" s="126">
        <f t="shared" si="52"/>
        <v>1.9135113507174086</v>
      </c>
      <c r="U319" s="126">
        <f t="shared" si="53"/>
        <v>2.8684365652109971</v>
      </c>
      <c r="V319" s="126">
        <f t="shared" si="54"/>
        <v>2.0759232773587453</v>
      </c>
      <c r="W319" s="126">
        <f t="shared" si="55"/>
        <v>2.4024834168825282</v>
      </c>
      <c r="X319" s="126">
        <f t="shared" si="56"/>
        <v>3.5737380164197781</v>
      </c>
      <c r="Y319" s="126">
        <f t="shared" si="57"/>
        <v>1.7766798487613324</v>
      </c>
      <c r="Z319" s="126">
        <f t="shared" si="58"/>
        <v>1.8657106532009045</v>
      </c>
      <c r="AA319" s="126">
        <f t="shared" si="59"/>
        <v>2.6370056477968467</v>
      </c>
      <c r="AB319" s="126">
        <f t="shared" si="60"/>
        <v>1.7543457478386291</v>
      </c>
    </row>
    <row r="320" spans="1:28">
      <c r="A320">
        <v>319</v>
      </c>
      <c r="B320" s="119">
        <v>0.54458161865569266</v>
      </c>
      <c r="F320">
        <v>0.52049992379210486</v>
      </c>
      <c r="G320">
        <v>0.85383325712543812</v>
      </c>
      <c r="H320">
        <v>0.29827770156988265</v>
      </c>
      <c r="I320">
        <v>0.63161103490321602</v>
      </c>
      <c r="J320">
        <v>0.96494436823654928</v>
      </c>
      <c r="K320">
        <v>1.4327084285932021E-2</v>
      </c>
      <c r="L320">
        <v>0.34766041761926536</v>
      </c>
      <c r="M320">
        <v>0.68099375095259862</v>
      </c>
      <c r="N320">
        <v>0.12543819539704312</v>
      </c>
      <c r="O320">
        <v>0.45877152873037647</v>
      </c>
      <c r="R320">
        <v>2.5</v>
      </c>
      <c r="S320" s="126">
        <f t="shared" si="51"/>
        <v>2.4606290251559151</v>
      </c>
      <c r="T320" s="126">
        <f t="shared" si="52"/>
        <v>3.2669674967815023</v>
      </c>
      <c r="U320" s="126">
        <f t="shared" si="53"/>
        <v>2.367088774442494</v>
      </c>
      <c r="V320" s="126">
        <f t="shared" si="54"/>
        <v>2.6286607105010251</v>
      </c>
      <c r="W320" s="126">
        <f t="shared" si="55"/>
        <v>3.9767627957195284</v>
      </c>
      <c r="X320" s="126">
        <f t="shared" si="56"/>
        <v>1.3556112220333496</v>
      </c>
      <c r="Y320" s="126">
        <f t="shared" si="57"/>
        <v>1.5200291809694948</v>
      </c>
      <c r="Z320" s="126">
        <f t="shared" si="58"/>
        <v>2.3137455737020192</v>
      </c>
      <c r="AA320" s="126">
        <f t="shared" si="59"/>
        <v>1.3775613832590725</v>
      </c>
      <c r="AB320" s="126">
        <f t="shared" si="60"/>
        <v>1.7686989919809695</v>
      </c>
    </row>
    <row r="321" spans="1:28">
      <c r="A321">
        <v>320</v>
      </c>
      <c r="B321" s="119">
        <v>0.87791495198902592</v>
      </c>
      <c r="F321">
        <v>0.79210486206370978</v>
      </c>
      <c r="G321">
        <v>0.23654930650815423</v>
      </c>
      <c r="H321">
        <v>0.56988263984148768</v>
      </c>
      <c r="I321">
        <v>0.90321597317482094</v>
      </c>
      <c r="J321">
        <v>5.136412132296906E-2</v>
      </c>
      <c r="K321">
        <v>0.3846974546563024</v>
      </c>
      <c r="L321">
        <v>0.71803078798963582</v>
      </c>
      <c r="M321">
        <v>0.16247523243408016</v>
      </c>
      <c r="N321">
        <v>0.4958085657674135</v>
      </c>
      <c r="O321">
        <v>0.82914189910074676</v>
      </c>
      <c r="R321">
        <v>2.5</v>
      </c>
      <c r="S321" s="126">
        <f t="shared" si="51"/>
        <v>3.0894054289066188</v>
      </c>
      <c r="T321" s="126">
        <f t="shared" si="52"/>
        <v>2.1227127041300902</v>
      </c>
      <c r="U321" s="126">
        <f t="shared" si="53"/>
        <v>2.3738298209622166</v>
      </c>
      <c r="V321" s="126">
        <f t="shared" si="54"/>
        <v>3.4271335244467025</v>
      </c>
      <c r="W321" s="126">
        <f t="shared" si="55"/>
        <v>1.5383220089356624</v>
      </c>
      <c r="X321" s="126">
        <f t="shared" si="56"/>
        <v>1.6930843746398569</v>
      </c>
      <c r="Y321" s="126">
        <f t="shared" si="57"/>
        <v>2.488582506121567</v>
      </c>
      <c r="Z321" s="126">
        <f t="shared" si="58"/>
        <v>1.6006088936439995</v>
      </c>
      <c r="AA321" s="126">
        <f t="shared" si="59"/>
        <v>1.9575276585523937</v>
      </c>
      <c r="AB321" s="126">
        <f t="shared" si="60"/>
        <v>2.9297839667575287</v>
      </c>
    </row>
    <row r="322" spans="1:28">
      <c r="A322">
        <v>321</v>
      </c>
      <c r="B322" s="119">
        <v>0.3223593964334705</v>
      </c>
      <c r="F322">
        <v>0.27358634354519129</v>
      </c>
      <c r="G322">
        <v>0.60691967687852466</v>
      </c>
      <c r="H322">
        <v>0.94025301021185792</v>
      </c>
      <c r="I322">
        <v>8.8401158360006088E-2</v>
      </c>
      <c r="J322">
        <v>0.42173449169333943</v>
      </c>
      <c r="K322">
        <v>0.7550678250266728</v>
      </c>
      <c r="L322">
        <v>0.19951226947111719</v>
      </c>
      <c r="M322">
        <v>0.53284560280445048</v>
      </c>
      <c r="N322">
        <v>0.86617893613778374</v>
      </c>
      <c r="O322">
        <v>0.31062338058222833</v>
      </c>
      <c r="R322">
        <v>2.5</v>
      </c>
      <c r="S322" s="126">
        <f t="shared" si="51"/>
        <v>1.9216960429369212</v>
      </c>
      <c r="T322" s="126">
        <f t="shared" si="52"/>
        <v>2.3513397467755626</v>
      </c>
      <c r="U322" s="126">
        <f t="shared" si="53"/>
        <v>3.6276427847113641</v>
      </c>
      <c r="V322" s="126">
        <f t="shared" si="54"/>
        <v>1.8709510481354896</v>
      </c>
      <c r="W322" s="126">
        <f t="shared" si="55"/>
        <v>1.9392039075257372</v>
      </c>
      <c r="X322" s="126">
        <f t="shared" si="56"/>
        <v>2.7059160079975251</v>
      </c>
      <c r="Y322" s="126">
        <f t="shared" si="57"/>
        <v>1.8261136667952302</v>
      </c>
      <c r="Z322" s="126">
        <f t="shared" si="58"/>
        <v>2.1475162696919821</v>
      </c>
      <c r="AA322" s="126">
        <f t="shared" si="59"/>
        <v>3.1553672003230986</v>
      </c>
      <c r="AB322" s="126">
        <f t="shared" si="60"/>
        <v>2.3400943996339159</v>
      </c>
    </row>
    <row r="323" spans="1:28">
      <c r="A323">
        <v>322</v>
      </c>
      <c r="B323" s="119">
        <v>0.65569272976680382</v>
      </c>
      <c r="F323">
        <v>0.64395671391556164</v>
      </c>
      <c r="G323">
        <v>0.9772900472488949</v>
      </c>
      <c r="H323">
        <v>2.6672763298277696E-2</v>
      </c>
      <c r="I323">
        <v>0.36000609663161104</v>
      </c>
      <c r="J323">
        <v>0.69333942996494435</v>
      </c>
      <c r="K323">
        <v>0.1377838744093888</v>
      </c>
      <c r="L323">
        <v>0.47111720774272214</v>
      </c>
      <c r="M323">
        <v>0.8044505410760554</v>
      </c>
      <c r="N323">
        <v>0.24889498552049991</v>
      </c>
      <c r="O323">
        <v>0.5822283188538333</v>
      </c>
      <c r="R323">
        <v>2.5</v>
      </c>
      <c r="S323" s="126">
        <f t="shared" si="51"/>
        <v>2.7226241783536662</v>
      </c>
      <c r="T323" s="126">
        <f t="shared" si="52"/>
        <v>4.1803326120465094</v>
      </c>
      <c r="U323" s="126">
        <f t="shared" si="53"/>
        <v>1.6691555843378065</v>
      </c>
      <c r="V323" s="126">
        <f t="shared" si="54"/>
        <v>1.7050016649380659</v>
      </c>
      <c r="W323" s="126">
        <f t="shared" si="55"/>
        <v>2.4354644317860812</v>
      </c>
      <c r="X323" s="126">
        <f t="shared" si="56"/>
        <v>1.4864875747424993</v>
      </c>
      <c r="Y323" s="126">
        <f t="shared" si="57"/>
        <v>1.8490696135990174</v>
      </c>
      <c r="Z323" s="126">
        <f t="shared" si="58"/>
        <v>2.7984398954262231</v>
      </c>
      <c r="AA323" s="126">
        <f t="shared" si="59"/>
        <v>2.0090327079437706</v>
      </c>
      <c r="AB323" s="126">
        <f t="shared" si="60"/>
        <v>2.3426935853246369</v>
      </c>
    </row>
    <row r="324" spans="1:28">
      <c r="A324">
        <v>323</v>
      </c>
      <c r="B324" s="119">
        <v>0.98902606310013708</v>
      </c>
      <c r="F324">
        <v>0.91556165218716656</v>
      </c>
      <c r="G324">
        <v>6.3709800335314731E-2</v>
      </c>
      <c r="H324">
        <v>0.39704313366864807</v>
      </c>
      <c r="I324">
        <v>0.73037646700198144</v>
      </c>
      <c r="J324">
        <v>0.17482091144642584</v>
      </c>
      <c r="K324">
        <v>0.50815424477975923</v>
      </c>
      <c r="L324">
        <v>0.84148757811309238</v>
      </c>
      <c r="M324">
        <v>0.28593202255753697</v>
      </c>
      <c r="N324">
        <v>0.61926535589087028</v>
      </c>
      <c r="O324">
        <v>0.95259868922420354</v>
      </c>
      <c r="R324">
        <v>2.5</v>
      </c>
      <c r="S324" s="126">
        <f t="shared" si="51"/>
        <v>3.5530055665057234</v>
      </c>
      <c r="T324" s="126">
        <f t="shared" si="52"/>
        <v>1.6901785334096178</v>
      </c>
      <c r="U324" s="126">
        <f t="shared" si="53"/>
        <v>1.7959316969832755</v>
      </c>
      <c r="V324" s="126">
        <f t="shared" si="54"/>
        <v>2.5707502962187947</v>
      </c>
      <c r="W324" s="126">
        <f t="shared" si="55"/>
        <v>1.6823640782587508</v>
      </c>
      <c r="X324" s="126">
        <f t="shared" si="56"/>
        <v>2.0241434317698319</v>
      </c>
      <c r="Y324" s="126">
        <f t="shared" si="57"/>
        <v>3.0043489408678061</v>
      </c>
      <c r="Z324" s="126">
        <f t="shared" si="58"/>
        <v>2.2054468844134263</v>
      </c>
      <c r="AA324" s="126">
        <f t="shared" si="59"/>
        <v>2.5205546656186111</v>
      </c>
      <c r="AB324" s="126">
        <f t="shared" si="60"/>
        <v>3.8064611285892469</v>
      </c>
    </row>
    <row r="325" spans="1:28">
      <c r="A325">
        <v>324</v>
      </c>
      <c r="B325" s="119">
        <v>5.4869684499314134E-3</v>
      </c>
      <c r="F325">
        <v>0.10074683737235177</v>
      </c>
      <c r="G325">
        <v>0.43408017070568511</v>
      </c>
      <c r="H325">
        <v>0.76741350403901842</v>
      </c>
      <c r="I325">
        <v>0.21185794848346287</v>
      </c>
      <c r="J325">
        <v>0.54519128181679621</v>
      </c>
      <c r="K325">
        <v>0.87852461515012947</v>
      </c>
      <c r="L325">
        <v>0.322969059594574</v>
      </c>
      <c r="M325">
        <v>0.65630239292790737</v>
      </c>
      <c r="N325">
        <v>0.98963572626124063</v>
      </c>
      <c r="O325">
        <v>6.096631611034904E-3</v>
      </c>
      <c r="R325">
        <v>2.5</v>
      </c>
      <c r="S325" s="126">
        <f t="shared" si="51"/>
        <v>1.364704139048182</v>
      </c>
      <c r="T325" s="126">
        <f t="shared" si="52"/>
        <v>1.7107144945568034</v>
      </c>
      <c r="U325" s="126">
        <f t="shared" si="53"/>
        <v>2.6239296531042013</v>
      </c>
      <c r="V325" s="126">
        <f t="shared" si="54"/>
        <v>1.8206817436139149</v>
      </c>
      <c r="W325" s="126">
        <f t="shared" si="55"/>
        <v>2.1704342870604005</v>
      </c>
      <c r="X325" s="126">
        <f t="shared" si="56"/>
        <v>3.2156597162424649</v>
      </c>
      <c r="Y325" s="126">
        <f t="shared" si="57"/>
        <v>2.3989947506858789</v>
      </c>
      <c r="Z325" s="126">
        <f t="shared" si="58"/>
        <v>2.6993555072510942</v>
      </c>
      <c r="AA325" s="126">
        <f t="shared" si="59"/>
        <v>4.426097294053168</v>
      </c>
      <c r="AB325" s="126">
        <f t="shared" si="60"/>
        <v>1.3189217225371879</v>
      </c>
    </row>
    <row r="326" spans="1:28">
      <c r="A326">
        <v>325</v>
      </c>
      <c r="B326" s="119">
        <v>0.33882030178326472</v>
      </c>
      <c r="F326">
        <v>0.33942996494436822</v>
      </c>
      <c r="G326">
        <v>0.67276329827770154</v>
      </c>
      <c r="H326">
        <v>0.117207742722146</v>
      </c>
      <c r="I326">
        <v>0.45054107605547933</v>
      </c>
      <c r="J326">
        <v>0.78387440938881259</v>
      </c>
      <c r="K326">
        <v>0.22831885383325712</v>
      </c>
      <c r="L326">
        <v>0.56165218716659049</v>
      </c>
      <c r="M326">
        <v>0.89498552049992375</v>
      </c>
      <c r="N326">
        <v>4.3133668648071943E-2</v>
      </c>
      <c r="O326">
        <v>0.37646700198140526</v>
      </c>
      <c r="R326">
        <v>2.5</v>
      </c>
      <c r="S326" s="126">
        <f t="shared" si="51"/>
        <v>2.0767442734481865</v>
      </c>
      <c r="T326" s="126">
        <f t="shared" si="52"/>
        <v>2.574643598389752</v>
      </c>
      <c r="U326" s="126">
        <f t="shared" si="53"/>
        <v>1.4750054259620915</v>
      </c>
      <c r="V326" s="126">
        <f t="shared" si="54"/>
        <v>1.8005471157978843</v>
      </c>
      <c r="W326" s="126">
        <f t="shared" si="55"/>
        <v>2.7144351695381501</v>
      </c>
      <c r="X326" s="126">
        <f t="shared" si="56"/>
        <v>1.912025784779795</v>
      </c>
      <c r="Y326" s="126">
        <f t="shared" si="57"/>
        <v>2.2506871029296778</v>
      </c>
      <c r="Z326" s="126">
        <f t="shared" si="58"/>
        <v>3.3267978763885147</v>
      </c>
      <c r="AA326" s="126">
        <f t="shared" si="59"/>
        <v>1.4188935224950865</v>
      </c>
      <c r="AB326" s="126">
        <f t="shared" si="60"/>
        <v>1.6152385438870831</v>
      </c>
    </row>
    <row r="327" spans="1:28">
      <c r="A327">
        <v>326</v>
      </c>
      <c r="B327" s="119">
        <v>0.67215363511659798</v>
      </c>
      <c r="F327">
        <v>0.70980033531473863</v>
      </c>
      <c r="G327">
        <v>0.15424477975918305</v>
      </c>
      <c r="H327">
        <v>0.48757811309251636</v>
      </c>
      <c r="I327">
        <v>0.82091144642584957</v>
      </c>
      <c r="J327">
        <v>0.26535589087029415</v>
      </c>
      <c r="K327">
        <v>0.59868922420362747</v>
      </c>
      <c r="L327">
        <v>0.93202255753696073</v>
      </c>
      <c r="M327">
        <v>8.0170705685108964E-2</v>
      </c>
      <c r="N327">
        <v>0.41350403901844229</v>
      </c>
      <c r="O327">
        <v>0.74683737235177561</v>
      </c>
      <c r="R327">
        <v>2.5</v>
      </c>
      <c r="S327" s="126">
        <f t="shared" si="51"/>
        <v>2.8741781315271089</v>
      </c>
      <c r="T327" s="126">
        <f t="shared" si="52"/>
        <v>1.7663159264667183</v>
      </c>
      <c r="U327" s="126">
        <f t="shared" si="53"/>
        <v>2.023791832136804</v>
      </c>
      <c r="V327" s="126">
        <f t="shared" si="54"/>
        <v>2.9367478520174828</v>
      </c>
      <c r="W327" s="126">
        <f t="shared" si="55"/>
        <v>2.1206534267983588</v>
      </c>
      <c r="X327" s="126">
        <f t="shared" si="56"/>
        <v>2.4337313734228672</v>
      </c>
      <c r="Y327" s="126">
        <f t="shared" si="57"/>
        <v>3.6147183942862564</v>
      </c>
      <c r="Z327" s="126">
        <f t="shared" si="58"/>
        <v>1.8205281939463995</v>
      </c>
      <c r="AA327" s="126">
        <f t="shared" si="59"/>
        <v>1.8964727817437554</v>
      </c>
      <c r="AB327" s="126">
        <f t="shared" si="60"/>
        <v>2.6630323924219352</v>
      </c>
    </row>
    <row r="328" spans="1:28">
      <c r="A328">
        <v>327</v>
      </c>
      <c r="B328" s="119">
        <v>0.11659807956104251</v>
      </c>
      <c r="F328">
        <v>0.19128181679622008</v>
      </c>
      <c r="G328">
        <v>0.5246151501295534</v>
      </c>
      <c r="H328">
        <v>0.85794848346288666</v>
      </c>
      <c r="I328">
        <v>0.30239292790733119</v>
      </c>
      <c r="J328">
        <v>0.63572626124066456</v>
      </c>
      <c r="K328">
        <v>0.96905959457399782</v>
      </c>
      <c r="L328">
        <v>1.844231062338058E-2</v>
      </c>
      <c r="M328">
        <v>0.3517756439567139</v>
      </c>
      <c r="N328">
        <v>0.68510897729004716</v>
      </c>
      <c r="O328">
        <v>0.12955342173449169</v>
      </c>
      <c r="R328">
        <v>2.5</v>
      </c>
      <c r="S328" s="126">
        <f t="shared" si="51"/>
        <v>1.6980265469186637</v>
      </c>
      <c r="T328" s="126">
        <f t="shared" si="52"/>
        <v>2.0660789266859649</v>
      </c>
      <c r="U328" s="126">
        <f t="shared" si="53"/>
        <v>3.083621313624044</v>
      </c>
      <c r="V328" s="126">
        <f t="shared" si="54"/>
        <v>2.2846963231421284</v>
      </c>
      <c r="W328" s="126">
        <f t="shared" si="55"/>
        <v>2.5962695449551774</v>
      </c>
      <c r="X328" s="126">
        <f t="shared" si="56"/>
        <v>4.0066368457710029</v>
      </c>
      <c r="Y328" s="126">
        <f t="shared" si="57"/>
        <v>1.4540734603317156</v>
      </c>
      <c r="Z328" s="126">
        <f t="shared" si="58"/>
        <v>1.578682790582818</v>
      </c>
      <c r="AA328" s="126">
        <f t="shared" si="59"/>
        <v>2.352754761248939</v>
      </c>
      <c r="AB328" s="126">
        <f t="shared" si="60"/>
        <v>1.4134313267600052</v>
      </c>
    </row>
    <row r="329" spans="1:28">
      <c r="A329">
        <v>328</v>
      </c>
      <c r="B329" s="119">
        <v>0.44993141289437583</v>
      </c>
      <c r="F329">
        <v>0.46288675506782501</v>
      </c>
      <c r="G329">
        <v>0.79622008840115832</v>
      </c>
      <c r="H329">
        <v>0.2406645328456028</v>
      </c>
      <c r="I329">
        <v>0.57399786617893622</v>
      </c>
      <c r="J329">
        <v>0.90733119951226948</v>
      </c>
      <c r="K329">
        <v>5.5479347660417622E-2</v>
      </c>
      <c r="L329">
        <v>0.38881268099375094</v>
      </c>
      <c r="M329">
        <v>0.72214601432708436</v>
      </c>
      <c r="N329">
        <v>0.16659045877152873</v>
      </c>
      <c r="O329">
        <v>0.49992379210486204</v>
      </c>
      <c r="R329">
        <v>2.5</v>
      </c>
      <c r="S329" s="126">
        <f t="shared" si="51"/>
        <v>2.3413860181684352</v>
      </c>
      <c r="T329" s="126">
        <f t="shared" si="52"/>
        <v>3.0216036555377013</v>
      </c>
      <c r="U329" s="126">
        <f t="shared" si="53"/>
        <v>2.0995888749545872</v>
      </c>
      <c r="V329" s="126">
        <f t="shared" si="54"/>
        <v>2.3708569310785257</v>
      </c>
      <c r="W329" s="126">
        <f t="shared" si="55"/>
        <v>3.4457663470772246</v>
      </c>
      <c r="X329" s="126">
        <f t="shared" si="56"/>
        <v>1.5789218465545416</v>
      </c>
      <c r="Y329" s="126">
        <f t="shared" si="57"/>
        <v>1.7223577190636803</v>
      </c>
      <c r="Z329" s="126">
        <f t="shared" si="58"/>
        <v>2.513380133062538</v>
      </c>
      <c r="AA329" s="126">
        <f t="shared" si="59"/>
        <v>1.6267713749422339</v>
      </c>
      <c r="AB329" s="126">
        <f t="shared" si="60"/>
        <v>1.9791851757366015</v>
      </c>
    </row>
    <row r="330" spans="1:28">
      <c r="A330">
        <v>329</v>
      </c>
      <c r="B330" s="119">
        <v>0.78326474622770903</v>
      </c>
      <c r="F330">
        <v>0.8332571254381953</v>
      </c>
      <c r="G330">
        <v>0.27770156988263983</v>
      </c>
      <c r="H330">
        <v>0.6110349032159732</v>
      </c>
      <c r="I330">
        <v>0.94436823654930646</v>
      </c>
      <c r="J330">
        <v>9.2516384697454643E-2</v>
      </c>
      <c r="K330">
        <v>0.42584971803078797</v>
      </c>
      <c r="L330">
        <v>0.75918305136412134</v>
      </c>
      <c r="M330">
        <v>0.20362749580856576</v>
      </c>
      <c r="N330">
        <v>0.53696082914189902</v>
      </c>
      <c r="O330">
        <v>0.87029416247523228</v>
      </c>
      <c r="R330">
        <v>2.5</v>
      </c>
      <c r="S330" s="126">
        <f t="shared" si="51"/>
        <v>3.2159052097402903</v>
      </c>
      <c r="T330" s="126">
        <f t="shared" si="52"/>
        <v>2.2916707926317486</v>
      </c>
      <c r="U330" s="126">
        <f t="shared" si="53"/>
        <v>2.5461291047545402</v>
      </c>
      <c r="V330" s="126">
        <f t="shared" si="54"/>
        <v>3.7549385377814049</v>
      </c>
      <c r="W330" s="126">
        <f t="shared" si="55"/>
        <v>1.9557553282590638</v>
      </c>
      <c r="X330" s="126">
        <f t="shared" si="56"/>
        <v>1.9904932873822452</v>
      </c>
      <c r="Y330" s="126">
        <f t="shared" si="57"/>
        <v>2.7425422215446664</v>
      </c>
      <c r="Z330" s="126">
        <f t="shared" si="58"/>
        <v>1.856589429523587</v>
      </c>
      <c r="AA330" s="126">
        <f t="shared" si="59"/>
        <v>2.1713742296558367</v>
      </c>
      <c r="AB330" s="126">
        <f t="shared" si="60"/>
        <v>3.1832553500667657</v>
      </c>
    </row>
    <row r="331" spans="1:28">
      <c r="A331">
        <v>330</v>
      </c>
      <c r="B331" s="119">
        <v>0.22770919067215364</v>
      </c>
      <c r="F331">
        <v>0.31473860691967687</v>
      </c>
      <c r="G331">
        <v>0.64807194025301018</v>
      </c>
      <c r="H331">
        <v>0.98140527358634344</v>
      </c>
      <c r="I331">
        <v>3.0787989635726258E-2</v>
      </c>
      <c r="J331">
        <v>0.36412132296905958</v>
      </c>
      <c r="K331">
        <v>0.69745465630239289</v>
      </c>
      <c r="L331">
        <v>0.14189910074683737</v>
      </c>
      <c r="M331">
        <v>0.47523243408017068</v>
      </c>
      <c r="N331">
        <v>0.80856576741350394</v>
      </c>
      <c r="O331">
        <v>0.25301021185794847</v>
      </c>
      <c r="R331">
        <v>2.5</v>
      </c>
      <c r="S331" s="126">
        <f t="shared" si="51"/>
        <v>2.0202921171906656</v>
      </c>
      <c r="T331" s="126">
        <f t="shared" si="52"/>
        <v>2.4906494794017027</v>
      </c>
      <c r="U331" s="126">
        <f t="shared" si="53"/>
        <v>4.1321456083142571</v>
      </c>
      <c r="V331" s="126">
        <f t="shared" si="54"/>
        <v>1.6967148772179708</v>
      </c>
      <c r="W331" s="126">
        <f t="shared" si="55"/>
        <v>1.727907905342313</v>
      </c>
      <c r="X331" s="126">
        <f t="shared" si="56"/>
        <v>2.4566729124316362</v>
      </c>
      <c r="Y331" s="126">
        <f t="shared" si="57"/>
        <v>1.5124091771288175</v>
      </c>
      <c r="Z331" s="126">
        <f t="shared" si="58"/>
        <v>1.870625228706555</v>
      </c>
      <c r="AA331" s="126">
        <f t="shared" si="59"/>
        <v>2.8216433341271689</v>
      </c>
      <c r="AB331" s="126">
        <f t="shared" si="60"/>
        <v>2.0313546033319194</v>
      </c>
    </row>
    <row r="332" spans="1:28">
      <c r="A332">
        <v>331</v>
      </c>
      <c r="B332" s="119">
        <v>0.56104252400548693</v>
      </c>
      <c r="F332">
        <v>0.58634354519128185</v>
      </c>
      <c r="G332">
        <v>0.9196768785246151</v>
      </c>
      <c r="H332">
        <v>6.7825026672763286E-2</v>
      </c>
      <c r="I332">
        <v>0.40115836000609661</v>
      </c>
      <c r="J332">
        <v>0.73449169333942999</v>
      </c>
      <c r="K332">
        <v>0.1789361377838744</v>
      </c>
      <c r="L332">
        <v>0.51226947111720778</v>
      </c>
      <c r="M332">
        <v>0.84560280445054092</v>
      </c>
      <c r="N332">
        <v>0.29004724889498551</v>
      </c>
      <c r="O332">
        <v>0.62338058222831882</v>
      </c>
      <c r="R332">
        <v>2.5</v>
      </c>
      <c r="S332" s="126">
        <f t="shared" si="51"/>
        <v>2.5981568522166332</v>
      </c>
      <c r="T332" s="126">
        <f t="shared" si="52"/>
        <v>3.6246741497540405</v>
      </c>
      <c r="U332" s="126">
        <f t="shared" si="53"/>
        <v>1.752732590752589</v>
      </c>
      <c r="V332" s="126">
        <f t="shared" si="54"/>
        <v>1.8361621891386608</v>
      </c>
      <c r="W332" s="126">
        <f t="shared" si="55"/>
        <v>2.6012825531754684</v>
      </c>
      <c r="X332" s="126">
        <f t="shared" si="56"/>
        <v>1.7107886668561649</v>
      </c>
      <c r="Y332" s="126">
        <f t="shared" si="57"/>
        <v>2.0469405508783969</v>
      </c>
      <c r="Z332" s="126">
        <f t="shared" si="58"/>
        <v>3.0299641043054848</v>
      </c>
      <c r="AA332" s="126">
        <f t="shared" si="59"/>
        <v>2.2282695265328458</v>
      </c>
      <c r="AB332" s="126">
        <f t="shared" si="60"/>
        <v>2.5409493865864983</v>
      </c>
    </row>
    <row r="333" spans="1:28">
      <c r="A333">
        <v>332</v>
      </c>
      <c r="B333" s="119">
        <v>0.89437585733882019</v>
      </c>
      <c r="F333">
        <v>0.95671391556165208</v>
      </c>
      <c r="G333">
        <v>0.10486206370980032</v>
      </c>
      <c r="H333">
        <v>0.43819539704313365</v>
      </c>
      <c r="I333">
        <v>0.77152873037646696</v>
      </c>
      <c r="J333">
        <v>0.21597317482091144</v>
      </c>
      <c r="K333">
        <v>0.54930650815424475</v>
      </c>
      <c r="L333">
        <v>0.88263984148757801</v>
      </c>
      <c r="M333">
        <v>0.32708428593202254</v>
      </c>
      <c r="N333">
        <v>0.66041761926535592</v>
      </c>
      <c r="O333">
        <v>0.99375095259868917</v>
      </c>
      <c r="R333">
        <v>2.5</v>
      </c>
      <c r="S333" s="126">
        <f t="shared" si="51"/>
        <v>3.8317395770590679</v>
      </c>
      <c r="T333" s="126">
        <f t="shared" si="52"/>
        <v>2.0529930061800847</v>
      </c>
      <c r="U333" s="126">
        <f t="shared" si="53"/>
        <v>2.0652672811874679</v>
      </c>
      <c r="V333" s="126">
        <f t="shared" si="54"/>
        <v>2.8132919106261247</v>
      </c>
      <c r="W333" s="126">
        <f t="shared" si="55"/>
        <v>1.9275061762371926</v>
      </c>
      <c r="X333" s="126">
        <f t="shared" si="56"/>
        <v>2.2326925448957216</v>
      </c>
      <c r="Y333" s="126">
        <f t="shared" si="57"/>
        <v>3.2639779157262288</v>
      </c>
      <c r="Z333" s="126">
        <f t="shared" si="58"/>
        <v>2.4327099120406781</v>
      </c>
      <c r="AA333" s="126">
        <f t="shared" si="59"/>
        <v>2.7255473249521458</v>
      </c>
      <c r="AB333" s="126">
        <f t="shared" si="60"/>
        <v>4.5917395723957926</v>
      </c>
    </row>
    <row r="334" spans="1:28">
      <c r="A334">
        <v>333</v>
      </c>
      <c r="B334" s="119">
        <v>4.2524005486968448E-2</v>
      </c>
      <c r="F334">
        <v>1.0211857948483463E-2</v>
      </c>
      <c r="G334">
        <v>0.34354519128181682</v>
      </c>
      <c r="H334">
        <v>0.67687852461515008</v>
      </c>
      <c r="I334">
        <v>0.12132296905959457</v>
      </c>
      <c r="J334">
        <v>0.45465630239292792</v>
      </c>
      <c r="K334">
        <v>0.78798963572626113</v>
      </c>
      <c r="L334">
        <v>0.23243408017070566</v>
      </c>
      <c r="M334">
        <v>0.56576741350403903</v>
      </c>
      <c r="N334">
        <v>0.89910074683737229</v>
      </c>
      <c r="O334">
        <v>4.7248894985520505E-2</v>
      </c>
      <c r="R334">
        <v>2.5</v>
      </c>
      <c r="S334" s="126">
        <f t="shared" si="51"/>
        <v>0.5059522344745262</v>
      </c>
      <c r="T334" s="126">
        <f t="shared" si="52"/>
        <v>1.0837840115983965</v>
      </c>
      <c r="U334" s="126">
        <f t="shared" si="53"/>
        <v>2.0850103944261242</v>
      </c>
      <c r="V334" s="126">
        <f t="shared" si="54"/>
        <v>1.2459583326634849</v>
      </c>
      <c r="W334" s="126">
        <f t="shared" si="55"/>
        <v>1.6939967367267643</v>
      </c>
      <c r="X334" s="126">
        <f t="shared" si="56"/>
        <v>2.6725290811616982</v>
      </c>
      <c r="Y334" s="126">
        <f t="shared" si="57"/>
        <v>1.902131940180851</v>
      </c>
      <c r="Z334" s="126">
        <f t="shared" si="58"/>
        <v>2.2543327230415722</v>
      </c>
      <c r="AA334" s="126">
        <f t="shared" si="59"/>
        <v>3.3475663215617173</v>
      </c>
      <c r="AB334" s="126">
        <f t="shared" si="60"/>
        <v>1.4650376835724805</v>
      </c>
    </row>
    <row r="335" spans="1:28">
      <c r="A335">
        <v>334</v>
      </c>
      <c r="B335" s="119">
        <v>0.37585733882030176</v>
      </c>
      <c r="F335">
        <v>0.38058222831885385</v>
      </c>
      <c r="G335">
        <v>0.71391556165218717</v>
      </c>
      <c r="H335">
        <v>0.15836000609663159</v>
      </c>
      <c r="I335">
        <v>0.49169333942996496</v>
      </c>
      <c r="J335">
        <v>0.82502667276329811</v>
      </c>
      <c r="K335">
        <v>0.26947111720774275</v>
      </c>
      <c r="L335">
        <v>0.60280445054107601</v>
      </c>
      <c r="M335">
        <v>0.93613778387440927</v>
      </c>
      <c r="N335">
        <v>8.4285932022557533E-2</v>
      </c>
      <c r="O335">
        <v>0.41761926535589089</v>
      </c>
      <c r="R335">
        <v>2.5</v>
      </c>
      <c r="S335" s="126">
        <f t="shared" si="51"/>
        <v>2.1675278262708275</v>
      </c>
      <c r="T335" s="126">
        <f t="shared" si="52"/>
        <v>2.7170235939856306</v>
      </c>
      <c r="U335" s="126">
        <f t="shared" si="53"/>
        <v>1.7014964791387308</v>
      </c>
      <c r="V335" s="126">
        <f t="shared" si="54"/>
        <v>1.9997245826823973</v>
      </c>
      <c r="W335" s="126">
        <f t="shared" si="55"/>
        <v>2.937723611134603</v>
      </c>
      <c r="X335" s="126">
        <f t="shared" si="56"/>
        <v>2.1314592186486987</v>
      </c>
      <c r="Y335" s="126">
        <f t="shared" si="57"/>
        <v>2.4479523008657011</v>
      </c>
      <c r="Z335" s="126">
        <f t="shared" si="58"/>
        <v>3.6483516687886626</v>
      </c>
      <c r="AA335" s="126">
        <f t="shared" si="59"/>
        <v>1.8597984097230222</v>
      </c>
      <c r="AB335" s="126">
        <f t="shared" si="60"/>
        <v>1.9249138228607328</v>
      </c>
    </row>
    <row r="336" spans="1:28">
      <c r="A336">
        <v>335</v>
      </c>
      <c r="B336" s="119">
        <v>0.70919067215363507</v>
      </c>
      <c r="F336">
        <v>0.75095259868922415</v>
      </c>
      <c r="G336">
        <v>0.19539704313366862</v>
      </c>
      <c r="H336">
        <v>0.52873037646700194</v>
      </c>
      <c r="I336">
        <v>0.8620637098003352</v>
      </c>
      <c r="J336">
        <v>0.30650815424477978</v>
      </c>
      <c r="K336">
        <v>0.6398414875781131</v>
      </c>
      <c r="L336">
        <v>0.97317482091144636</v>
      </c>
      <c r="M336">
        <v>2.2557536960829138E-2</v>
      </c>
      <c r="N336">
        <v>0.3558908702941625</v>
      </c>
      <c r="O336">
        <v>0.6892242036274957</v>
      </c>
      <c r="R336">
        <v>2.5</v>
      </c>
      <c r="S336" s="126">
        <f t="shared" si="51"/>
        <v>2.9770215952402501</v>
      </c>
      <c r="T336" s="126">
        <f t="shared" si="52"/>
        <v>1.9501531361683107</v>
      </c>
      <c r="U336" s="126">
        <f t="shared" si="53"/>
        <v>2.2013249490901883</v>
      </c>
      <c r="V336" s="126">
        <f t="shared" si="54"/>
        <v>3.166846887900348</v>
      </c>
      <c r="W336" s="126">
        <f t="shared" si="55"/>
        <v>2.3362234604645895</v>
      </c>
      <c r="X336" s="126">
        <f t="shared" si="56"/>
        <v>2.6312207253970699</v>
      </c>
      <c r="Y336" s="126">
        <f t="shared" si="57"/>
        <v>4.075753371418938</v>
      </c>
      <c r="Z336" s="126">
        <f t="shared" si="58"/>
        <v>1.5576483303377362</v>
      </c>
      <c r="AA336" s="126">
        <f t="shared" si="59"/>
        <v>1.6398674052259592</v>
      </c>
      <c r="AB336" s="126">
        <f t="shared" si="60"/>
        <v>2.3930894078258467</v>
      </c>
    </row>
    <row r="337" spans="1:28">
      <c r="A337">
        <v>336</v>
      </c>
      <c r="B337" s="119">
        <v>0.15363511659807957</v>
      </c>
      <c r="F337">
        <v>0.13366864807194023</v>
      </c>
      <c r="G337">
        <v>0.4670019814052736</v>
      </c>
      <c r="H337">
        <v>0.80033531473860686</v>
      </c>
      <c r="I337">
        <v>0.24477975918305134</v>
      </c>
      <c r="J337">
        <v>0.57811309251638476</v>
      </c>
      <c r="K337">
        <v>0.91144642584971802</v>
      </c>
      <c r="L337">
        <v>5.9594573997866183E-2</v>
      </c>
      <c r="M337">
        <v>0.39292790733119953</v>
      </c>
      <c r="N337">
        <v>0.7262612406645329</v>
      </c>
      <c r="O337">
        <v>0.17070568510897727</v>
      </c>
      <c r="R337">
        <v>2.5</v>
      </c>
      <c r="S337" s="126">
        <f t="shared" si="51"/>
        <v>1.5033466268031732</v>
      </c>
      <c r="T337" s="126">
        <f t="shared" si="52"/>
        <v>1.8490091620060896</v>
      </c>
      <c r="U337" s="126">
        <f t="shared" si="53"/>
        <v>2.7861970125127025</v>
      </c>
      <c r="V337" s="126">
        <f t="shared" si="54"/>
        <v>1.9921253538218042</v>
      </c>
      <c r="W337" s="126">
        <f t="shared" si="55"/>
        <v>2.3255118664412184</v>
      </c>
      <c r="X337" s="126">
        <f t="shared" si="56"/>
        <v>3.4437753317609201</v>
      </c>
      <c r="Y337" s="126">
        <f t="shared" si="57"/>
        <v>1.6073770576500979</v>
      </c>
      <c r="Z337" s="126">
        <f t="shared" si="58"/>
        <v>1.7455003285807851</v>
      </c>
      <c r="AA337" s="126">
        <f t="shared" si="59"/>
        <v>2.5351696393241996</v>
      </c>
      <c r="AB337" s="126">
        <f t="shared" si="60"/>
        <v>1.6512052506942685</v>
      </c>
    </row>
    <row r="338" spans="1:28">
      <c r="A338">
        <v>337</v>
      </c>
      <c r="B338" s="119">
        <v>0.48696844993141286</v>
      </c>
      <c r="F338">
        <v>0.50403901844231058</v>
      </c>
      <c r="G338">
        <v>0.83737235177564384</v>
      </c>
      <c r="H338">
        <v>0.28181679622008843</v>
      </c>
      <c r="I338">
        <v>0.61515012955342174</v>
      </c>
      <c r="J338">
        <v>0.948483462886755</v>
      </c>
      <c r="K338">
        <v>9.6631611034903211E-2</v>
      </c>
      <c r="L338">
        <v>0.42996494436823657</v>
      </c>
      <c r="M338">
        <v>0.76329827770156988</v>
      </c>
      <c r="N338">
        <v>0.2077427221460143</v>
      </c>
      <c r="O338">
        <v>0.54107605547934756</v>
      </c>
      <c r="R338">
        <v>2.5</v>
      </c>
      <c r="S338" s="126">
        <f t="shared" si="51"/>
        <v>2.426578120008219</v>
      </c>
      <c r="T338" s="126">
        <f t="shared" si="52"/>
        <v>3.1926943489074944</v>
      </c>
      <c r="U338" s="126">
        <f t="shared" si="53"/>
        <v>2.2900925228487701</v>
      </c>
      <c r="V338" s="126">
        <f t="shared" si="54"/>
        <v>2.5542027169521813</v>
      </c>
      <c r="W338" s="126">
        <f t="shared" si="55"/>
        <v>3.7901608183918745</v>
      </c>
      <c r="X338" s="126">
        <f t="shared" si="56"/>
        <v>1.9936089548016438</v>
      </c>
      <c r="Y338" s="126">
        <f t="shared" si="57"/>
        <v>2.0181682765264197</v>
      </c>
      <c r="Z338" s="126">
        <f t="shared" si="58"/>
        <v>2.7674011863720223</v>
      </c>
      <c r="AA338" s="126">
        <f t="shared" si="59"/>
        <v>1.8810063992396051</v>
      </c>
      <c r="AB338" s="126">
        <f t="shared" si="60"/>
        <v>2.1921952539015681</v>
      </c>
    </row>
    <row r="339" spans="1:28">
      <c r="A339">
        <v>338</v>
      </c>
      <c r="B339" s="119">
        <v>0.82030178326474601</v>
      </c>
      <c r="F339">
        <v>0.87440938881268082</v>
      </c>
      <c r="G339">
        <v>0.31885383325712546</v>
      </c>
      <c r="H339">
        <v>0.65218716659045872</v>
      </c>
      <c r="I339">
        <v>0.98552049992379198</v>
      </c>
      <c r="J339">
        <v>3.4903215973174827E-2</v>
      </c>
      <c r="K339">
        <v>0.36823654930650818</v>
      </c>
      <c r="L339">
        <v>0.70156988263984144</v>
      </c>
      <c r="M339">
        <v>0.14601432708428591</v>
      </c>
      <c r="N339">
        <v>0.47934766041761928</v>
      </c>
      <c r="O339">
        <v>0.81268099375095249</v>
      </c>
      <c r="R339">
        <v>2.5</v>
      </c>
      <c r="S339" s="126">
        <f t="shared" si="51"/>
        <v>3.36467308130735</v>
      </c>
      <c r="T339" s="126">
        <f t="shared" si="52"/>
        <v>2.4644086347501841</v>
      </c>
      <c r="U339" s="126">
        <f t="shared" si="53"/>
        <v>2.7230274740301579</v>
      </c>
      <c r="V339" s="126">
        <f t="shared" si="54"/>
        <v>4.3317207065734564</v>
      </c>
      <c r="W339" s="126">
        <f t="shared" si="55"/>
        <v>1.8433520727898647</v>
      </c>
      <c r="X339" s="126">
        <f t="shared" si="56"/>
        <v>1.8106282890195764</v>
      </c>
      <c r="Y339" s="126">
        <f t="shared" si="57"/>
        <v>2.5080032812347648</v>
      </c>
      <c r="Z339" s="126">
        <f t="shared" si="58"/>
        <v>1.5531731944187008</v>
      </c>
      <c r="AA339" s="126">
        <f t="shared" si="59"/>
        <v>1.8996351679615078</v>
      </c>
      <c r="AB339" s="126">
        <f t="shared" si="60"/>
        <v>2.8487573528242285</v>
      </c>
    </row>
    <row r="340" spans="1:28">
      <c r="A340">
        <v>339</v>
      </c>
      <c r="B340" s="119">
        <v>0.26474622770919065</v>
      </c>
      <c r="F340">
        <v>0.25712543819539707</v>
      </c>
      <c r="G340">
        <v>0.59045877152873039</v>
      </c>
      <c r="H340">
        <v>0.92379210486206365</v>
      </c>
      <c r="I340">
        <v>7.1940253010211855E-2</v>
      </c>
      <c r="J340">
        <v>0.40527358634354521</v>
      </c>
      <c r="K340">
        <v>0.73860691967687853</v>
      </c>
      <c r="L340">
        <v>0.18305136412132295</v>
      </c>
      <c r="M340">
        <v>0.51638469745465632</v>
      </c>
      <c r="N340">
        <v>0.84971803078798946</v>
      </c>
      <c r="O340">
        <v>0.29416247523243411</v>
      </c>
      <c r="R340">
        <v>2.5</v>
      </c>
      <c r="S340" s="126">
        <f t="shared" si="51"/>
        <v>1.8802656639841262</v>
      </c>
      <c r="T340" s="126">
        <f t="shared" si="52"/>
        <v>2.2954015609718215</v>
      </c>
      <c r="U340" s="126">
        <f t="shared" si="53"/>
        <v>3.4957265791991494</v>
      </c>
      <c r="V340" s="126">
        <f t="shared" si="54"/>
        <v>1.7132411271941606</v>
      </c>
      <c r="W340" s="126">
        <f t="shared" si="55"/>
        <v>1.825081208019377</v>
      </c>
      <c r="X340" s="126">
        <f t="shared" si="56"/>
        <v>2.6061070771107442</v>
      </c>
      <c r="Y340" s="126">
        <f t="shared" si="57"/>
        <v>1.7261045865973379</v>
      </c>
      <c r="Z340" s="126">
        <f t="shared" si="58"/>
        <v>2.0631519553483848</v>
      </c>
      <c r="AA340" s="126">
        <f t="shared" si="59"/>
        <v>3.0525210296687755</v>
      </c>
      <c r="AB340" s="126">
        <f t="shared" si="60"/>
        <v>2.249489148818701</v>
      </c>
    </row>
    <row r="341" spans="1:28">
      <c r="A341">
        <v>340</v>
      </c>
      <c r="B341" s="119">
        <v>0.59807956104252391</v>
      </c>
      <c r="F341">
        <v>0.62749580856576737</v>
      </c>
      <c r="G341">
        <v>0.96082914189910062</v>
      </c>
      <c r="H341">
        <v>0.10897729004724889</v>
      </c>
      <c r="I341">
        <v>0.44231062338058225</v>
      </c>
      <c r="J341">
        <v>0.77564395671391551</v>
      </c>
      <c r="K341">
        <v>0.22008840115835998</v>
      </c>
      <c r="L341">
        <v>0.5534217344916933</v>
      </c>
      <c r="M341">
        <v>0.88675506782502656</v>
      </c>
      <c r="N341">
        <v>0.33119951226947114</v>
      </c>
      <c r="O341">
        <v>0.66453284560280446</v>
      </c>
      <c r="R341">
        <v>2.5</v>
      </c>
      <c r="S341" s="126">
        <f t="shared" si="51"/>
        <v>2.686475642379258</v>
      </c>
      <c r="T341" s="126">
        <f t="shared" si="52"/>
        <v>3.9639197090213507</v>
      </c>
      <c r="U341" s="126">
        <f t="shared" si="53"/>
        <v>2.1378520207777165</v>
      </c>
      <c r="V341" s="126">
        <f t="shared" si="54"/>
        <v>2.1165222373735353</v>
      </c>
      <c r="W341" s="126">
        <f t="shared" si="55"/>
        <v>2.8503302375142323</v>
      </c>
      <c r="X341" s="126">
        <f t="shared" si="56"/>
        <v>1.9576446767121205</v>
      </c>
      <c r="Y341" s="126">
        <f t="shared" si="57"/>
        <v>2.2564194969699067</v>
      </c>
      <c r="Z341" s="126">
        <f t="shared" si="58"/>
        <v>3.2933585505131839</v>
      </c>
      <c r="AA341" s="126">
        <f t="shared" si="59"/>
        <v>2.4568589950901627</v>
      </c>
      <c r="AB341" s="126">
        <f t="shared" si="60"/>
        <v>2.7469743071841131</v>
      </c>
    </row>
    <row r="342" spans="1:28">
      <c r="A342">
        <v>341</v>
      </c>
      <c r="B342" s="119">
        <v>0.93141289437585717</v>
      </c>
      <c r="F342">
        <v>0.99786617893613772</v>
      </c>
      <c r="G342">
        <v>3.3531473860691965E-3</v>
      </c>
      <c r="H342">
        <v>0.33668648071940255</v>
      </c>
      <c r="I342">
        <v>0.67001981405273592</v>
      </c>
      <c r="J342">
        <v>0.1144642584971803</v>
      </c>
      <c r="K342">
        <v>0.44779759183051365</v>
      </c>
      <c r="L342">
        <v>0.78113092516384697</v>
      </c>
      <c r="M342">
        <v>0.22557536960829139</v>
      </c>
      <c r="N342">
        <v>0.55890870294162487</v>
      </c>
      <c r="O342">
        <v>0.89224203627495813</v>
      </c>
      <c r="R342">
        <v>2.5</v>
      </c>
      <c r="S342" s="126">
        <f t="shared" si="51"/>
        <v>4.7752335033854596</v>
      </c>
      <c r="T342" s="126">
        <f t="shared" si="52"/>
        <v>1.3256549155441673</v>
      </c>
      <c r="U342" s="126">
        <f t="shared" si="53"/>
        <v>1.4803291382745933</v>
      </c>
      <c r="V342" s="126">
        <f t="shared" si="54"/>
        <v>2.2686263713367758</v>
      </c>
      <c r="W342" s="126">
        <f t="shared" si="55"/>
        <v>1.3096027579092298</v>
      </c>
      <c r="X342" s="126">
        <f t="shared" si="56"/>
        <v>1.7116971788114697</v>
      </c>
      <c r="Y342" s="126">
        <f t="shared" si="57"/>
        <v>2.6620863794016043</v>
      </c>
      <c r="Z342" s="126">
        <f t="shared" si="58"/>
        <v>1.8782069403099642</v>
      </c>
      <c r="AA342" s="126">
        <f t="shared" si="59"/>
        <v>2.2279520514443831</v>
      </c>
      <c r="AB342" s="126">
        <f t="shared" si="60"/>
        <v>3.3030438718116506</v>
      </c>
    </row>
    <row r="343" spans="1:28">
      <c r="A343">
        <v>342</v>
      </c>
      <c r="B343" s="119">
        <v>7.9561042524005476E-2</v>
      </c>
      <c r="F343">
        <v>4.0390184423106233E-2</v>
      </c>
      <c r="G343">
        <v>0.37372351775643958</v>
      </c>
      <c r="H343">
        <v>0.70705685108977301</v>
      </c>
      <c r="I343">
        <v>0.15150129553421732</v>
      </c>
      <c r="J343">
        <v>0.48483462886755069</v>
      </c>
      <c r="K343">
        <v>0.81816796220088395</v>
      </c>
      <c r="L343">
        <v>0.26261240664532848</v>
      </c>
      <c r="M343">
        <v>0.59594573997866185</v>
      </c>
      <c r="N343">
        <v>0.92927907331199511</v>
      </c>
      <c r="O343">
        <v>7.7427221460143261E-2</v>
      </c>
      <c r="R343">
        <v>2.5</v>
      </c>
      <c r="S343" s="126">
        <f t="shared" si="51"/>
        <v>0.97798145151970672</v>
      </c>
      <c r="T343" s="126">
        <f t="shared" si="52"/>
        <v>1.3876691563575392</v>
      </c>
      <c r="U343" s="126">
        <f t="shared" si="53"/>
        <v>2.3085267307870199</v>
      </c>
      <c r="V343" s="126">
        <f t="shared" si="54"/>
        <v>1.4724359472464945</v>
      </c>
      <c r="W343" s="126">
        <f t="shared" si="55"/>
        <v>1.8704122875113149</v>
      </c>
      <c r="X343" s="126">
        <f t="shared" si="56"/>
        <v>2.851049426774555</v>
      </c>
      <c r="Y343" s="126">
        <f t="shared" si="57"/>
        <v>2.0706593729876963</v>
      </c>
      <c r="Z343" s="126">
        <f t="shared" si="58"/>
        <v>2.4027574470896877</v>
      </c>
      <c r="AA343" s="126">
        <f t="shared" si="59"/>
        <v>3.5821745951772264</v>
      </c>
      <c r="AB343" s="126">
        <f t="shared" si="60"/>
        <v>1.7887744486947155</v>
      </c>
    </row>
    <row r="344" spans="1:28">
      <c r="A344">
        <v>343</v>
      </c>
      <c r="B344" s="119">
        <v>0.41289437585733879</v>
      </c>
      <c r="F344">
        <v>0.41076055479347662</v>
      </c>
      <c r="G344">
        <v>0.74409388812680999</v>
      </c>
      <c r="H344">
        <v>0.18853833257125435</v>
      </c>
      <c r="I344">
        <v>0.52187166590458778</v>
      </c>
      <c r="J344">
        <v>0.85520499923792104</v>
      </c>
      <c r="K344">
        <v>0.29964944368236551</v>
      </c>
      <c r="L344">
        <v>0.63298277701569894</v>
      </c>
      <c r="M344">
        <v>0.9663161103490322</v>
      </c>
      <c r="N344">
        <v>1.5698826398414877E-2</v>
      </c>
      <c r="O344">
        <v>0.34903215973174823</v>
      </c>
      <c r="R344">
        <v>2.5</v>
      </c>
      <c r="S344" s="126">
        <f t="shared" si="51"/>
        <v>2.2321616460818166</v>
      </c>
      <c r="T344" s="126">
        <f t="shared" si="52"/>
        <v>2.8246959386551946</v>
      </c>
      <c r="U344" s="126">
        <f t="shared" si="53"/>
        <v>1.8528775371455746</v>
      </c>
      <c r="V344" s="126">
        <f t="shared" si="54"/>
        <v>2.138225313868702</v>
      </c>
      <c r="W344" s="126">
        <f t="shared" si="55"/>
        <v>3.1098803919429203</v>
      </c>
      <c r="X344" s="126">
        <f t="shared" si="56"/>
        <v>2.2913959687437444</v>
      </c>
      <c r="Y344" s="126">
        <f t="shared" si="57"/>
        <v>2.5936201980800364</v>
      </c>
      <c r="Z344" s="126">
        <f t="shared" si="58"/>
        <v>3.9740154286071903</v>
      </c>
      <c r="AA344" s="126">
        <f t="shared" si="59"/>
        <v>1.3841011196654942</v>
      </c>
      <c r="AB344" s="126">
        <f t="shared" si="60"/>
        <v>1.5374080789752758</v>
      </c>
    </row>
    <row r="345" spans="1:28">
      <c r="A345">
        <v>344</v>
      </c>
      <c r="B345" s="119">
        <v>0.74622770919067205</v>
      </c>
      <c r="F345">
        <v>0.68236549306508154</v>
      </c>
      <c r="G345">
        <v>0.12680993750952596</v>
      </c>
      <c r="H345">
        <v>0.46014327084285933</v>
      </c>
      <c r="I345">
        <v>0.7934766041761927</v>
      </c>
      <c r="J345">
        <v>0.23792104862063707</v>
      </c>
      <c r="K345">
        <v>0.5712543819539706</v>
      </c>
      <c r="L345">
        <v>0.90458771528730386</v>
      </c>
      <c r="M345">
        <v>5.2735863435451912E-2</v>
      </c>
      <c r="N345">
        <v>0.38606919676878526</v>
      </c>
      <c r="O345">
        <v>0.71940253010211874</v>
      </c>
      <c r="R345">
        <v>2.5</v>
      </c>
      <c r="S345" s="126">
        <f t="shared" si="51"/>
        <v>2.8094497198573452</v>
      </c>
      <c r="T345" s="126">
        <f t="shared" si="52"/>
        <v>1.6321642986257556</v>
      </c>
      <c r="U345" s="126">
        <f t="shared" si="53"/>
        <v>1.8995131838491024</v>
      </c>
      <c r="V345" s="126">
        <f t="shared" si="54"/>
        <v>2.791557621555016</v>
      </c>
      <c r="W345" s="126">
        <f t="shared" si="55"/>
        <v>1.9766770222872787</v>
      </c>
      <c r="X345" s="126">
        <f t="shared" si="56"/>
        <v>2.3033135151725417</v>
      </c>
      <c r="Y345" s="126">
        <f t="shared" si="57"/>
        <v>3.3983297467660059</v>
      </c>
      <c r="Z345" s="126">
        <f t="shared" si="58"/>
        <v>1.5344705419607299</v>
      </c>
      <c r="AA345" s="126">
        <f t="shared" si="59"/>
        <v>1.6941076388067582</v>
      </c>
      <c r="AB345" s="126">
        <f t="shared" si="60"/>
        <v>2.492450439905618</v>
      </c>
    </row>
    <row r="346" spans="1:28">
      <c r="A346">
        <v>345</v>
      </c>
      <c r="B346" s="119">
        <v>0.19067215363511661</v>
      </c>
      <c r="F346">
        <v>0.163846974546563</v>
      </c>
      <c r="G346">
        <v>0.49718030787989637</v>
      </c>
      <c r="H346">
        <v>0.83051364121322968</v>
      </c>
      <c r="I346">
        <v>0.27495808565767416</v>
      </c>
      <c r="J346">
        <v>0.60829141899100758</v>
      </c>
      <c r="K346">
        <v>0.94162475232434084</v>
      </c>
      <c r="L346">
        <v>8.977290047248894E-2</v>
      </c>
      <c r="M346">
        <v>0.4231062338058223</v>
      </c>
      <c r="N346">
        <v>0.75643956713915572</v>
      </c>
      <c r="O346">
        <v>0.20088401158360003</v>
      </c>
      <c r="R346">
        <v>2.5</v>
      </c>
      <c r="S346" s="126">
        <f t="shared" si="51"/>
        <v>1.6109384666482123</v>
      </c>
      <c r="T346" s="126">
        <f t="shared" si="52"/>
        <v>1.9655554443885597</v>
      </c>
      <c r="U346" s="126">
        <f t="shared" si="53"/>
        <v>2.9382868882802256</v>
      </c>
      <c r="V346" s="126">
        <f t="shared" si="54"/>
        <v>2.1453742665837332</v>
      </c>
      <c r="W346" s="126">
        <f t="shared" si="55"/>
        <v>2.4667041996775168</v>
      </c>
      <c r="X346" s="126">
        <f t="shared" si="56"/>
        <v>3.6952412717388907</v>
      </c>
      <c r="Y346" s="126">
        <f t="shared" si="57"/>
        <v>1.911946404602042</v>
      </c>
      <c r="Z346" s="126">
        <f t="shared" si="58"/>
        <v>1.9626990410837255</v>
      </c>
      <c r="AA346" s="126">
        <f t="shared" si="59"/>
        <v>2.7213296907518298</v>
      </c>
      <c r="AB346" s="126">
        <f t="shared" si="60"/>
        <v>1.8378994986774695</v>
      </c>
    </row>
    <row r="347" spans="1:28">
      <c r="A347">
        <v>346</v>
      </c>
      <c r="B347" s="119">
        <v>0.52400548696844984</v>
      </c>
      <c r="F347">
        <v>0.5342173449169334</v>
      </c>
      <c r="G347">
        <v>0.86755067825026666</v>
      </c>
      <c r="H347">
        <v>0.31199512269471119</v>
      </c>
      <c r="I347">
        <v>0.64532845602804456</v>
      </c>
      <c r="J347">
        <v>0.97866178936137782</v>
      </c>
      <c r="K347">
        <v>2.8044505410760551E-2</v>
      </c>
      <c r="L347">
        <v>0.3613778387440939</v>
      </c>
      <c r="M347">
        <v>0.69471117207742727</v>
      </c>
      <c r="N347">
        <v>0.13915561652187164</v>
      </c>
      <c r="O347">
        <v>0.47248894985520501</v>
      </c>
      <c r="R347">
        <v>2.5</v>
      </c>
      <c r="S347" s="126">
        <f t="shared" si="51"/>
        <v>2.489057632862254</v>
      </c>
      <c r="T347" s="126">
        <f t="shared" si="52"/>
        <v>3.3322869978513561</v>
      </c>
      <c r="U347" s="126">
        <f t="shared" si="53"/>
        <v>2.4322154358363508</v>
      </c>
      <c r="V347" s="126">
        <f t="shared" si="54"/>
        <v>2.6915936231507542</v>
      </c>
      <c r="W347" s="126">
        <f t="shared" si="55"/>
        <v>4.1862790304219306</v>
      </c>
      <c r="X347" s="126">
        <f t="shared" si="56"/>
        <v>1.6901000288837786</v>
      </c>
      <c r="Y347" s="126">
        <f t="shared" si="57"/>
        <v>1.7185505629235069</v>
      </c>
      <c r="Z347" s="126">
        <f t="shared" si="58"/>
        <v>2.4454995811697442</v>
      </c>
      <c r="AA347" s="126">
        <f t="shared" si="59"/>
        <v>1.496652677783517</v>
      </c>
      <c r="AB347" s="126">
        <f t="shared" si="60"/>
        <v>1.857021731833338</v>
      </c>
    </row>
    <row r="348" spans="1:28">
      <c r="A348">
        <v>347</v>
      </c>
      <c r="B348" s="119">
        <v>0.8573388203017831</v>
      </c>
      <c r="F348">
        <v>0.80582228318853832</v>
      </c>
      <c r="G348">
        <v>0.25026672763298274</v>
      </c>
      <c r="H348">
        <v>0.58360006096631623</v>
      </c>
      <c r="I348">
        <v>0.91693339429964948</v>
      </c>
      <c r="J348">
        <v>6.5081542447797583E-2</v>
      </c>
      <c r="K348">
        <v>0.39841487578113094</v>
      </c>
      <c r="L348">
        <v>0.73174820911446437</v>
      </c>
      <c r="M348">
        <v>0.17619265355890867</v>
      </c>
      <c r="N348">
        <v>0.50952598689224216</v>
      </c>
      <c r="O348">
        <v>0.8428593202255753</v>
      </c>
      <c r="R348">
        <v>2.5</v>
      </c>
      <c r="S348" s="126">
        <f t="shared" si="51"/>
        <v>3.129702914382098</v>
      </c>
      <c r="T348" s="126">
        <f t="shared" si="52"/>
        <v>2.1790890837184351</v>
      </c>
      <c r="U348" s="126">
        <f t="shared" si="53"/>
        <v>2.4310627895322945</v>
      </c>
      <c r="V348" s="126">
        <f t="shared" si="54"/>
        <v>3.5257098386194548</v>
      </c>
      <c r="W348" s="126">
        <f t="shared" si="55"/>
        <v>1.6854481463884725</v>
      </c>
      <c r="X348" s="126">
        <f t="shared" si="56"/>
        <v>1.7964871474575268</v>
      </c>
      <c r="Y348" s="126">
        <f t="shared" si="57"/>
        <v>2.5744580687217886</v>
      </c>
      <c r="Z348" s="126">
        <f t="shared" si="58"/>
        <v>1.6886087218761645</v>
      </c>
      <c r="AA348" s="126">
        <f t="shared" si="59"/>
        <v>2.0301187190709045</v>
      </c>
      <c r="AB348" s="126">
        <f t="shared" si="60"/>
        <v>3.0120440613508852</v>
      </c>
    </row>
    <row r="349" spans="1:28">
      <c r="A349">
        <v>348</v>
      </c>
      <c r="B349" s="119">
        <v>0.30178326474622769</v>
      </c>
      <c r="F349">
        <v>0.28730376467001983</v>
      </c>
      <c r="G349">
        <v>0.6206370980033532</v>
      </c>
      <c r="H349">
        <v>0.95397043133668646</v>
      </c>
      <c r="I349">
        <v>0.10211857948483462</v>
      </c>
      <c r="J349">
        <v>0.43545191281816797</v>
      </c>
      <c r="K349">
        <v>0.76878524615150134</v>
      </c>
      <c r="L349">
        <v>0.21322969059594571</v>
      </c>
      <c r="M349">
        <v>0.54656302392927913</v>
      </c>
      <c r="N349">
        <v>0.87989635726261239</v>
      </c>
      <c r="O349">
        <v>0.32434080170705687</v>
      </c>
      <c r="R349">
        <v>2.5</v>
      </c>
      <c r="S349" s="126">
        <f t="shared" si="51"/>
        <v>1.9552847315781754</v>
      </c>
      <c r="T349" s="126">
        <f t="shared" si="52"/>
        <v>2.3977945476581599</v>
      </c>
      <c r="U349" s="126">
        <f t="shared" si="53"/>
        <v>3.7563454020313358</v>
      </c>
      <c r="V349" s="126">
        <f t="shared" si="54"/>
        <v>2.0025237240366276</v>
      </c>
      <c r="W349" s="126">
        <f t="shared" si="55"/>
        <v>2.0341571669066099</v>
      </c>
      <c r="X349" s="126">
        <f t="shared" si="56"/>
        <v>2.7902009327383346</v>
      </c>
      <c r="Y349" s="126">
        <f t="shared" si="57"/>
        <v>1.9081478749105267</v>
      </c>
      <c r="Z349" s="126">
        <f t="shared" si="58"/>
        <v>2.2172496957591421</v>
      </c>
      <c r="AA349" s="126">
        <f t="shared" si="59"/>
        <v>3.244819037039667</v>
      </c>
      <c r="AB349" s="126">
        <f t="shared" si="60"/>
        <v>2.4167991495872805</v>
      </c>
    </row>
    <row r="350" spans="1:28">
      <c r="A350">
        <v>349</v>
      </c>
      <c r="B350" s="119">
        <v>0.635116598079561</v>
      </c>
      <c r="F350">
        <v>0.6576741350403903</v>
      </c>
      <c r="G350">
        <v>0.99100746837372355</v>
      </c>
      <c r="H350">
        <v>7.4683737235177574E-3</v>
      </c>
      <c r="I350">
        <v>0.34080170705685109</v>
      </c>
      <c r="J350">
        <v>0.67413504039018446</v>
      </c>
      <c r="K350">
        <v>0.11857948483462885</v>
      </c>
      <c r="L350">
        <v>0.45191281816796219</v>
      </c>
      <c r="M350">
        <v>0.78524615150129551</v>
      </c>
      <c r="N350">
        <v>0.22969059594573996</v>
      </c>
      <c r="O350">
        <v>0.56302392927907341</v>
      </c>
      <c r="R350">
        <v>2.5</v>
      </c>
      <c r="S350" s="126">
        <f t="shared" si="51"/>
        <v>2.7531982484310777</v>
      </c>
      <c r="T350" s="126">
        <f t="shared" si="52"/>
        <v>4.4969002299017298</v>
      </c>
      <c r="U350" s="126">
        <f t="shared" si="53"/>
        <v>1.4143813061102861</v>
      </c>
      <c r="V350" s="126">
        <f t="shared" si="54"/>
        <v>1.5341997481044269</v>
      </c>
      <c r="W350" s="126">
        <f t="shared" si="55"/>
        <v>2.3050981769600276</v>
      </c>
      <c r="X350" s="126">
        <f t="shared" si="56"/>
        <v>1.3452590372141329</v>
      </c>
      <c r="Y350" s="126">
        <f t="shared" si="57"/>
        <v>1.7381939946963292</v>
      </c>
      <c r="Z350" s="126">
        <f t="shared" si="58"/>
        <v>2.6869640890688622</v>
      </c>
      <c r="AA350" s="126">
        <f t="shared" si="59"/>
        <v>1.9019539583363791</v>
      </c>
      <c r="AB350" s="126">
        <f t="shared" si="60"/>
        <v>2.2484961597860904</v>
      </c>
    </row>
    <row r="351" spans="1:28">
      <c r="A351">
        <v>350</v>
      </c>
      <c r="B351" s="119">
        <v>0.96844993141289426</v>
      </c>
      <c r="F351">
        <v>0.89635726261240667</v>
      </c>
      <c r="G351">
        <v>4.4505410760554795E-2</v>
      </c>
      <c r="H351">
        <v>0.37783874409388812</v>
      </c>
      <c r="I351">
        <v>0.71117207742722155</v>
      </c>
      <c r="J351">
        <v>0.15561652187166589</v>
      </c>
      <c r="K351">
        <v>0.48894985520499923</v>
      </c>
      <c r="L351">
        <v>0.82228318853833249</v>
      </c>
      <c r="M351">
        <v>0.26672763298277702</v>
      </c>
      <c r="N351">
        <v>0.60006096631611039</v>
      </c>
      <c r="O351">
        <v>0.93339429964944365</v>
      </c>
      <c r="R351">
        <v>2.5</v>
      </c>
      <c r="S351" s="126">
        <f t="shared" si="51"/>
        <v>3.4583537481032609</v>
      </c>
      <c r="T351" s="126">
        <f t="shared" si="52"/>
        <v>1.497209098343852</v>
      </c>
      <c r="U351" s="126">
        <f t="shared" si="53"/>
        <v>1.6575783353513531</v>
      </c>
      <c r="V351" s="126">
        <f t="shared" si="54"/>
        <v>2.4540848960485824</v>
      </c>
      <c r="W351" s="126">
        <f t="shared" si="55"/>
        <v>1.5599265855583417</v>
      </c>
      <c r="X351" s="126">
        <f t="shared" si="56"/>
        <v>1.9228978101318812</v>
      </c>
      <c r="Y351" s="126">
        <f t="shared" si="57"/>
        <v>2.8903745581142841</v>
      </c>
      <c r="Z351" s="126">
        <f t="shared" si="58"/>
        <v>2.1007935821458901</v>
      </c>
      <c r="AA351" s="126">
        <f t="shared" si="59"/>
        <v>2.4266771442214914</v>
      </c>
      <c r="AB351" s="126">
        <f t="shared" si="60"/>
        <v>3.619860080386947</v>
      </c>
    </row>
    <row r="352" spans="1:28">
      <c r="A352">
        <v>351</v>
      </c>
      <c r="B352" s="119">
        <v>1.7832647462277092E-2</v>
      </c>
      <c r="F352">
        <v>8.1542447797591816E-2</v>
      </c>
      <c r="G352">
        <v>0.41487578113092516</v>
      </c>
      <c r="H352">
        <v>0.74820911446425853</v>
      </c>
      <c r="I352">
        <v>0.19265355890870292</v>
      </c>
      <c r="J352">
        <v>0.52598689224203632</v>
      </c>
      <c r="K352">
        <v>0.85932022557536958</v>
      </c>
      <c r="L352">
        <v>0.30376467001981405</v>
      </c>
      <c r="M352">
        <v>0.63709800335314748</v>
      </c>
      <c r="N352">
        <v>0.97043133668648074</v>
      </c>
      <c r="O352">
        <v>1.9814052735863435E-2</v>
      </c>
      <c r="R352">
        <v>2.5</v>
      </c>
      <c r="S352" s="126">
        <f t="shared" si="51"/>
        <v>1.2678202890551442</v>
      </c>
      <c r="T352" s="126">
        <f t="shared" si="52"/>
        <v>1.6215852485939066</v>
      </c>
      <c r="U352" s="126">
        <f t="shared" si="53"/>
        <v>2.5284158148492697</v>
      </c>
      <c r="V352" s="126">
        <f t="shared" si="54"/>
        <v>1.7164514171906997</v>
      </c>
      <c r="W352" s="126">
        <f t="shared" si="55"/>
        <v>2.0781810163092049</v>
      </c>
      <c r="X352" s="126">
        <f t="shared" si="56"/>
        <v>3.0947537213535377</v>
      </c>
      <c r="Y352" s="126">
        <f t="shared" si="57"/>
        <v>2.2935306209176298</v>
      </c>
      <c r="Z352" s="126">
        <f t="shared" si="58"/>
        <v>2.6037236589661559</v>
      </c>
      <c r="AA352" s="126">
        <f t="shared" si="59"/>
        <v>4.0268976094850366</v>
      </c>
      <c r="AB352" s="126">
        <f t="shared" si="60"/>
        <v>1.4885339108036142</v>
      </c>
    </row>
    <row r="353" spans="1:28">
      <c r="A353">
        <v>352</v>
      </c>
      <c r="B353" s="119">
        <v>0.3511659807956104</v>
      </c>
      <c r="F353">
        <v>0.35314738606919677</v>
      </c>
      <c r="G353">
        <v>0.68648071940253008</v>
      </c>
      <c r="H353">
        <v>0.13092516384697453</v>
      </c>
      <c r="I353">
        <v>0.46425849718030787</v>
      </c>
      <c r="J353">
        <v>0.79759183051364124</v>
      </c>
      <c r="K353">
        <v>0.24203627495808563</v>
      </c>
      <c r="L353">
        <v>0.57536960829141914</v>
      </c>
      <c r="M353">
        <v>0.9087029416247524</v>
      </c>
      <c r="N353">
        <v>5.6851089772900473E-2</v>
      </c>
      <c r="O353">
        <v>0.3901844231062338</v>
      </c>
      <c r="R353">
        <v>2.5</v>
      </c>
      <c r="S353" s="126">
        <f t="shared" si="51"/>
        <v>2.1074123155494706</v>
      </c>
      <c r="T353" s="126">
        <f t="shared" si="52"/>
        <v>2.6216826165489144</v>
      </c>
      <c r="U353" s="126">
        <f t="shared" si="53"/>
        <v>1.5539360266368536</v>
      </c>
      <c r="V353" s="126">
        <f t="shared" si="54"/>
        <v>1.8687421786370659</v>
      </c>
      <c r="W353" s="126">
        <f t="shared" si="55"/>
        <v>2.7880571796061728</v>
      </c>
      <c r="X353" s="126">
        <f t="shared" si="56"/>
        <v>1.9858367914485913</v>
      </c>
      <c r="Y353" s="126">
        <f t="shared" si="57"/>
        <v>2.3165719000051244</v>
      </c>
      <c r="Z353" s="126">
        <f t="shared" si="58"/>
        <v>3.4253382817268432</v>
      </c>
      <c r="AA353" s="126">
        <f t="shared" si="59"/>
        <v>1.5786589023894582</v>
      </c>
      <c r="AB353" s="126">
        <f t="shared" si="60"/>
        <v>1.7251754946446647</v>
      </c>
    </row>
    <row r="354" spans="1:28">
      <c r="A354">
        <v>353</v>
      </c>
      <c r="B354" s="119">
        <v>0.6844993141289436</v>
      </c>
      <c r="F354">
        <v>0.72351775643956728</v>
      </c>
      <c r="G354">
        <v>0.16796220088401156</v>
      </c>
      <c r="H354">
        <v>0.50129553421734496</v>
      </c>
      <c r="I354">
        <v>0.83462886755067822</v>
      </c>
      <c r="J354">
        <v>0.2790733119951227</v>
      </c>
      <c r="K354">
        <v>0.61240664532845612</v>
      </c>
      <c r="L354">
        <v>0.94573997866178938</v>
      </c>
      <c r="M354">
        <v>9.3888126809937494E-2</v>
      </c>
      <c r="N354">
        <v>0.42722146014327084</v>
      </c>
      <c r="O354">
        <v>0.76055479347660426</v>
      </c>
      <c r="R354">
        <v>2.5</v>
      </c>
      <c r="S354" s="126">
        <f t="shared" si="51"/>
        <v>2.9076008939039322</v>
      </c>
      <c r="T354" s="126">
        <f t="shared" si="52"/>
        <v>1.8294244459549582</v>
      </c>
      <c r="U354" s="126">
        <f t="shared" si="53"/>
        <v>2.0838746454876524</v>
      </c>
      <c r="V354" s="126">
        <f t="shared" si="54"/>
        <v>3.0112997031505127</v>
      </c>
      <c r="W354" s="126">
        <f t="shared" si="55"/>
        <v>2.1922065831653668</v>
      </c>
      <c r="X354" s="126">
        <f t="shared" si="56"/>
        <v>2.4990909734789084</v>
      </c>
      <c r="Y354" s="126">
        <f t="shared" si="57"/>
        <v>3.7414762358677067</v>
      </c>
      <c r="Z354" s="126">
        <f t="shared" si="58"/>
        <v>1.9557783048966915</v>
      </c>
      <c r="AA354" s="126">
        <f t="shared" si="59"/>
        <v>1.9933899252595786</v>
      </c>
      <c r="AB354" s="126">
        <f t="shared" si="60"/>
        <v>2.7476364619499218</v>
      </c>
    </row>
    <row r="355" spans="1:28">
      <c r="A355">
        <v>354</v>
      </c>
      <c r="B355" s="119">
        <v>0.12894375857338822</v>
      </c>
      <c r="F355">
        <v>0.2049992379210486</v>
      </c>
      <c r="G355">
        <v>0.53833257125438194</v>
      </c>
      <c r="H355">
        <v>0.8716659045877152</v>
      </c>
      <c r="I355">
        <v>0.31611034903215973</v>
      </c>
      <c r="J355">
        <v>0.6494436823654931</v>
      </c>
      <c r="K355">
        <v>0.98277701569882636</v>
      </c>
      <c r="L355">
        <v>3.2159731748209117E-2</v>
      </c>
      <c r="M355">
        <v>0.36549306508154245</v>
      </c>
      <c r="N355">
        <v>0.69882639841487582</v>
      </c>
      <c r="O355">
        <v>0.14327084285932021</v>
      </c>
      <c r="R355">
        <v>2.5</v>
      </c>
      <c r="S355" s="126">
        <f t="shared" si="51"/>
        <v>1.7386777614236757</v>
      </c>
      <c r="T355" s="126">
        <f t="shared" si="52"/>
        <v>2.1149605516346974</v>
      </c>
      <c r="U355" s="126">
        <f t="shared" si="53"/>
        <v>3.160278312178499</v>
      </c>
      <c r="V355" s="126">
        <f t="shared" si="54"/>
        <v>2.3553311182574168</v>
      </c>
      <c r="W355" s="126">
        <f t="shared" si="55"/>
        <v>2.6620907372453368</v>
      </c>
      <c r="X355" s="126">
        <f t="shared" si="56"/>
        <v>4.2439912315272839</v>
      </c>
      <c r="Y355" s="126">
        <f t="shared" si="57"/>
        <v>1.7689112747222486</v>
      </c>
      <c r="Z355" s="126">
        <f t="shared" si="58"/>
        <v>1.7672044147969914</v>
      </c>
      <c r="AA355" s="126">
        <f t="shared" si="59"/>
        <v>2.4796683477702413</v>
      </c>
      <c r="AB355" s="126">
        <f t="shared" si="60"/>
        <v>1.5289873031150196</v>
      </c>
    </row>
    <row r="356" spans="1:28">
      <c r="A356">
        <v>355</v>
      </c>
      <c r="B356" s="119">
        <v>0.4622770919067215</v>
      </c>
      <c r="F356">
        <v>0.47660417619265355</v>
      </c>
      <c r="G356">
        <v>0.80993750952598687</v>
      </c>
      <c r="H356">
        <v>0.25438195397043134</v>
      </c>
      <c r="I356">
        <v>0.58771528730376477</v>
      </c>
      <c r="J356">
        <v>0.92104862063709803</v>
      </c>
      <c r="K356">
        <v>6.9196768785246138E-2</v>
      </c>
      <c r="L356">
        <v>0.40253010211857948</v>
      </c>
      <c r="M356">
        <v>0.73586343545191291</v>
      </c>
      <c r="N356">
        <v>0.18030787989635724</v>
      </c>
      <c r="O356">
        <v>0.5136412132296907</v>
      </c>
      <c r="R356">
        <v>2.5</v>
      </c>
      <c r="S356" s="126">
        <f t="shared" si="51"/>
        <v>2.3698295872139803</v>
      </c>
      <c r="T356" s="126">
        <f t="shared" si="52"/>
        <v>3.0767027374888496</v>
      </c>
      <c r="U356" s="126">
        <f t="shared" si="53"/>
        <v>2.163080390667572</v>
      </c>
      <c r="V356" s="126">
        <f t="shared" si="54"/>
        <v>2.4317265014644636</v>
      </c>
      <c r="W356" s="126">
        <f t="shared" si="55"/>
        <v>3.5486630182719145</v>
      </c>
      <c r="X356" s="126">
        <f t="shared" si="56"/>
        <v>1.7230968901827262</v>
      </c>
      <c r="Y356" s="126">
        <f t="shared" si="57"/>
        <v>1.8241923063799312</v>
      </c>
      <c r="Z356" s="126">
        <f t="shared" si="58"/>
        <v>2.5987219082356994</v>
      </c>
      <c r="AA356" s="126">
        <f t="shared" si="59"/>
        <v>1.7138191840865644</v>
      </c>
      <c r="AB356" s="126">
        <f t="shared" si="60"/>
        <v>2.051301218117072</v>
      </c>
    </row>
    <row r="357" spans="1:28">
      <c r="A357">
        <v>356</v>
      </c>
      <c r="B357" s="119">
        <v>0.79561042524005476</v>
      </c>
      <c r="F357">
        <v>0.84697454656302384</v>
      </c>
      <c r="G357">
        <v>0.29141899100746838</v>
      </c>
      <c r="H357">
        <v>0.62475232434080175</v>
      </c>
      <c r="I357">
        <v>0.95808565767413501</v>
      </c>
      <c r="J357">
        <v>0.10623380582228317</v>
      </c>
      <c r="K357">
        <v>0.43956713915561652</v>
      </c>
      <c r="L357">
        <v>0.77290047248894989</v>
      </c>
      <c r="M357">
        <v>0.21734491693339428</v>
      </c>
      <c r="N357">
        <v>0.55067825026672768</v>
      </c>
      <c r="O357">
        <v>0.88401158360006094</v>
      </c>
      <c r="R357">
        <v>2.5</v>
      </c>
      <c r="S357" s="126">
        <f t="shared" si="51"/>
        <v>3.2624461827724009</v>
      </c>
      <c r="T357" s="126">
        <f t="shared" si="52"/>
        <v>2.348416403673192</v>
      </c>
      <c r="U357" s="126">
        <f t="shared" si="53"/>
        <v>2.6043166004545442</v>
      </c>
      <c r="V357" s="126">
        <f t="shared" si="54"/>
        <v>3.8966458938274493</v>
      </c>
      <c r="W357" s="126">
        <f t="shared" si="55"/>
        <v>2.0918137648732018</v>
      </c>
      <c r="X357" s="126">
        <f t="shared" si="56"/>
        <v>2.0876483718254422</v>
      </c>
      <c r="Y357" s="126">
        <f t="shared" si="57"/>
        <v>2.8282870074765416</v>
      </c>
      <c r="Z357" s="126">
        <f t="shared" si="58"/>
        <v>1.9388976869261907</v>
      </c>
      <c r="AA357" s="126">
        <f t="shared" si="59"/>
        <v>2.241276424474445</v>
      </c>
      <c r="AB357" s="126">
        <f t="shared" si="60"/>
        <v>3.274061643143801</v>
      </c>
    </row>
    <row r="358" spans="1:28">
      <c r="A358">
        <v>357</v>
      </c>
      <c r="B358" s="119">
        <v>0.24005486968449932</v>
      </c>
      <c r="F358">
        <v>0.32845602804450541</v>
      </c>
      <c r="G358">
        <v>0.66178936137783884</v>
      </c>
      <c r="H358">
        <v>0.9951226947111721</v>
      </c>
      <c r="I358">
        <v>1.1583600060966317E-2</v>
      </c>
      <c r="J358">
        <v>0.34491693339429969</v>
      </c>
      <c r="K358">
        <v>0.678250266727633</v>
      </c>
      <c r="L358">
        <v>0.12269471117207742</v>
      </c>
      <c r="M358">
        <v>0.45602804450541079</v>
      </c>
      <c r="N358">
        <v>0.78936137783874405</v>
      </c>
      <c r="O358">
        <v>0.2338058222831885</v>
      </c>
      <c r="R358">
        <v>2.5</v>
      </c>
      <c r="S358" s="126">
        <f t="shared" si="51"/>
        <v>2.0518673256217577</v>
      </c>
      <c r="T358" s="126">
        <f t="shared" si="52"/>
        <v>2.5372275281419432</v>
      </c>
      <c r="U358" s="126">
        <f t="shared" si="53"/>
        <v>4.5685583530548453</v>
      </c>
      <c r="V358" s="126">
        <f t="shared" si="54"/>
        <v>1.5850394884751458</v>
      </c>
      <c r="W358" s="126">
        <f t="shared" si="55"/>
        <v>1.6292066644871286</v>
      </c>
      <c r="X358" s="126">
        <f t="shared" si="56"/>
        <v>2.362293658817022</v>
      </c>
      <c r="Y358" s="126">
        <f t="shared" si="57"/>
        <v>1.3909111799269751</v>
      </c>
      <c r="Z358" s="126">
        <f t="shared" si="58"/>
        <v>1.7697039703638857</v>
      </c>
      <c r="AA358" s="126">
        <f t="shared" si="59"/>
        <v>2.71449086401259</v>
      </c>
      <c r="AB358" s="126">
        <f t="shared" si="60"/>
        <v>1.926920124614784</v>
      </c>
    </row>
    <row r="359" spans="1:28">
      <c r="A359">
        <v>358</v>
      </c>
      <c r="B359" s="119">
        <v>0.57338820301783266</v>
      </c>
      <c r="F359">
        <v>0.56713915561652195</v>
      </c>
      <c r="G359">
        <v>0.90047248894985521</v>
      </c>
      <c r="H359">
        <v>4.8620637098003357E-2</v>
      </c>
      <c r="I359">
        <v>0.38195397043133672</v>
      </c>
      <c r="J359">
        <v>0.71528730376467009</v>
      </c>
      <c r="K359">
        <v>0.15973174820911443</v>
      </c>
      <c r="L359">
        <v>0.49306508154244783</v>
      </c>
      <c r="M359">
        <v>0.82639841487578103</v>
      </c>
      <c r="N359">
        <v>0.27084285932022562</v>
      </c>
      <c r="O359">
        <v>0.60417619265355893</v>
      </c>
      <c r="R359">
        <v>2.5</v>
      </c>
      <c r="S359" s="126">
        <f t="shared" si="51"/>
        <v>2.5576972360860788</v>
      </c>
      <c r="T359" s="126">
        <f t="shared" si="52"/>
        <v>3.5064742290322148</v>
      </c>
      <c r="U359" s="126">
        <f t="shared" si="53"/>
        <v>1.5562515400003618</v>
      </c>
      <c r="V359" s="126">
        <f t="shared" si="54"/>
        <v>1.6961683428861198</v>
      </c>
      <c r="W359" s="126">
        <f t="shared" si="55"/>
        <v>2.4834486833808231</v>
      </c>
      <c r="X359" s="126">
        <f t="shared" si="56"/>
        <v>1.5887700431250402</v>
      </c>
      <c r="Y359" s="126">
        <f t="shared" si="57"/>
        <v>1.9459048264433176</v>
      </c>
      <c r="Z359" s="126">
        <f t="shared" si="58"/>
        <v>2.9150743455572989</v>
      </c>
      <c r="AA359" s="126">
        <f t="shared" si="59"/>
        <v>2.1234965375289319</v>
      </c>
      <c r="AB359" s="126">
        <f t="shared" si="60"/>
        <v>2.446885620187937</v>
      </c>
    </row>
    <row r="360" spans="1:28">
      <c r="A360">
        <v>359</v>
      </c>
      <c r="B360" s="119">
        <v>0.90672153635116592</v>
      </c>
      <c r="F360">
        <v>0.93750952598689219</v>
      </c>
      <c r="G360">
        <v>8.5657674135040385E-2</v>
      </c>
      <c r="H360">
        <v>0.41899100746837376</v>
      </c>
      <c r="I360">
        <v>0.75232434080170707</v>
      </c>
      <c r="J360">
        <v>0.19676878524615146</v>
      </c>
      <c r="K360">
        <v>0.53010211857948486</v>
      </c>
      <c r="L360">
        <v>0.86343545191281812</v>
      </c>
      <c r="M360">
        <v>0.30787989635726265</v>
      </c>
      <c r="N360">
        <v>0.64121322969059602</v>
      </c>
      <c r="O360">
        <v>0.97454656302392928</v>
      </c>
      <c r="R360">
        <v>2.5</v>
      </c>
      <c r="S360" s="126">
        <f t="shared" si="51"/>
        <v>3.6836339554419406</v>
      </c>
      <c r="T360" s="126">
        <f t="shared" si="52"/>
        <v>1.884804088141921</v>
      </c>
      <c r="U360" s="126">
        <f t="shared" si="53"/>
        <v>1.940378665937323</v>
      </c>
      <c r="V360" s="126">
        <f t="shared" si="54"/>
        <v>2.6993287947781051</v>
      </c>
      <c r="W360" s="126">
        <f t="shared" si="55"/>
        <v>1.8146746172915396</v>
      </c>
      <c r="X360" s="126">
        <f t="shared" si="56"/>
        <v>2.1360772126745724</v>
      </c>
      <c r="Y360" s="126">
        <f t="shared" si="57"/>
        <v>3.1392058102069686</v>
      </c>
      <c r="Z360" s="126">
        <f t="shared" si="58"/>
        <v>2.3255508696706499</v>
      </c>
      <c r="AA360" s="126">
        <f t="shared" si="59"/>
        <v>2.6288824318876483</v>
      </c>
      <c r="AB360" s="126">
        <f t="shared" si="60"/>
        <v>4.0932310646016301</v>
      </c>
    </row>
    <row r="361" spans="1:28">
      <c r="A361">
        <v>360</v>
      </c>
      <c r="B361" s="119">
        <v>5.4869684499314127E-2</v>
      </c>
      <c r="F361">
        <v>2.3929279073311993E-2</v>
      </c>
      <c r="G361">
        <v>0.35726261240664536</v>
      </c>
      <c r="H361">
        <v>0.69059594573997862</v>
      </c>
      <c r="I361">
        <v>0.13504039018442307</v>
      </c>
      <c r="J361">
        <v>0.46837372351775647</v>
      </c>
      <c r="K361">
        <v>0.80170705685108978</v>
      </c>
      <c r="L361">
        <v>0.24615150129553418</v>
      </c>
      <c r="M361">
        <v>0.57948483462886768</v>
      </c>
      <c r="N361">
        <v>0.91281816796220094</v>
      </c>
      <c r="O361">
        <v>6.0966316110349035E-2</v>
      </c>
      <c r="R361">
        <v>2.5</v>
      </c>
      <c r="S361" s="126">
        <f t="shared" si="51"/>
        <v>0.78625984855553344</v>
      </c>
      <c r="T361" s="126">
        <f t="shared" si="52"/>
        <v>1.2552018526545978</v>
      </c>
      <c r="U361" s="126">
        <f t="shared" si="53"/>
        <v>2.2029631104713201</v>
      </c>
      <c r="V361" s="126">
        <f t="shared" si="54"/>
        <v>1.3592841233744213</v>
      </c>
      <c r="W361" s="126">
        <f t="shared" si="55"/>
        <v>1.7794487188509143</v>
      </c>
      <c r="X361" s="126">
        <f t="shared" si="56"/>
        <v>2.7552897252922159</v>
      </c>
      <c r="Y361" s="126">
        <f t="shared" si="57"/>
        <v>1.9801867308055461</v>
      </c>
      <c r="Z361" s="126">
        <f t="shared" si="58"/>
        <v>2.3224041596584644</v>
      </c>
      <c r="AA361" s="126">
        <f t="shared" si="59"/>
        <v>3.4493062128809293</v>
      </c>
      <c r="AB361" s="126">
        <f t="shared" si="60"/>
        <v>1.6196204253184223</v>
      </c>
    </row>
    <row r="362" spans="1:28">
      <c r="A362">
        <v>361</v>
      </c>
      <c r="B362" s="119">
        <v>0.38820301783264743</v>
      </c>
      <c r="F362">
        <v>0.3942996494436824</v>
      </c>
      <c r="G362">
        <v>0.72763298277701582</v>
      </c>
      <c r="H362">
        <v>0.17207742722146011</v>
      </c>
      <c r="I362">
        <v>0.5054107605547935</v>
      </c>
      <c r="J362">
        <v>0.83874409388812676</v>
      </c>
      <c r="K362">
        <v>0.28318853833257129</v>
      </c>
      <c r="L362">
        <v>0.61652187166590466</v>
      </c>
      <c r="M362">
        <v>0.94985520499923792</v>
      </c>
      <c r="N362">
        <v>9.8003353147386063E-2</v>
      </c>
      <c r="O362">
        <v>0.43133668648071943</v>
      </c>
      <c r="R362">
        <v>2.5</v>
      </c>
      <c r="S362" s="126">
        <f t="shared" si="51"/>
        <v>2.1970738637100862</v>
      </c>
      <c r="T362" s="126">
        <f t="shared" si="52"/>
        <v>2.76553322423934</v>
      </c>
      <c r="U362" s="126">
        <f t="shared" si="53"/>
        <v>1.7714337747814595</v>
      </c>
      <c r="V362" s="126">
        <f t="shared" si="54"/>
        <v>2.0632369670830926</v>
      </c>
      <c r="W362" s="126">
        <f t="shared" si="55"/>
        <v>3.0146926891699186</v>
      </c>
      <c r="X362" s="126">
        <f t="shared" si="56"/>
        <v>2.203975547946468</v>
      </c>
      <c r="Y362" s="126">
        <f t="shared" si="57"/>
        <v>2.5138821038926791</v>
      </c>
      <c r="Z362" s="126">
        <f t="shared" si="58"/>
        <v>3.7807232317910624</v>
      </c>
      <c r="AA362" s="126">
        <f t="shared" si="59"/>
        <v>1.9954421557869253</v>
      </c>
      <c r="AB362" s="126">
        <f t="shared" si="60"/>
        <v>2.0219692951067798</v>
      </c>
    </row>
    <row r="363" spans="1:28">
      <c r="A363">
        <v>362</v>
      </c>
      <c r="B363" s="119">
        <v>0.7215363511659808</v>
      </c>
      <c r="F363">
        <v>0.7646700198140528</v>
      </c>
      <c r="G363">
        <v>0.20911446425849714</v>
      </c>
      <c r="H363">
        <v>0.54244779759183048</v>
      </c>
      <c r="I363">
        <v>0.87578113092516374</v>
      </c>
      <c r="J363">
        <v>0.32022557536960833</v>
      </c>
      <c r="K363">
        <v>0.65355890870294164</v>
      </c>
      <c r="L363">
        <v>0.9868922420362749</v>
      </c>
      <c r="M363">
        <v>3.6274958085657678E-2</v>
      </c>
      <c r="N363">
        <v>0.36960829141899104</v>
      </c>
      <c r="O363">
        <v>0.70294162475232436</v>
      </c>
      <c r="R363">
        <v>2.5</v>
      </c>
      <c r="S363" s="126">
        <f t="shared" ref="S363:S426" si="61">NORMINV(F363,0,1)*0.8248+0.4974*(2.3356-R363)+R363</f>
        <v>3.0132428349087759</v>
      </c>
      <c r="T363" s="126">
        <f t="shared" ref="T363:T426" si="62">NORMINV(G363,0,1)*0.8248+0.4974*(2.3356-S363)+S363</f>
        <v>2.0085095905348211</v>
      </c>
      <c r="U363" s="126">
        <f t="shared" ref="U363:U426" si="63">NORMINV(H363,0,1)*0.8248+0.4974*(2.3356-T363)+T363</f>
        <v>2.2591300298031598</v>
      </c>
      <c r="V363" s="126">
        <f t="shared" ref="V363:V426" si="64">NORMINV(I363,0,1)*0.8248+0.4974*(2.3356-U363)+U363</f>
        <v>3.2491110029019201</v>
      </c>
      <c r="W363" s="126">
        <f t="shared" ref="W363:W426" si="65">NORMINV(J363,0,1)*0.8248+0.4974*(2.3356-V363)+V363</f>
        <v>2.4094928547380201</v>
      </c>
      <c r="X363" s="126">
        <f t="shared" ref="X363:X426" si="66">NORMINV(K363,0,1)*0.8248+0.4974*(2.3356-W363)+W363</f>
        <v>2.6984906333215828</v>
      </c>
      <c r="Y363" s="126">
        <f t="shared" ref="Y363:Y426" si="67">NORMINV(L363,0,1)*0.8248+0.4974*(2.3356-X363)+X363</f>
        <v>4.3515227067185283</v>
      </c>
      <c r="Z363" s="126">
        <f t="shared" ref="Z363:Z426" si="68">NORMINV(M363,0,1)*0.8248+0.4974*(2.3356-Y363)+Y363</f>
        <v>1.8677491689269798</v>
      </c>
      <c r="AA363" s="126">
        <f t="shared" ref="AA363:AA426" si="69">NORMINV(N363,0,1)*0.8248+0.4974*(2.3356-Z363)+Z363</f>
        <v>1.8258896968190446</v>
      </c>
      <c r="AB363" s="126">
        <f t="shared" ref="AB363:AB426" si="70">NORMINV(O363,0,1)*0.8248+0.4974*(2.3356-AA363)+AA363</f>
        <v>2.5189389066732959</v>
      </c>
    </row>
    <row r="364" spans="1:28">
      <c r="A364">
        <v>363</v>
      </c>
      <c r="B364" s="119">
        <v>0.16598079561042525</v>
      </c>
      <c r="F364">
        <v>0.14738606919676875</v>
      </c>
      <c r="G364">
        <v>0.48071940253010215</v>
      </c>
      <c r="H364">
        <v>0.81405273586343541</v>
      </c>
      <c r="I364">
        <v>0.25849718030787994</v>
      </c>
      <c r="J364">
        <v>0.59183051364121331</v>
      </c>
      <c r="K364">
        <v>0.92516384697454657</v>
      </c>
      <c r="L364">
        <v>7.3311995122694706E-2</v>
      </c>
      <c r="M364">
        <v>0.40664532845602808</v>
      </c>
      <c r="N364">
        <v>0.73997866178936145</v>
      </c>
      <c r="O364">
        <v>0.18442310623380578</v>
      </c>
      <c r="R364">
        <v>2.5</v>
      </c>
      <c r="S364" s="126">
        <f t="shared" si="61"/>
        <v>1.554076052216127</v>
      </c>
      <c r="T364" s="126">
        <f t="shared" si="62"/>
        <v>1.9029285343712401</v>
      </c>
      <c r="U364" s="126">
        <f t="shared" si="63"/>
        <v>2.8546281886810023</v>
      </c>
      <c r="V364" s="126">
        <f t="shared" si="64"/>
        <v>2.0620051679458387</v>
      </c>
      <c r="W364" s="126">
        <f t="shared" si="65"/>
        <v>2.3896562116053324</v>
      </c>
      <c r="X364" s="126">
        <f t="shared" si="66"/>
        <v>3.5510496916739811</v>
      </c>
      <c r="Y364" s="126">
        <f t="shared" si="67"/>
        <v>1.7492383346735187</v>
      </c>
      <c r="Z364" s="126">
        <f t="shared" si="68"/>
        <v>1.8460908742289868</v>
      </c>
      <c r="AA364" s="126">
        <f t="shared" si="69"/>
        <v>2.6201497458300351</v>
      </c>
      <c r="AB364" s="126">
        <f t="shared" si="70"/>
        <v>1.7374191655403464</v>
      </c>
    </row>
    <row r="365" spans="1:28">
      <c r="A365">
        <v>364</v>
      </c>
      <c r="B365" s="119">
        <v>0.49931412894375854</v>
      </c>
      <c r="F365">
        <v>0.51775643956713924</v>
      </c>
      <c r="G365">
        <v>0.85108977290047239</v>
      </c>
      <c r="H365">
        <v>0.29553421734491697</v>
      </c>
      <c r="I365">
        <v>0.62886755067825029</v>
      </c>
      <c r="J365">
        <v>0.96220088401158355</v>
      </c>
      <c r="K365">
        <v>0.11034903215973174</v>
      </c>
      <c r="L365">
        <v>0.44368236549306511</v>
      </c>
      <c r="M365">
        <v>0.77701569882639843</v>
      </c>
      <c r="N365">
        <v>0.22146014327084282</v>
      </c>
      <c r="O365">
        <v>0.55479347660417622</v>
      </c>
      <c r="R365">
        <v>2.5</v>
      </c>
      <c r="S365" s="126">
        <f t="shared" si="61"/>
        <v>2.4549504221701492</v>
      </c>
      <c r="T365" s="126">
        <f t="shared" si="62"/>
        <v>3.2543002392403495</v>
      </c>
      <c r="U365" s="126">
        <f t="shared" si="63"/>
        <v>2.3541832891791179</v>
      </c>
      <c r="V365" s="126">
        <f t="shared" si="64"/>
        <v>2.6161799910324133</v>
      </c>
      <c r="W365" s="126">
        <f t="shared" si="65"/>
        <v>3.9421387761637581</v>
      </c>
      <c r="X365" s="126">
        <f t="shared" si="66"/>
        <v>2.1329352523418539</v>
      </c>
      <c r="Y365" s="126">
        <f t="shared" si="67"/>
        <v>2.1169164027504124</v>
      </c>
      <c r="Z365" s="126">
        <f t="shared" si="68"/>
        <v>2.8543135445660806</v>
      </c>
      <c r="AA365" s="126">
        <f t="shared" si="69"/>
        <v>1.9634601397405675</v>
      </c>
      <c r="AB365" s="126">
        <f t="shared" si="70"/>
        <v>2.2622047489728159</v>
      </c>
    </row>
    <row r="366" spans="1:28">
      <c r="A366">
        <v>365</v>
      </c>
      <c r="B366" s="119">
        <v>0.83264746227709174</v>
      </c>
      <c r="F366">
        <v>0.88812680993750948</v>
      </c>
      <c r="G366">
        <v>0.33257125438195401</v>
      </c>
      <c r="H366">
        <v>0.66590458771528738</v>
      </c>
      <c r="I366">
        <v>0.99923792104862064</v>
      </c>
      <c r="J366">
        <v>1.066910531931108E-3</v>
      </c>
      <c r="K366">
        <v>0.3344002438652644</v>
      </c>
      <c r="L366">
        <v>0.66773357719859783</v>
      </c>
      <c r="M366">
        <v>0.11217802164304222</v>
      </c>
      <c r="N366">
        <v>0.44551135497637551</v>
      </c>
      <c r="O366">
        <v>0.77884468830970888</v>
      </c>
      <c r="R366">
        <v>2.5</v>
      </c>
      <c r="S366" s="126">
        <f t="shared" si="61"/>
        <v>3.42170092367222</v>
      </c>
      <c r="T366" s="126">
        <f t="shared" si="62"/>
        <v>2.5244809442984018</v>
      </c>
      <c r="U366" s="126">
        <f t="shared" si="63"/>
        <v>2.784067496231275</v>
      </c>
      <c r="V366" s="126">
        <f t="shared" si="64"/>
        <v>5.175652157700406</v>
      </c>
      <c r="W366" s="126">
        <f t="shared" si="65"/>
        <v>1.2300943784984009</v>
      </c>
      <c r="X366" s="126">
        <f t="shared" si="66"/>
        <v>1.4271276834855842</v>
      </c>
      <c r="Y366" s="126">
        <f t="shared" si="67"/>
        <v>2.2366874343694518</v>
      </c>
      <c r="Z366" s="126">
        <f t="shared" si="68"/>
        <v>1.2837328146257891</v>
      </c>
      <c r="AA366" s="126">
        <f t="shared" si="69"/>
        <v>1.6939255159216562</v>
      </c>
      <c r="AB366" s="126">
        <f t="shared" si="70"/>
        <v>2.6467859548466572</v>
      </c>
    </row>
    <row r="367" spans="1:28">
      <c r="A367">
        <v>366</v>
      </c>
      <c r="B367" s="119">
        <v>0.27709190672153633</v>
      </c>
      <c r="F367">
        <v>0.2232891327541533</v>
      </c>
      <c r="G367">
        <v>0.55662246608748678</v>
      </c>
      <c r="H367">
        <v>0.88995579942082004</v>
      </c>
      <c r="I367">
        <v>3.8103947568968143E-2</v>
      </c>
      <c r="J367">
        <v>0.37143728090230144</v>
      </c>
      <c r="K367">
        <v>0.70477061423563492</v>
      </c>
      <c r="L367">
        <v>0.14921505868007923</v>
      </c>
      <c r="M367">
        <v>0.48254839201341254</v>
      </c>
      <c r="N367">
        <v>0.81588172534674586</v>
      </c>
      <c r="O367">
        <v>0.26032616979119033</v>
      </c>
      <c r="R367">
        <v>2.5</v>
      </c>
      <c r="S367" s="126">
        <f t="shared" si="61"/>
        <v>1.7904458169907131</v>
      </c>
      <c r="T367" s="126">
        <f t="shared" si="62"/>
        <v>2.1790664203569365</v>
      </c>
      <c r="U367" s="126">
        <f t="shared" si="63"/>
        <v>3.2683727626138595</v>
      </c>
      <c r="V367" s="126">
        <f t="shared" si="64"/>
        <v>1.3419375871276162</v>
      </c>
      <c r="W367" s="126">
        <f t="shared" si="65"/>
        <v>1.5656103990589008</v>
      </c>
      <c r="X367" s="126">
        <f t="shared" si="66"/>
        <v>2.3924869392386148</v>
      </c>
      <c r="Y367" s="126">
        <f t="shared" si="67"/>
        <v>1.506559522410875</v>
      </c>
      <c r="Z367" s="126">
        <f t="shared" si="68"/>
        <v>1.8828321173219533</v>
      </c>
      <c r="AA367" s="126">
        <f t="shared" si="69"/>
        <v>2.8501786310843933</v>
      </c>
      <c r="AB367" s="126">
        <f t="shared" si="70"/>
        <v>2.0644250502913115</v>
      </c>
    </row>
    <row r="368" spans="1:28">
      <c r="A368">
        <v>367</v>
      </c>
      <c r="B368" s="119">
        <v>0.61042524005486964</v>
      </c>
      <c r="F368">
        <v>0.59365950312452376</v>
      </c>
      <c r="G368">
        <v>0.92699283645785702</v>
      </c>
      <c r="H368">
        <v>7.5140984606005184E-2</v>
      </c>
      <c r="I368">
        <v>0.40847431793933847</v>
      </c>
      <c r="J368">
        <v>0.7418076512726719</v>
      </c>
      <c r="K368">
        <v>0.18625209571711626</v>
      </c>
      <c r="L368">
        <v>0.51958542905044969</v>
      </c>
      <c r="M368">
        <v>0.85291876238378295</v>
      </c>
      <c r="N368">
        <v>0.29736320682822737</v>
      </c>
      <c r="O368">
        <v>0.63069654016156085</v>
      </c>
      <c r="R368">
        <v>2.5</v>
      </c>
      <c r="S368" s="126">
        <f t="shared" si="61"/>
        <v>2.6136793074999622</v>
      </c>
      <c r="T368" s="126">
        <f t="shared" si="62"/>
        <v>3.6744195357110856</v>
      </c>
      <c r="U368" s="126">
        <f t="shared" si="63"/>
        <v>1.8219860272597792</v>
      </c>
      <c r="V368" s="126">
        <f t="shared" si="64"/>
        <v>1.8865400429193144</v>
      </c>
      <c r="W368" s="126">
        <f t="shared" si="65"/>
        <v>2.6451385582288713</v>
      </c>
      <c r="X368" s="126">
        <f t="shared" si="66"/>
        <v>1.7556236699757557</v>
      </c>
      <c r="Y368" s="126">
        <f t="shared" si="67"/>
        <v>2.0846124039901821</v>
      </c>
      <c r="Z368" s="126">
        <f t="shared" si="68"/>
        <v>3.0746968685992595</v>
      </c>
      <c r="AA368" s="126">
        <f t="shared" si="69"/>
        <v>2.2682769841254502</v>
      </c>
      <c r="AB368" s="126">
        <f t="shared" si="70"/>
        <v>2.5769981519826413</v>
      </c>
    </row>
    <row r="369" spans="1:28">
      <c r="A369">
        <v>368</v>
      </c>
      <c r="B369" s="119">
        <v>0.9437585733882029</v>
      </c>
      <c r="F369">
        <v>0.96402987349489411</v>
      </c>
      <c r="G369">
        <v>1.3412589544276786E-2</v>
      </c>
      <c r="H369">
        <v>0.34674592287761008</v>
      </c>
      <c r="I369">
        <v>0.68007925621094345</v>
      </c>
      <c r="J369">
        <v>0.1245237006553879</v>
      </c>
      <c r="K369">
        <v>0.45785703398872118</v>
      </c>
      <c r="L369">
        <v>0.79119036732205461</v>
      </c>
      <c r="M369">
        <v>0.23563481176649897</v>
      </c>
      <c r="N369">
        <v>0.56896814509983251</v>
      </c>
      <c r="O369">
        <v>0.90230147843316577</v>
      </c>
      <c r="R369">
        <v>2.5</v>
      </c>
      <c r="S369" s="126">
        <f t="shared" si="61"/>
        <v>3.9024517568793726</v>
      </c>
      <c r="T369" s="126">
        <f t="shared" si="62"/>
        <v>1.2969493282703821</v>
      </c>
      <c r="U369" s="126">
        <f t="shared" si="63"/>
        <v>1.4885033261053844</v>
      </c>
      <c r="V369" s="126">
        <f t="shared" si="64"/>
        <v>2.2957899885644428</v>
      </c>
      <c r="W369" s="126">
        <f t="shared" si="65"/>
        <v>1.3648723693420437</v>
      </c>
      <c r="X369" s="126">
        <f t="shared" si="66"/>
        <v>1.7604204177462641</v>
      </c>
      <c r="Y369" s="126">
        <f t="shared" si="67"/>
        <v>2.715063381188473</v>
      </c>
      <c r="Z369" s="126">
        <f t="shared" si="68"/>
        <v>1.9321201458858088</v>
      </c>
      <c r="AA369" s="126">
        <f t="shared" si="69"/>
        <v>2.2761181688231282</v>
      </c>
      <c r="AB369" s="126">
        <f t="shared" si="70"/>
        <v>3.3736368007574056</v>
      </c>
    </row>
    <row r="370" spans="1:28">
      <c r="A370">
        <v>369</v>
      </c>
      <c r="B370" s="119">
        <v>9.1906721536351155E-2</v>
      </c>
      <c r="F370">
        <v>5.0449626581313821E-2</v>
      </c>
      <c r="G370">
        <v>0.38378295991464711</v>
      </c>
      <c r="H370">
        <v>0.71711629324798065</v>
      </c>
      <c r="I370">
        <v>0.16156073769242491</v>
      </c>
      <c r="J370">
        <v>0.49489407102575822</v>
      </c>
      <c r="K370">
        <v>0.82822740435909159</v>
      </c>
      <c r="L370">
        <v>0.27267184880353601</v>
      </c>
      <c r="M370">
        <v>0.60600518213686949</v>
      </c>
      <c r="N370">
        <v>0.93933851547020275</v>
      </c>
      <c r="O370">
        <v>8.7486663618350863E-2</v>
      </c>
      <c r="R370">
        <v>2.5</v>
      </c>
      <c r="S370" s="126">
        <f t="shared" si="61"/>
        <v>1.0651351183230218</v>
      </c>
      <c r="T370" s="126">
        <f t="shared" si="62"/>
        <v>1.4532862410759817</v>
      </c>
      <c r="U370" s="126">
        <f t="shared" si="63"/>
        <v>2.3658285699240178</v>
      </c>
      <c r="V370" s="126">
        <f t="shared" si="64"/>
        <v>1.535837978529498</v>
      </c>
      <c r="W370" s="126">
        <f t="shared" si="65"/>
        <v>1.9230829801307727</v>
      </c>
      <c r="X370" s="126">
        <f t="shared" si="66"/>
        <v>2.9095060429829025</v>
      </c>
      <c r="Y370" s="126">
        <f t="shared" si="67"/>
        <v>2.125245611306541</v>
      </c>
      <c r="Z370" s="126">
        <f t="shared" si="68"/>
        <v>2.4516828260680632</v>
      </c>
      <c r="AA370" s="126">
        <f t="shared" si="69"/>
        <v>3.6717600464747164</v>
      </c>
      <c r="AB370" s="126">
        <f t="shared" si="70"/>
        <v>1.8883989348633656</v>
      </c>
    </row>
    <row r="371" spans="1:28">
      <c r="A371">
        <v>370</v>
      </c>
      <c r="B371" s="119">
        <v>0.42524005486968447</v>
      </c>
      <c r="F371">
        <v>0.42081999695168415</v>
      </c>
      <c r="G371">
        <v>0.75415333028501763</v>
      </c>
      <c r="H371">
        <v>0.19859777472946194</v>
      </c>
      <c r="I371">
        <v>0.53193110806279531</v>
      </c>
      <c r="J371">
        <v>0.86526444139612857</v>
      </c>
      <c r="K371">
        <v>0.30970888584057304</v>
      </c>
      <c r="L371">
        <v>0.64304221917390647</v>
      </c>
      <c r="M371">
        <v>0.97637555250723973</v>
      </c>
      <c r="N371">
        <v>2.5758268556622464E-2</v>
      </c>
      <c r="O371">
        <v>0.35909160188995576</v>
      </c>
      <c r="R371">
        <v>2.5</v>
      </c>
      <c r="S371" s="126">
        <f t="shared" si="61"/>
        <v>2.2534355558927328</v>
      </c>
      <c r="T371" s="126">
        <f t="shared" si="62"/>
        <v>2.8614515168488253</v>
      </c>
      <c r="U371" s="126">
        <f t="shared" si="63"/>
        <v>1.9015839130436216</v>
      </c>
      <c r="V371" s="126">
        <f t="shared" si="64"/>
        <v>2.1835506724272218</v>
      </c>
      <c r="W371" s="126">
        <f t="shared" si="65"/>
        <v>3.1699912524767724</v>
      </c>
      <c r="X371" s="126">
        <f t="shared" si="66"/>
        <v>2.345306938535785</v>
      </c>
      <c r="Y371" s="126">
        <f t="shared" si="67"/>
        <v>2.6428524288438124</v>
      </c>
      <c r="Z371" s="126">
        <f t="shared" si="68"/>
        <v>4.1264796575210543</v>
      </c>
      <c r="AA371" s="126">
        <f t="shared" si="69"/>
        <v>1.6296853028228737</v>
      </c>
      <c r="AB371" s="126">
        <f t="shared" si="70"/>
        <v>1.6831468830489573</v>
      </c>
    </row>
    <row r="372" spans="1:28">
      <c r="A372">
        <v>371</v>
      </c>
      <c r="B372" s="119">
        <v>0.75857338820301778</v>
      </c>
      <c r="F372">
        <v>0.69242493522328918</v>
      </c>
      <c r="G372">
        <v>0.13686937966773355</v>
      </c>
      <c r="H372">
        <v>0.47020271300106686</v>
      </c>
      <c r="I372">
        <v>0.80353604633440023</v>
      </c>
      <c r="J372">
        <v>0.24798049077884465</v>
      </c>
      <c r="K372">
        <v>0.58131382411217813</v>
      </c>
      <c r="L372">
        <v>0.91464715744551139</v>
      </c>
      <c r="M372">
        <v>6.2795305593659506E-2</v>
      </c>
      <c r="N372">
        <v>0.39612863892699279</v>
      </c>
      <c r="O372">
        <v>0.72946197226032627</v>
      </c>
      <c r="R372">
        <v>2.5</v>
      </c>
      <c r="S372" s="126">
        <f t="shared" si="61"/>
        <v>2.8328838182729719</v>
      </c>
      <c r="T372" s="126">
        <f t="shared" si="62"/>
        <v>1.6827969144575337</v>
      </c>
      <c r="U372" s="126">
        <f t="shared" si="63"/>
        <v>1.9458388702515399</v>
      </c>
      <c r="V372" s="126">
        <f t="shared" si="64"/>
        <v>2.8443488962350183</v>
      </c>
      <c r="W372" s="126">
        <f t="shared" si="65"/>
        <v>2.029725041844697</v>
      </c>
      <c r="X372" s="126">
        <f t="shared" si="66"/>
        <v>2.3511621491123718</v>
      </c>
      <c r="Y372" s="126">
        <f t="shared" si="67"/>
        <v>3.4733479077685221</v>
      </c>
      <c r="Z372" s="126">
        <f t="shared" si="68"/>
        <v>1.6440663231186208</v>
      </c>
      <c r="AA372" s="126">
        <f t="shared" si="69"/>
        <v>1.7707988936539318</v>
      </c>
      <c r="AB372" s="126">
        <f t="shared" si="70"/>
        <v>2.5558376691396609</v>
      </c>
    </row>
    <row r="373" spans="1:28">
      <c r="A373">
        <v>372</v>
      </c>
      <c r="B373" s="119">
        <v>0.20301783264746229</v>
      </c>
      <c r="F373">
        <v>0.17390641670477058</v>
      </c>
      <c r="G373">
        <v>0.50723975003810406</v>
      </c>
      <c r="H373">
        <v>0.84057308337143721</v>
      </c>
      <c r="I373">
        <v>0.28501752781588169</v>
      </c>
      <c r="J373">
        <v>0.61835086114921511</v>
      </c>
      <c r="K373">
        <v>0.95168419448254837</v>
      </c>
      <c r="L373">
        <v>9.9832342630696541E-2</v>
      </c>
      <c r="M373">
        <v>0.43316567596402983</v>
      </c>
      <c r="N373">
        <v>0.76649900929736325</v>
      </c>
      <c r="O373">
        <v>0.21094345374180762</v>
      </c>
      <c r="R373">
        <v>2.5</v>
      </c>
      <c r="S373" s="126">
        <f t="shared" si="61"/>
        <v>1.6438721035046</v>
      </c>
      <c r="T373" s="126">
        <f t="shared" si="62"/>
        <v>2.0029063251721952</v>
      </c>
      <c r="U373" s="126">
        <f t="shared" si="63"/>
        <v>2.99056199114206</v>
      </c>
      <c r="V373" s="126">
        <f t="shared" si="64"/>
        <v>2.1962976032691137</v>
      </c>
      <c r="W373" s="126">
        <f t="shared" si="65"/>
        <v>2.5139771229365371</v>
      </c>
      <c r="X373" s="126">
        <f t="shared" si="66"/>
        <v>3.7955813363059865</v>
      </c>
      <c r="Y373" s="126">
        <f t="shared" si="67"/>
        <v>2.011574456151906</v>
      </c>
      <c r="Z373" s="126">
        <f t="shared" si="68"/>
        <v>2.0339142278376419</v>
      </c>
      <c r="AA373" s="126">
        <f t="shared" si="69"/>
        <v>2.7839039322086743</v>
      </c>
      <c r="AB373" s="126">
        <f t="shared" si="70"/>
        <v>1.8984778185382312</v>
      </c>
    </row>
    <row r="374" spans="1:28">
      <c r="A374">
        <v>373</v>
      </c>
      <c r="B374" s="119">
        <v>0.53635116598079546</v>
      </c>
      <c r="F374">
        <v>0.54427678707514104</v>
      </c>
      <c r="G374">
        <v>0.8776101204084743</v>
      </c>
      <c r="H374">
        <v>0.32205456485291872</v>
      </c>
      <c r="I374">
        <v>0.6553878981862522</v>
      </c>
      <c r="J374">
        <v>0.98872123151958546</v>
      </c>
      <c r="K374">
        <v>5.1821368693796685E-3</v>
      </c>
      <c r="L374">
        <v>0.33851547020271294</v>
      </c>
      <c r="M374">
        <v>0.67184880353604637</v>
      </c>
      <c r="N374">
        <v>0.11629324798049077</v>
      </c>
      <c r="O374">
        <v>0.44962658131382405</v>
      </c>
      <c r="R374">
        <v>2.5</v>
      </c>
      <c r="S374" s="126">
        <f t="shared" si="61"/>
        <v>2.5099569804622965</v>
      </c>
      <c r="T374" s="126">
        <f t="shared" si="62"/>
        <v>3.3825753484360632</v>
      </c>
      <c r="U374" s="126">
        <f t="shared" si="63"/>
        <v>2.480784194866958</v>
      </c>
      <c r="V374" s="126">
        <f t="shared" si="64"/>
        <v>2.7384137799610069</v>
      </c>
      <c r="W374" s="126">
        <f t="shared" si="65"/>
        <v>4.4192963255431241</v>
      </c>
      <c r="X374" s="126">
        <f t="shared" si="66"/>
        <v>1.2685463315727654</v>
      </c>
      <c r="Y374" s="126">
        <f t="shared" si="67"/>
        <v>1.4557547141195006</v>
      </c>
      <c r="Z374" s="126">
        <f t="shared" si="68"/>
        <v>2.2604455741836751</v>
      </c>
      <c r="AA374" s="126">
        <f t="shared" si="69"/>
        <v>1.3132449829541812</v>
      </c>
      <c r="AB374" s="126">
        <f t="shared" si="70"/>
        <v>1.7173406928813251</v>
      </c>
    </row>
    <row r="375" spans="1:28">
      <c r="A375">
        <v>374</v>
      </c>
      <c r="B375" s="119">
        <v>0.86968449931412872</v>
      </c>
      <c r="F375">
        <v>0.78295991464715742</v>
      </c>
      <c r="G375">
        <v>0.22740435909160187</v>
      </c>
      <c r="H375">
        <v>0.56073769242493532</v>
      </c>
      <c r="I375">
        <v>0.89407102575826858</v>
      </c>
      <c r="J375">
        <v>4.2219173906416704E-2</v>
      </c>
      <c r="K375">
        <v>0.37555250723974998</v>
      </c>
      <c r="L375">
        <v>0.70888584057308346</v>
      </c>
      <c r="M375">
        <v>0.1533302850175278</v>
      </c>
      <c r="N375">
        <v>0.48666361835086108</v>
      </c>
      <c r="O375">
        <v>0.8199969516841944</v>
      </c>
      <c r="R375">
        <v>2.5</v>
      </c>
      <c r="S375" s="126">
        <f t="shared" si="61"/>
        <v>3.0634096856400976</v>
      </c>
      <c r="T375" s="126">
        <f t="shared" si="62"/>
        <v>2.0849232753892357</v>
      </c>
      <c r="U375" s="126">
        <f t="shared" si="63"/>
        <v>2.3356721404750327</v>
      </c>
      <c r="V375" s="126">
        <f t="shared" si="64"/>
        <v>3.3653766566817245</v>
      </c>
      <c r="W375" s="126">
        <f t="shared" si="65"/>
        <v>1.4299776719092161</v>
      </c>
      <c r="X375" s="126">
        <f t="shared" si="66"/>
        <v>1.6188219686441314</v>
      </c>
      <c r="Y375" s="126">
        <f t="shared" si="67"/>
        <v>2.429096861401618</v>
      </c>
      <c r="Z375" s="126">
        <f t="shared" si="68"/>
        <v>1.5394361990338024</v>
      </c>
      <c r="AA375" s="126">
        <f t="shared" si="69"/>
        <v>1.907870407171093</v>
      </c>
      <c r="AB375" s="126">
        <f t="shared" si="70"/>
        <v>2.875606649399761</v>
      </c>
    </row>
    <row r="376" spans="1:28">
      <c r="A376">
        <v>375</v>
      </c>
      <c r="B376" s="119">
        <v>0.31412894375857336</v>
      </c>
      <c r="F376">
        <v>0.26444139612863887</v>
      </c>
      <c r="G376">
        <v>0.5977747294619723</v>
      </c>
      <c r="H376">
        <v>0.93110806279530556</v>
      </c>
      <c r="I376">
        <v>7.9256210943453739E-2</v>
      </c>
      <c r="J376">
        <v>0.41258954427678701</v>
      </c>
      <c r="K376">
        <v>0.74592287761012044</v>
      </c>
      <c r="L376">
        <v>0.19036732205456483</v>
      </c>
      <c r="M376">
        <v>0.52370065538789823</v>
      </c>
      <c r="N376">
        <v>0.85703398872123149</v>
      </c>
      <c r="O376">
        <v>0.30147843316567591</v>
      </c>
      <c r="R376">
        <v>2.5</v>
      </c>
      <c r="S376" s="126">
        <f t="shared" si="61"/>
        <v>1.898840682846463</v>
      </c>
      <c r="T376" s="126">
        <f t="shared" si="62"/>
        <v>2.3202981798423759</v>
      </c>
      <c r="U376" s="126">
        <f t="shared" si="63"/>
        <v>3.5519903795247676</v>
      </c>
      <c r="V376" s="126">
        <f t="shared" si="64"/>
        <v>1.7839136513330884</v>
      </c>
      <c r="W376" s="126">
        <f t="shared" si="65"/>
        <v>1.8761334332903883</v>
      </c>
      <c r="X376" s="126">
        <f t="shared" si="66"/>
        <v>2.6504541786300773</v>
      </c>
      <c r="Y376" s="126">
        <f t="shared" si="67"/>
        <v>1.770872638942049</v>
      </c>
      <c r="Z376" s="126">
        <f t="shared" si="68"/>
        <v>2.1007972105099402</v>
      </c>
      <c r="AA376" s="126">
        <f t="shared" si="69"/>
        <v>3.0977224420185125</v>
      </c>
      <c r="AB376" s="126">
        <f t="shared" si="70"/>
        <v>2.2896204570308267</v>
      </c>
    </row>
    <row r="377" spans="1:28">
      <c r="A377">
        <v>376</v>
      </c>
      <c r="B377" s="119">
        <v>0.64746227709190662</v>
      </c>
      <c r="F377">
        <v>0.63481176649900939</v>
      </c>
      <c r="G377">
        <v>0.96814509983234265</v>
      </c>
      <c r="H377">
        <v>1.7527815881725348E-2</v>
      </c>
      <c r="I377">
        <v>0.35086114921505862</v>
      </c>
      <c r="J377">
        <v>0.68419448254839199</v>
      </c>
      <c r="K377">
        <v>0.12863892699283644</v>
      </c>
      <c r="L377">
        <v>0.46197226032616973</v>
      </c>
      <c r="M377">
        <v>0.79530559365950315</v>
      </c>
      <c r="N377">
        <v>0.23975003810394754</v>
      </c>
      <c r="O377">
        <v>0.57308337143728105</v>
      </c>
      <c r="R377">
        <v>2.5</v>
      </c>
      <c r="S377" s="126">
        <f t="shared" si="61"/>
        <v>2.7024739662722865</v>
      </c>
      <c r="T377" s="126">
        <f t="shared" si="62"/>
        <v>4.0493393511414997</v>
      </c>
      <c r="U377" s="126">
        <f t="shared" si="63"/>
        <v>1.4584819013290948</v>
      </c>
      <c r="V377" s="126">
        <f t="shared" si="64"/>
        <v>1.578864862825146</v>
      </c>
      <c r="W377" s="126">
        <f t="shared" si="65"/>
        <v>2.3507239722120365</v>
      </c>
      <c r="X377" s="126">
        <f t="shared" si="66"/>
        <v>1.4088278142212329</v>
      </c>
      <c r="Y377" s="126">
        <f t="shared" si="67"/>
        <v>1.7910637616227827</v>
      </c>
      <c r="Z377" s="126">
        <f t="shared" si="68"/>
        <v>2.7423510668833346</v>
      </c>
      <c r="AA377" s="126">
        <f t="shared" si="69"/>
        <v>1.9568113520630503</v>
      </c>
      <c r="AB377" s="126">
        <f t="shared" si="70"/>
        <v>2.2971734861807134</v>
      </c>
    </row>
    <row r="378" spans="1:28">
      <c r="A378">
        <v>377</v>
      </c>
      <c r="B378" s="119">
        <v>0.98079561042523988</v>
      </c>
      <c r="F378">
        <v>0.90641670477061431</v>
      </c>
      <c r="G378">
        <v>5.4564852918762383E-2</v>
      </c>
      <c r="H378">
        <v>0.38789818625209566</v>
      </c>
      <c r="I378">
        <v>0.72123151958542919</v>
      </c>
      <c r="J378">
        <v>0.16567596402987347</v>
      </c>
      <c r="K378">
        <v>0.49900929736320676</v>
      </c>
      <c r="L378">
        <v>0.83234263069654013</v>
      </c>
      <c r="M378">
        <v>0.27678707514098455</v>
      </c>
      <c r="N378">
        <v>0.61012040847431803</v>
      </c>
      <c r="O378">
        <v>0.94345374180765129</v>
      </c>
      <c r="R378">
        <v>2.5</v>
      </c>
      <c r="S378" s="126">
        <f t="shared" si="61"/>
        <v>3.5061448621693767</v>
      </c>
      <c r="T378" s="126">
        <f t="shared" si="62"/>
        <v>1.602489620851296</v>
      </c>
      <c r="U378" s="126">
        <f t="shared" si="63"/>
        <v>1.7322346072232104</v>
      </c>
      <c r="V378" s="126">
        <f t="shared" si="64"/>
        <v>2.516096946552719</v>
      </c>
      <c r="W378" s="126">
        <f t="shared" si="65"/>
        <v>1.6251116840150654</v>
      </c>
      <c r="X378" s="126">
        <f t="shared" si="66"/>
        <v>1.9764603252714585</v>
      </c>
      <c r="Y378" s="126">
        <f t="shared" si="67"/>
        <v>2.9497614793396831</v>
      </c>
      <c r="Z378" s="126">
        <f t="shared" si="68"/>
        <v>2.1556554244133914</v>
      </c>
      <c r="AA378" s="126">
        <f t="shared" si="69"/>
        <v>2.4758010507803023</v>
      </c>
      <c r="AB378" s="126">
        <f t="shared" si="70"/>
        <v>3.7129151824628552</v>
      </c>
    </row>
    <row r="379" spans="1:28">
      <c r="A379">
        <v>378</v>
      </c>
      <c r="B379" s="119">
        <v>3.017832647462277E-2</v>
      </c>
      <c r="F379">
        <v>9.1601889955799418E-2</v>
      </c>
      <c r="G379">
        <v>0.42493522328913269</v>
      </c>
      <c r="H379">
        <v>0.75826855662246617</v>
      </c>
      <c r="I379">
        <v>0.20271300106691051</v>
      </c>
      <c r="J379">
        <v>0.53604633440024385</v>
      </c>
      <c r="K379">
        <v>0.86937966773357711</v>
      </c>
      <c r="L379">
        <v>0.31382411217802159</v>
      </c>
      <c r="M379">
        <v>0.64715744551135501</v>
      </c>
      <c r="N379">
        <v>0.98049077884468827</v>
      </c>
      <c r="O379">
        <v>2.9873494894071026E-2</v>
      </c>
      <c r="R379">
        <v>2.5</v>
      </c>
      <c r="S379" s="126">
        <f t="shared" si="61"/>
        <v>1.320455659939979</v>
      </c>
      <c r="T379" s="126">
        <f t="shared" si="62"/>
        <v>1.6692672343666979</v>
      </c>
      <c r="U379" s="126">
        <f t="shared" si="63"/>
        <v>2.5786746774616729</v>
      </c>
      <c r="V379" s="126">
        <f t="shared" si="64"/>
        <v>1.7715606579550602</v>
      </c>
      <c r="W379" s="126">
        <f t="shared" si="65"/>
        <v>2.1267401272738948</v>
      </c>
      <c r="X379" s="126">
        <f t="shared" si="66"/>
        <v>3.1572597800335558</v>
      </c>
      <c r="Y379" s="126">
        <f t="shared" si="67"/>
        <v>2.3485055072014211</v>
      </c>
      <c r="Z379" s="126">
        <f t="shared" si="68"/>
        <v>2.6535781413813457</v>
      </c>
      <c r="AA379" s="126">
        <f t="shared" si="69"/>
        <v>4.1977966990066431</v>
      </c>
      <c r="AB379" s="126">
        <f t="shared" si="70"/>
        <v>1.7187253181416802</v>
      </c>
    </row>
    <row r="380" spans="1:28">
      <c r="A380">
        <v>379</v>
      </c>
      <c r="B380" s="119">
        <v>0.36351165980795608</v>
      </c>
      <c r="F380">
        <v>0.3632068282274043</v>
      </c>
      <c r="G380">
        <v>0.69654016156073773</v>
      </c>
      <c r="H380">
        <v>0.14098460600518212</v>
      </c>
      <c r="I380">
        <v>0.4743179393385154</v>
      </c>
      <c r="J380">
        <v>0.80765127267184877</v>
      </c>
      <c r="K380">
        <v>0.25209571711629319</v>
      </c>
      <c r="L380">
        <v>0.58542905044962668</v>
      </c>
      <c r="M380">
        <v>0.91876238378295993</v>
      </c>
      <c r="N380">
        <v>6.6910531931108061E-2</v>
      </c>
      <c r="O380">
        <v>0.40024386526444133</v>
      </c>
      <c r="R380">
        <v>2.5</v>
      </c>
      <c r="S380" s="126">
        <f t="shared" si="61"/>
        <v>2.1296298204572119</v>
      </c>
      <c r="T380" s="126">
        <f t="shared" si="62"/>
        <v>2.656418672066343</v>
      </c>
      <c r="U380" s="126">
        <f t="shared" si="63"/>
        <v>1.6094360367136966</v>
      </c>
      <c r="V380" s="126">
        <f t="shared" si="64"/>
        <v>1.9174964519539941</v>
      </c>
      <c r="W380" s="126">
        <f t="shared" si="65"/>
        <v>2.8424380891338039</v>
      </c>
      <c r="X380" s="126">
        <f t="shared" si="66"/>
        <v>2.0394451601613284</v>
      </c>
      <c r="Y380" s="126">
        <f t="shared" si="67"/>
        <v>2.3647462683202951</v>
      </c>
      <c r="Z380" s="126">
        <f t="shared" si="68"/>
        <v>3.5023254136481561</v>
      </c>
      <c r="AA380" s="126">
        <f t="shared" si="69"/>
        <v>1.6854538346898655</v>
      </c>
      <c r="AB380" s="126">
        <f t="shared" si="70"/>
        <v>1.8003964313240504</v>
      </c>
    </row>
    <row r="381" spans="1:28">
      <c r="A381">
        <v>380</v>
      </c>
      <c r="B381" s="119">
        <v>0.69684499314128934</v>
      </c>
      <c r="F381">
        <v>0.73357719859777482</v>
      </c>
      <c r="G381">
        <v>0.17802164304221915</v>
      </c>
      <c r="H381">
        <v>0.51135497637555261</v>
      </c>
      <c r="I381">
        <v>0.84468830970888575</v>
      </c>
      <c r="J381">
        <v>0.28913275415333023</v>
      </c>
      <c r="K381">
        <v>0.62246608748666366</v>
      </c>
      <c r="L381">
        <v>0.95579942081999691</v>
      </c>
      <c r="M381">
        <v>0.1039475689681451</v>
      </c>
      <c r="N381">
        <v>0.43728090230147837</v>
      </c>
      <c r="O381">
        <v>0.77061423563481179</v>
      </c>
      <c r="R381">
        <v>2.5</v>
      </c>
      <c r="S381" s="126">
        <f t="shared" si="61"/>
        <v>2.9326288564377729</v>
      </c>
      <c r="T381" s="126">
        <f t="shared" si="62"/>
        <v>1.8744334071187772</v>
      </c>
      <c r="U381" s="126">
        <f t="shared" si="63"/>
        <v>2.1272968800261696</v>
      </c>
      <c r="V381" s="126">
        <f t="shared" si="64"/>
        <v>3.0671838274588401</v>
      </c>
      <c r="W381" s="126">
        <f t="shared" si="65"/>
        <v>2.2447711711155551</v>
      </c>
      <c r="X381" s="126">
        <f t="shared" si="66"/>
        <v>2.5472574004617687</v>
      </c>
      <c r="Y381" s="126">
        <f t="shared" si="67"/>
        <v>3.8473496056123855</v>
      </c>
      <c r="Z381" s="126">
        <f t="shared" si="68"/>
        <v>2.056673361142034</v>
      </c>
      <c r="AA381" s="126">
        <f t="shared" si="69"/>
        <v>2.0652029816455082</v>
      </c>
      <c r="AB381" s="126">
        <f t="shared" si="70"/>
        <v>2.8107690386723099</v>
      </c>
    </row>
    <row r="382" spans="1:28">
      <c r="A382">
        <v>381</v>
      </c>
      <c r="B382" s="119">
        <v>0.1412894375857339</v>
      </c>
      <c r="F382">
        <v>0.21505868007925619</v>
      </c>
      <c r="G382">
        <v>0.54839201341258959</v>
      </c>
      <c r="H382">
        <v>0.88172534674592284</v>
      </c>
      <c r="I382">
        <v>0.32616979119036726</v>
      </c>
      <c r="J382">
        <v>0.65950312452370075</v>
      </c>
      <c r="K382">
        <v>0.992836457857034</v>
      </c>
      <c r="L382">
        <v>9.2973632068282276E-3</v>
      </c>
      <c r="M382">
        <v>0.34263069654016154</v>
      </c>
      <c r="N382">
        <v>0.67596402987349491</v>
      </c>
      <c r="O382">
        <v>0.12040847431793934</v>
      </c>
      <c r="R382">
        <v>2.5</v>
      </c>
      <c r="S382" s="126">
        <f t="shared" si="61"/>
        <v>1.7674677949875592</v>
      </c>
      <c r="T382" s="126">
        <f t="shared" si="62"/>
        <v>2.1503522674641018</v>
      </c>
      <c r="U382" s="126">
        <f t="shared" si="63"/>
        <v>3.2187738678701212</v>
      </c>
      <c r="V382" s="126">
        <f t="shared" si="64"/>
        <v>2.4078989191707749</v>
      </c>
      <c r="W382" s="126">
        <f t="shared" si="65"/>
        <v>2.711018857552538</v>
      </c>
      <c r="X382" s="126">
        <f t="shared" si="66"/>
        <v>4.5441846462160438</v>
      </c>
      <c r="Y382" s="126">
        <f t="shared" si="67"/>
        <v>1.5044203292859217</v>
      </c>
      <c r="Z382" s="126">
        <f t="shared" si="68"/>
        <v>1.5835625802127291</v>
      </c>
      <c r="AA382" s="126">
        <f t="shared" si="69"/>
        <v>2.3340996173967592</v>
      </c>
      <c r="AB382" s="126">
        <f t="shared" si="70"/>
        <v>1.3673989927334422</v>
      </c>
    </row>
    <row r="383" spans="1:28">
      <c r="A383">
        <v>382</v>
      </c>
      <c r="B383" s="119">
        <v>0.47462277091906718</v>
      </c>
      <c r="F383">
        <v>0.45374180765127264</v>
      </c>
      <c r="G383">
        <v>0.78707514098460596</v>
      </c>
      <c r="H383">
        <v>0.23151958542905041</v>
      </c>
      <c r="I383">
        <v>0.56485291876238386</v>
      </c>
      <c r="J383">
        <v>0.89818625209571712</v>
      </c>
      <c r="K383">
        <v>4.6334400243865266E-2</v>
      </c>
      <c r="L383">
        <v>0.37966773357719857</v>
      </c>
      <c r="M383">
        <v>0.713001066910532</v>
      </c>
      <c r="N383">
        <v>0.15744551135497634</v>
      </c>
      <c r="O383">
        <v>0.49077884468830968</v>
      </c>
      <c r="R383">
        <v>2.5</v>
      </c>
      <c r="S383" s="126">
        <f t="shared" si="61"/>
        <v>2.3223748340117027</v>
      </c>
      <c r="T383" s="126">
        <f t="shared" si="62"/>
        <v>2.985752580671603</v>
      </c>
      <c r="U383" s="126">
        <f t="shared" si="63"/>
        <v>2.0570858641515271</v>
      </c>
      <c r="V383" s="126">
        <f t="shared" si="64"/>
        <v>2.3302961388575518</v>
      </c>
      <c r="W383" s="126">
        <f t="shared" si="65"/>
        <v>3.3814896392134988</v>
      </c>
      <c r="X383" s="126">
        <f t="shared" si="66"/>
        <v>1.4743755294175482</v>
      </c>
      <c r="Y383" s="126">
        <f t="shared" si="67"/>
        <v>1.6500681690402317</v>
      </c>
      <c r="Z383" s="126">
        <f t="shared" si="68"/>
        <v>2.4547323422231138</v>
      </c>
      <c r="AA383" s="126">
        <f t="shared" si="69"/>
        <v>1.5665419337975728</v>
      </c>
      <c r="AB383" s="126">
        <f t="shared" si="70"/>
        <v>1.930005283739421</v>
      </c>
    </row>
    <row r="384" spans="1:28">
      <c r="A384">
        <v>383</v>
      </c>
      <c r="B384" s="119">
        <v>0.80795610425240039</v>
      </c>
      <c r="F384">
        <v>0.82411217802164294</v>
      </c>
      <c r="G384">
        <v>0.26855662246608747</v>
      </c>
      <c r="H384">
        <v>0.60188995579942084</v>
      </c>
      <c r="I384">
        <v>0.9352232891327541</v>
      </c>
      <c r="J384">
        <v>8.3371437280902308E-2</v>
      </c>
      <c r="K384">
        <v>0.41670477061423561</v>
      </c>
      <c r="L384">
        <v>0.75003810394756898</v>
      </c>
      <c r="M384">
        <v>0.19448254839201337</v>
      </c>
      <c r="N384">
        <v>0.52781588172534677</v>
      </c>
      <c r="O384">
        <v>0.86114921505868003</v>
      </c>
      <c r="R384">
        <v>2.5</v>
      </c>
      <c r="S384" s="126">
        <f t="shared" si="61"/>
        <v>3.1862404921539129</v>
      </c>
      <c r="T384" s="126">
        <f t="shared" si="62"/>
        <v>2.2540783943332916</v>
      </c>
      <c r="U384" s="126">
        <f t="shared" si="63"/>
        <v>2.5076253037097431</v>
      </c>
      <c r="V384" s="126">
        <f t="shared" si="64"/>
        <v>3.6723455987887652</v>
      </c>
      <c r="W384" s="126">
        <f t="shared" si="65"/>
        <v>1.8669597402351292</v>
      </c>
      <c r="X384" s="126">
        <f t="shared" si="66"/>
        <v>1.9265806073082465</v>
      </c>
      <c r="Y384" s="126">
        <f t="shared" si="67"/>
        <v>2.6864449032982458</v>
      </c>
      <c r="Z384" s="126">
        <f t="shared" si="68"/>
        <v>1.8013730075583601</v>
      </c>
      <c r="AA384" s="126">
        <f t="shared" si="69"/>
        <v>2.1246526063017606</v>
      </c>
      <c r="AB384" s="126">
        <f t="shared" si="70"/>
        <v>3.1248958061489436</v>
      </c>
    </row>
    <row r="385" spans="1:28">
      <c r="A385">
        <v>384</v>
      </c>
      <c r="B385" s="119">
        <v>0.25240054869684497</v>
      </c>
      <c r="F385">
        <v>0.3055936595031245</v>
      </c>
      <c r="G385">
        <v>0.63892699283645793</v>
      </c>
      <c r="H385">
        <v>0.97226032616979119</v>
      </c>
      <c r="I385">
        <v>2.1643042219173906E-2</v>
      </c>
      <c r="J385">
        <v>0.35497637555250722</v>
      </c>
      <c r="K385">
        <v>0.68830970888584053</v>
      </c>
      <c r="L385">
        <v>0.13275415333028498</v>
      </c>
      <c r="M385">
        <v>0.46608748666361832</v>
      </c>
      <c r="N385">
        <v>0.79942081999695169</v>
      </c>
      <c r="O385">
        <v>0.24386526444139608</v>
      </c>
      <c r="R385">
        <v>2.5</v>
      </c>
      <c r="S385" s="126">
        <f t="shared" si="61"/>
        <v>1.9989161371697426</v>
      </c>
      <c r="T385" s="126">
        <f t="shared" si="62"/>
        <v>2.4596751057418076</v>
      </c>
      <c r="U385" s="126">
        <f t="shared" si="63"/>
        <v>3.9775372426484576</v>
      </c>
      <c r="V385" s="126">
        <f t="shared" si="64"/>
        <v>1.4939672057789273</v>
      </c>
      <c r="W385" s="126">
        <f t="shared" si="65"/>
        <v>1.6058361153272964</v>
      </c>
      <c r="X385" s="126">
        <f t="shared" si="66"/>
        <v>2.3738509587847956</v>
      </c>
      <c r="Y385" s="126">
        <f t="shared" si="67"/>
        <v>1.4364381055335957</v>
      </c>
      <c r="Z385" s="126">
        <f t="shared" si="68"/>
        <v>1.813483575585046</v>
      </c>
      <c r="AA385" s="126">
        <f t="shared" si="69"/>
        <v>2.7656486302092356</v>
      </c>
      <c r="AB385" s="126">
        <f t="shared" si="70"/>
        <v>1.9793947906565164</v>
      </c>
    </row>
    <row r="386" spans="1:28">
      <c r="A386">
        <v>385</v>
      </c>
      <c r="B386" s="119">
        <v>0.58573388203017829</v>
      </c>
      <c r="F386">
        <v>0.57719859777472959</v>
      </c>
      <c r="G386">
        <v>0.91053193110806285</v>
      </c>
      <c r="H386">
        <v>5.8680079256210944E-2</v>
      </c>
      <c r="I386">
        <v>0.39201341258954425</v>
      </c>
      <c r="J386">
        <v>0.72534674592287773</v>
      </c>
      <c r="K386">
        <v>0.16979119036732201</v>
      </c>
      <c r="L386">
        <v>0.50312452370065541</v>
      </c>
      <c r="M386">
        <v>0.83645785703398867</v>
      </c>
      <c r="N386">
        <v>0.28090230147843315</v>
      </c>
      <c r="O386">
        <v>0.61423563481176657</v>
      </c>
      <c r="R386">
        <v>2.5</v>
      </c>
      <c r="S386" s="126">
        <f t="shared" si="61"/>
        <v>2.578842345786696</v>
      </c>
      <c r="T386" s="126">
        <f t="shared" si="62"/>
        <v>3.5664160469024573</v>
      </c>
      <c r="U386" s="126">
        <f t="shared" si="63"/>
        <v>1.6626120055170286</v>
      </c>
      <c r="V386" s="126">
        <f t="shared" si="64"/>
        <v>1.7712990018004726</v>
      </c>
      <c r="W386" s="126">
        <f t="shared" si="65"/>
        <v>2.5458722542909711</v>
      </c>
      <c r="X386" s="126">
        <f t="shared" si="66"/>
        <v>1.6536064741791097</v>
      </c>
      <c r="Y386" s="126">
        <f t="shared" si="67"/>
        <v>1.9992899696102877</v>
      </c>
      <c r="Z386" s="126">
        <f t="shared" si="68"/>
        <v>2.9748776410738862</v>
      </c>
      <c r="AA386" s="126">
        <f t="shared" si="69"/>
        <v>2.178382378448271</v>
      </c>
      <c r="AB386" s="126">
        <f t="shared" si="70"/>
        <v>2.4960844101468096</v>
      </c>
    </row>
    <row r="387" spans="1:28">
      <c r="A387">
        <v>386</v>
      </c>
      <c r="B387" s="119">
        <v>0.91906721536351155</v>
      </c>
      <c r="F387">
        <v>0.94756896814509983</v>
      </c>
      <c r="G387">
        <v>9.5717116293247986E-2</v>
      </c>
      <c r="H387">
        <v>0.42905044962658129</v>
      </c>
      <c r="I387">
        <v>0.76238378295991471</v>
      </c>
      <c r="J387">
        <v>0.20682822740435905</v>
      </c>
      <c r="K387">
        <v>0.54016156073769239</v>
      </c>
      <c r="L387">
        <v>0.87349489407102565</v>
      </c>
      <c r="M387">
        <v>0.31793933851547018</v>
      </c>
      <c r="N387">
        <v>0.65127267184880355</v>
      </c>
      <c r="O387">
        <v>0.98460600518213681</v>
      </c>
      <c r="R387">
        <v>2.5</v>
      </c>
      <c r="S387" s="126">
        <f t="shared" si="61"/>
        <v>3.7558269118888523</v>
      </c>
      <c r="T387" s="126">
        <f t="shared" si="62"/>
        <v>1.9719301956822208</v>
      </c>
      <c r="U387" s="126">
        <f t="shared" si="63"/>
        <v>2.0053517804153427</v>
      </c>
      <c r="V387" s="126">
        <f t="shared" si="64"/>
        <v>2.7585174359370961</v>
      </c>
      <c r="W387" s="126">
        <f t="shared" si="65"/>
        <v>1.8739040921609313</v>
      </c>
      <c r="X387" s="126">
        <f t="shared" si="66"/>
        <v>2.1867250866443149</v>
      </c>
      <c r="Y387" s="126">
        <f t="shared" si="67"/>
        <v>3.2035782475664112</v>
      </c>
      <c r="Z387" s="126">
        <f t="shared" si="68"/>
        <v>2.3813287105559366</v>
      </c>
      <c r="AA387" s="126">
        <f t="shared" si="69"/>
        <v>2.6792314240708248</v>
      </c>
      <c r="AB387" s="126">
        <f t="shared" si="70"/>
        <v>4.2897139618206523</v>
      </c>
    </row>
    <row r="388" spans="1:28">
      <c r="A388">
        <v>387</v>
      </c>
      <c r="B388" s="119">
        <v>6.7215363511659798E-2</v>
      </c>
      <c r="F388">
        <v>3.3988721231519588E-2</v>
      </c>
      <c r="G388">
        <v>0.3673220545648529</v>
      </c>
      <c r="H388">
        <v>0.70065538789818627</v>
      </c>
      <c r="I388">
        <v>0.14509983234263066</v>
      </c>
      <c r="J388">
        <v>0.478433165675964</v>
      </c>
      <c r="K388">
        <v>0.81176649900929732</v>
      </c>
      <c r="L388">
        <v>0.25621094345374179</v>
      </c>
      <c r="M388">
        <v>0.58954427678707522</v>
      </c>
      <c r="N388">
        <v>0.92287761012040848</v>
      </c>
      <c r="O388">
        <v>7.102575826855663E-2</v>
      </c>
      <c r="R388">
        <v>2.5</v>
      </c>
      <c r="S388" s="126">
        <f t="shared" si="61"/>
        <v>0.91283850316479009</v>
      </c>
      <c r="T388" s="126">
        <f t="shared" si="62"/>
        <v>1.3409505119689722</v>
      </c>
      <c r="U388" s="126">
        <f t="shared" si="63"/>
        <v>2.2697701979481288</v>
      </c>
      <c r="V388" s="126">
        <f t="shared" si="64"/>
        <v>1.4301364180721414</v>
      </c>
      <c r="W388" s="126">
        <f t="shared" si="65"/>
        <v>1.8359035448716237</v>
      </c>
      <c r="X388" s="126">
        <f t="shared" si="66"/>
        <v>2.8139260424404666</v>
      </c>
      <c r="Y388" s="126">
        <f t="shared" si="67"/>
        <v>2.0357039088894497</v>
      </c>
      <c r="Z388" s="126">
        <f t="shared" si="68"/>
        <v>2.3715845470560617</v>
      </c>
      <c r="AA388" s="126">
        <f t="shared" si="69"/>
        <v>3.5287759957777842</v>
      </c>
      <c r="AB388" s="126">
        <f t="shared" si="70"/>
        <v>1.7243237924330883</v>
      </c>
    </row>
    <row r="389" spans="1:28">
      <c r="A389">
        <v>388</v>
      </c>
      <c r="B389" s="119">
        <v>0.40054869684499311</v>
      </c>
      <c r="F389">
        <v>0.40435909160188993</v>
      </c>
      <c r="G389">
        <v>0.73769242493522336</v>
      </c>
      <c r="H389">
        <v>0.18213686937966769</v>
      </c>
      <c r="I389">
        <v>0.51547020271300115</v>
      </c>
      <c r="J389">
        <v>0.84880353604633429</v>
      </c>
      <c r="K389">
        <v>0.29324798049077883</v>
      </c>
      <c r="L389">
        <v>0.6265813138241122</v>
      </c>
      <c r="M389">
        <v>0.95991464715744546</v>
      </c>
      <c r="N389">
        <v>0.10806279530559366</v>
      </c>
      <c r="O389">
        <v>0.44139612863892697</v>
      </c>
      <c r="R389">
        <v>2.5</v>
      </c>
      <c r="S389" s="126">
        <f t="shared" si="61"/>
        <v>2.2185598646719256</v>
      </c>
      <c r="T389" s="126">
        <f t="shared" si="62"/>
        <v>2.8015525250042166</v>
      </c>
      <c r="U389" s="126">
        <f t="shared" si="63"/>
        <v>1.82148658242108</v>
      </c>
      <c r="V389" s="126">
        <f t="shared" si="64"/>
        <v>2.1091987501070726</v>
      </c>
      <c r="W389" s="126">
        <f t="shared" si="65"/>
        <v>3.0724396930629703</v>
      </c>
      <c r="X389" s="126">
        <f t="shared" si="66"/>
        <v>2.2573097372031743</v>
      </c>
      <c r="Y389" s="126">
        <f t="shared" si="67"/>
        <v>2.5625069260851836</v>
      </c>
      <c r="Z389" s="126">
        <f t="shared" si="68"/>
        <v>3.8927930573894844</v>
      </c>
      <c r="AA389" s="126">
        <f t="shared" si="69"/>
        <v>2.0980531773883793</v>
      </c>
      <c r="AB389" s="126">
        <f t="shared" si="70"/>
        <v>2.0946083158927253</v>
      </c>
    </row>
    <row r="390" spans="1:28">
      <c r="A390">
        <v>389</v>
      </c>
      <c r="B390" s="119">
        <v>0.73388203017832643</v>
      </c>
      <c r="F390">
        <v>0.77472946197226034</v>
      </c>
      <c r="G390">
        <v>0.21917390641670473</v>
      </c>
      <c r="H390">
        <v>0.55250723975003813</v>
      </c>
      <c r="I390">
        <v>0.88584057308337139</v>
      </c>
      <c r="J390">
        <v>0.33028501752781586</v>
      </c>
      <c r="K390">
        <v>0.66361835086114929</v>
      </c>
      <c r="L390">
        <v>0.99695168419448255</v>
      </c>
      <c r="M390">
        <v>2.4386526444139609E-3</v>
      </c>
      <c r="N390">
        <v>0.33577198597774727</v>
      </c>
      <c r="O390">
        <v>0.66910531931108064</v>
      </c>
      <c r="R390">
        <v>2.5</v>
      </c>
      <c r="S390" s="126">
        <f t="shared" si="61"/>
        <v>3.0405499908369524</v>
      </c>
      <c r="T390" s="126">
        <f t="shared" si="62"/>
        <v>2.0506992458833366</v>
      </c>
      <c r="U390" s="126">
        <f t="shared" si="63"/>
        <v>2.3012811996655671</v>
      </c>
      <c r="V390" s="126">
        <f t="shared" si="64"/>
        <v>3.3119885336788464</v>
      </c>
      <c r="W390" s="126">
        <f t="shared" si="65"/>
        <v>2.4641415180761439</v>
      </c>
      <c r="X390" s="126">
        <f t="shared" si="66"/>
        <v>2.7485663324384015</v>
      </c>
      <c r="Y390" s="126">
        <f t="shared" si="67"/>
        <v>4.8052025731038874</v>
      </c>
      <c r="Z390" s="126">
        <f t="shared" si="68"/>
        <v>1.2549875321267825</v>
      </c>
      <c r="AA390" s="126">
        <f t="shared" si="69"/>
        <v>1.4427442718604162</v>
      </c>
      <c r="AB390" s="126">
        <f t="shared" si="70"/>
        <v>2.247654543646199</v>
      </c>
    </row>
    <row r="391" spans="1:28">
      <c r="A391">
        <v>390</v>
      </c>
      <c r="B391" s="119">
        <v>0.17832647462277093</v>
      </c>
      <c r="F391">
        <v>0.11354976375552507</v>
      </c>
      <c r="G391">
        <v>0.44688309708885837</v>
      </c>
      <c r="H391">
        <v>0.78021643042219169</v>
      </c>
      <c r="I391">
        <v>0.22466087486663616</v>
      </c>
      <c r="J391">
        <v>0.55799420819996959</v>
      </c>
      <c r="K391">
        <v>0.89132754153330285</v>
      </c>
      <c r="L391">
        <v>3.9475689681450994E-2</v>
      </c>
      <c r="M391">
        <v>0.3728090230147843</v>
      </c>
      <c r="N391">
        <v>0.70614235634811773</v>
      </c>
      <c r="O391">
        <v>0.15058680079256209</v>
      </c>
      <c r="R391">
        <v>2.5</v>
      </c>
      <c r="S391" s="126">
        <f t="shared" si="61"/>
        <v>1.4219811025296825</v>
      </c>
      <c r="T391" s="126">
        <f t="shared" si="62"/>
        <v>1.7662712062676107</v>
      </c>
      <c r="U391" s="126">
        <f t="shared" si="63"/>
        <v>2.6869633714335182</v>
      </c>
      <c r="V391" s="126">
        <f t="shared" si="64"/>
        <v>1.8881958779843002</v>
      </c>
      <c r="W391" s="126">
        <f t="shared" si="65"/>
        <v>2.2310612522463291</v>
      </c>
      <c r="X391" s="126">
        <f t="shared" si="66"/>
        <v>3.3005477604495574</v>
      </c>
      <c r="Y391" s="126">
        <f t="shared" si="67"/>
        <v>1.3715715612477908</v>
      </c>
      <c r="Z391" s="126">
        <f t="shared" si="68"/>
        <v>1.5834954744355061</v>
      </c>
      <c r="AA391" s="126">
        <f t="shared" si="69"/>
        <v>2.4047574528375222</v>
      </c>
      <c r="AB391" s="126">
        <f t="shared" si="70"/>
        <v>1.517581385611257</v>
      </c>
    </row>
    <row r="392" spans="1:28">
      <c r="A392">
        <v>391</v>
      </c>
      <c r="B392" s="119">
        <v>0.51165980795610422</v>
      </c>
      <c r="F392">
        <v>0.48392013412589541</v>
      </c>
      <c r="G392">
        <v>0.81725346745922867</v>
      </c>
      <c r="H392">
        <v>0.2616979119036732</v>
      </c>
      <c r="I392">
        <v>0.59503124523700657</v>
      </c>
      <c r="J392">
        <v>0.92836457857033983</v>
      </c>
      <c r="K392">
        <v>7.6512726718488036E-2</v>
      </c>
      <c r="L392">
        <v>0.40984606005182134</v>
      </c>
      <c r="M392">
        <v>0.74317939338515471</v>
      </c>
      <c r="N392">
        <v>0.18762383782959913</v>
      </c>
      <c r="O392">
        <v>0.5209571711629325</v>
      </c>
      <c r="R392">
        <v>2.5</v>
      </c>
      <c r="S392" s="126">
        <f t="shared" si="61"/>
        <v>2.3849738413128438</v>
      </c>
      <c r="T392" s="126">
        <f t="shared" si="62"/>
        <v>3.1068162022645183</v>
      </c>
      <c r="U392" s="126">
        <f t="shared" si="63"/>
        <v>2.1968922109384099</v>
      </c>
      <c r="V392" s="126">
        <f t="shared" si="64"/>
        <v>2.4642553491351831</v>
      </c>
      <c r="W392" s="126">
        <f t="shared" si="65"/>
        <v>3.607537305106884</v>
      </c>
      <c r="X392" s="126">
        <f t="shared" si="66"/>
        <v>1.7962973807632285</v>
      </c>
      <c r="Y392" s="126">
        <f t="shared" si="67"/>
        <v>1.8765407793943654</v>
      </c>
      <c r="Z392" s="126">
        <f t="shared" si="68"/>
        <v>2.6436184574027934</v>
      </c>
      <c r="AA392" s="126">
        <f t="shared" si="69"/>
        <v>1.759071001074838</v>
      </c>
      <c r="AB392" s="126">
        <f t="shared" si="70"/>
        <v>2.0891847322902777</v>
      </c>
    </row>
    <row r="393" spans="1:28">
      <c r="A393">
        <v>392</v>
      </c>
      <c r="B393" s="119">
        <v>0.84499314128943737</v>
      </c>
      <c r="F393">
        <v>0.85429050449626576</v>
      </c>
      <c r="G393">
        <v>0.29873494894071023</v>
      </c>
      <c r="H393">
        <v>0.63206828227404366</v>
      </c>
      <c r="I393">
        <v>0.96540161560737692</v>
      </c>
      <c r="J393">
        <v>1.4784331656759639E-2</v>
      </c>
      <c r="K393">
        <v>0.34811766499009295</v>
      </c>
      <c r="L393">
        <v>0.68145099832342626</v>
      </c>
      <c r="M393">
        <v>0.12589544276787074</v>
      </c>
      <c r="N393">
        <v>0.45922877610120405</v>
      </c>
      <c r="O393">
        <v>0.79256210943453742</v>
      </c>
      <c r="R393">
        <v>2.5</v>
      </c>
      <c r="S393" s="126">
        <f t="shared" si="61"/>
        <v>3.2884028625263837</v>
      </c>
      <c r="T393" s="126">
        <f t="shared" si="62"/>
        <v>2.378949335478401</v>
      </c>
      <c r="U393" s="126">
        <f t="shared" si="63"/>
        <v>2.635622315557379</v>
      </c>
      <c r="V393" s="126">
        <f t="shared" si="64"/>
        <v>3.9851624178196285</v>
      </c>
      <c r="W393" s="126">
        <f t="shared" si="65"/>
        <v>1.3700530815904344</v>
      </c>
      <c r="X393" s="126">
        <f t="shared" si="66"/>
        <v>1.5283081100461646</v>
      </c>
      <c r="Y393" s="126">
        <f t="shared" si="67"/>
        <v>2.3189628615531248</v>
      </c>
      <c r="Z393" s="126">
        <f t="shared" si="68"/>
        <v>1.3820088693345005</v>
      </c>
      <c r="AA393" s="126">
        <f t="shared" si="69"/>
        <v>1.7718846656829361</v>
      </c>
      <c r="AB393" s="126">
        <f t="shared" si="70"/>
        <v>2.7247718972856161</v>
      </c>
    </row>
    <row r="394" spans="1:28">
      <c r="A394">
        <v>393</v>
      </c>
      <c r="B394" s="119">
        <v>0.28943758573388201</v>
      </c>
      <c r="F394">
        <v>0.23700655387898184</v>
      </c>
      <c r="G394">
        <v>0.57033988721231532</v>
      </c>
      <c r="H394">
        <v>0.90367322054564858</v>
      </c>
      <c r="I394">
        <v>5.1821368693796672E-2</v>
      </c>
      <c r="J394">
        <v>0.38515470202712998</v>
      </c>
      <c r="K394">
        <v>0.71848803536046346</v>
      </c>
      <c r="L394">
        <v>0.16293247980490777</v>
      </c>
      <c r="M394">
        <v>0.49626581313824109</v>
      </c>
      <c r="N394">
        <v>0.8295991464715744</v>
      </c>
      <c r="O394">
        <v>0.27404359091601888</v>
      </c>
      <c r="R394">
        <v>2.5</v>
      </c>
      <c r="S394" s="126">
        <f t="shared" si="61"/>
        <v>1.8276997043599224</v>
      </c>
      <c r="T394" s="126">
        <f t="shared" si="62"/>
        <v>2.2265164979491319</v>
      </c>
      <c r="U394" s="126">
        <f t="shared" si="63"/>
        <v>3.355298692154574</v>
      </c>
      <c r="V394" s="126">
        <f t="shared" si="64"/>
        <v>1.5057843798088837</v>
      </c>
      <c r="W394" s="126">
        <f t="shared" si="65"/>
        <v>1.6777176433491059</v>
      </c>
      <c r="X394" s="126">
        <f t="shared" si="66"/>
        <v>2.4819761906552684</v>
      </c>
      <c r="Y394" s="126">
        <f t="shared" si="67"/>
        <v>1.5988217294188409</v>
      </c>
      <c r="Z394" s="126">
        <f t="shared" si="68"/>
        <v>1.9575748203564021</v>
      </c>
      <c r="AA394" s="126">
        <f t="shared" si="69"/>
        <v>2.9312944936489567</v>
      </c>
      <c r="AB394" s="126">
        <f t="shared" si="70"/>
        <v>2.1395973322501689</v>
      </c>
    </row>
    <row r="395" spans="1:28">
      <c r="A395">
        <v>394</v>
      </c>
      <c r="B395" s="119">
        <v>0.62277091906721527</v>
      </c>
      <c r="F395">
        <v>0.6073769242493523</v>
      </c>
      <c r="G395">
        <v>0.94071025758268556</v>
      </c>
      <c r="H395">
        <v>8.8858405730833714E-2</v>
      </c>
      <c r="I395">
        <v>0.42219173906416702</v>
      </c>
      <c r="J395">
        <v>0.75552507239750044</v>
      </c>
      <c r="K395">
        <v>0.19996951684194481</v>
      </c>
      <c r="L395">
        <v>0.53330285017527812</v>
      </c>
      <c r="M395">
        <v>0.86663618350861138</v>
      </c>
      <c r="N395">
        <v>0.31108062795305591</v>
      </c>
      <c r="O395">
        <v>0.64441396128638928</v>
      </c>
      <c r="R395">
        <v>2.5</v>
      </c>
      <c r="S395" s="126">
        <f t="shared" si="61"/>
        <v>2.6429762562962487</v>
      </c>
      <c r="T395" s="126">
        <f t="shared" si="62"/>
        <v>3.7774053123450404</v>
      </c>
      <c r="U395" s="126">
        <f t="shared" si="63"/>
        <v>1.9485707672712511</v>
      </c>
      <c r="V395" s="126">
        <f t="shared" si="64"/>
        <v>1.9791794213927383</v>
      </c>
      <c r="W395" s="126">
        <f t="shared" si="65"/>
        <v>2.7272081655429368</v>
      </c>
      <c r="X395" s="126">
        <f t="shared" si="66"/>
        <v>1.8381632595478672</v>
      </c>
      <c r="Y395" s="126">
        <f t="shared" si="67"/>
        <v>2.1545210007635589</v>
      </c>
      <c r="Z395" s="126">
        <f t="shared" si="68"/>
        <v>3.1606373403150876</v>
      </c>
      <c r="AA395" s="126">
        <f t="shared" si="69"/>
        <v>2.3438109004683021</v>
      </c>
      <c r="AB395" s="126">
        <f t="shared" si="70"/>
        <v>2.6451357317007447</v>
      </c>
    </row>
    <row r="396" spans="1:28">
      <c r="A396">
        <v>395</v>
      </c>
      <c r="B396" s="119">
        <v>0.95610425240054853</v>
      </c>
      <c r="F396">
        <v>0.97774729461972254</v>
      </c>
      <c r="G396">
        <v>2.7130010669105316E-2</v>
      </c>
      <c r="H396">
        <v>0.36046334400243862</v>
      </c>
      <c r="I396">
        <v>0.69379667733577199</v>
      </c>
      <c r="J396">
        <v>0.13824112178021641</v>
      </c>
      <c r="K396">
        <v>0.47157445511354973</v>
      </c>
      <c r="L396">
        <v>0.80490778844688304</v>
      </c>
      <c r="M396">
        <v>0.24935223289132752</v>
      </c>
      <c r="N396">
        <v>0.58268556622466094</v>
      </c>
      <c r="O396">
        <v>0.9160188995579942</v>
      </c>
      <c r="R396">
        <v>2.5</v>
      </c>
      <c r="S396" s="126">
        <f t="shared" si="61"/>
        <v>4.075497435301406</v>
      </c>
      <c r="T396" s="126">
        <f t="shared" si="62"/>
        <v>1.6225345612578157</v>
      </c>
      <c r="U396" s="126">
        <f t="shared" si="63"/>
        <v>1.6825777845591348</v>
      </c>
      <c r="V396" s="126">
        <f t="shared" si="64"/>
        <v>2.4252686367449723</v>
      </c>
      <c r="W396" s="126">
        <f t="shared" si="65"/>
        <v>1.4830741594969594</v>
      </c>
      <c r="X396" s="126">
        <f t="shared" si="66"/>
        <v>1.8483018208189794</v>
      </c>
      <c r="Y396" s="126">
        <f t="shared" si="67"/>
        <v>2.7994205203623244</v>
      </c>
      <c r="Z396" s="126">
        <f t="shared" si="68"/>
        <v>2.0107145877695247</v>
      </c>
      <c r="AA396" s="126">
        <f t="shared" si="69"/>
        <v>2.3445049512797427</v>
      </c>
      <c r="AB396" s="126">
        <f t="shared" si="70"/>
        <v>3.4772944263516044</v>
      </c>
    </row>
    <row r="397" spans="1:28">
      <c r="A397">
        <v>396</v>
      </c>
      <c r="B397" s="119">
        <v>0.10425240054869683</v>
      </c>
      <c r="F397">
        <v>6.4167047706142358E-2</v>
      </c>
      <c r="G397">
        <v>0.39750038103947566</v>
      </c>
      <c r="H397">
        <v>0.73083371437280908</v>
      </c>
      <c r="I397">
        <v>0.17527815881725345</v>
      </c>
      <c r="J397">
        <v>0.50861149215058687</v>
      </c>
      <c r="K397">
        <v>0.84194482548392002</v>
      </c>
      <c r="L397">
        <v>0.28638926992836455</v>
      </c>
      <c r="M397">
        <v>0.61972260326169792</v>
      </c>
      <c r="N397">
        <v>0.95305593659503118</v>
      </c>
      <c r="O397">
        <v>0.10120408474317939</v>
      </c>
      <c r="R397">
        <v>2.5</v>
      </c>
      <c r="S397" s="126">
        <f t="shared" si="61"/>
        <v>1.1639506524592391</v>
      </c>
      <c r="T397" s="126">
        <f t="shared" si="62"/>
        <v>1.5324275123419364</v>
      </c>
      <c r="U397" s="126">
        <f t="shared" si="63"/>
        <v>2.4394549858197507</v>
      </c>
      <c r="V397" s="126">
        <f t="shared" si="64"/>
        <v>1.6178378412232566</v>
      </c>
      <c r="W397" s="126">
        <f t="shared" si="65"/>
        <v>1.9926580976930421</v>
      </c>
      <c r="X397" s="126">
        <f t="shared" si="66"/>
        <v>2.9900854193589272</v>
      </c>
      <c r="Y397" s="126">
        <f t="shared" si="67"/>
        <v>2.1993867522336754</v>
      </c>
      <c r="Z397" s="126">
        <f t="shared" si="68"/>
        <v>2.518498940301082</v>
      </c>
      <c r="AA397" s="126">
        <f t="shared" si="69"/>
        <v>3.8092588612467719</v>
      </c>
      <c r="AB397" s="126">
        <f t="shared" si="70"/>
        <v>2.0248714316110457</v>
      </c>
    </row>
    <row r="398" spans="1:28">
      <c r="A398">
        <v>397</v>
      </c>
      <c r="B398" s="119">
        <v>0.43758573388203015</v>
      </c>
      <c r="F398">
        <v>0.43453741807651269</v>
      </c>
      <c r="G398">
        <v>0.76787075140984606</v>
      </c>
      <c r="H398">
        <v>0.21231519585429048</v>
      </c>
      <c r="I398">
        <v>0.54564852918762385</v>
      </c>
      <c r="J398">
        <v>0.87898186252095711</v>
      </c>
      <c r="K398">
        <v>0.32342630696540159</v>
      </c>
      <c r="L398">
        <v>0.65675964029873501</v>
      </c>
      <c r="M398">
        <v>0.99009297363206827</v>
      </c>
      <c r="N398">
        <v>6.5538789818625218E-3</v>
      </c>
      <c r="O398">
        <v>0.33988721231519581</v>
      </c>
      <c r="R398">
        <v>2.5</v>
      </c>
      <c r="S398" s="126">
        <f t="shared" si="61"/>
        <v>2.2822725603125082</v>
      </c>
      <c r="T398" s="126">
        <f t="shared" si="62"/>
        <v>2.9124297110951476</v>
      </c>
      <c r="U398" s="126">
        <f t="shared" si="63"/>
        <v>1.9669829021688032</v>
      </c>
      <c r="V398" s="126">
        <f t="shared" si="64"/>
        <v>2.2449167667241277</v>
      </c>
      <c r="W398" s="126">
        <f t="shared" si="65"/>
        <v>3.2549662485305415</v>
      </c>
      <c r="X398" s="126">
        <f t="shared" si="66"/>
        <v>2.4198004667597721</v>
      </c>
      <c r="Y398" s="126">
        <f t="shared" si="67"/>
        <v>2.7108377790127141</v>
      </c>
      <c r="Z398" s="126">
        <f t="shared" si="68"/>
        <v>4.4458552200679167</v>
      </c>
      <c r="AA398" s="126">
        <f t="shared" si="69"/>
        <v>1.3500272806352704</v>
      </c>
      <c r="AB398" s="126">
        <f t="shared" si="70"/>
        <v>1.4997976576987293</v>
      </c>
    </row>
    <row r="399" spans="1:28">
      <c r="A399">
        <v>398</v>
      </c>
      <c r="B399" s="119">
        <v>0.77091906721536341</v>
      </c>
      <c r="F399">
        <v>0.67322054564852918</v>
      </c>
      <c r="G399">
        <v>0.11766499009297363</v>
      </c>
      <c r="H399">
        <v>0.45099832342630691</v>
      </c>
      <c r="I399">
        <v>0.78433165675964023</v>
      </c>
      <c r="J399">
        <v>0.22877610120408473</v>
      </c>
      <c r="K399">
        <v>0.56210943453741813</v>
      </c>
      <c r="L399">
        <v>0.89544276787075139</v>
      </c>
      <c r="M399">
        <v>4.3590916018899556E-2</v>
      </c>
      <c r="N399">
        <v>0.37692424935223284</v>
      </c>
      <c r="O399">
        <v>0.71025758268556627</v>
      </c>
      <c r="R399">
        <v>2.5</v>
      </c>
      <c r="S399" s="126">
        <f t="shared" si="61"/>
        <v>2.7884171499409032</v>
      </c>
      <c r="T399" s="126">
        <f t="shared" si="62"/>
        <v>1.5843623047773172</v>
      </c>
      <c r="U399" s="126">
        <f t="shared" si="63"/>
        <v>1.8564624894096049</v>
      </c>
      <c r="V399" s="126">
        <f t="shared" si="64"/>
        <v>2.7438258496375472</v>
      </c>
      <c r="W399" s="126">
        <f t="shared" si="65"/>
        <v>1.9280439825596123</v>
      </c>
      <c r="X399" s="126">
        <f t="shared" si="66"/>
        <v>2.2596947273958281</v>
      </c>
      <c r="Y399" s="126">
        <f t="shared" si="67"/>
        <v>3.3334022356338719</v>
      </c>
      <c r="Z399" s="126">
        <f t="shared" si="68"/>
        <v>1.4263124056488397</v>
      </c>
      <c r="AA399" s="126">
        <f t="shared" si="69"/>
        <v>1.6199604431920842</v>
      </c>
      <c r="AB399" s="126">
        <f t="shared" si="70"/>
        <v>2.4329720640526054</v>
      </c>
    </row>
    <row r="400" spans="1:28">
      <c r="A400">
        <v>399</v>
      </c>
      <c r="B400" s="119">
        <v>0.21536351165980797</v>
      </c>
      <c r="F400">
        <v>0.15470202713001066</v>
      </c>
      <c r="G400">
        <v>0.48803536046334395</v>
      </c>
      <c r="H400">
        <v>0.82136869379667721</v>
      </c>
      <c r="I400">
        <v>0.26581313824112174</v>
      </c>
      <c r="J400">
        <v>0.59914647157445511</v>
      </c>
      <c r="K400">
        <v>0.93247980490778837</v>
      </c>
      <c r="L400">
        <v>8.0627953055936591E-2</v>
      </c>
      <c r="M400">
        <v>0.41396128638926988</v>
      </c>
      <c r="N400">
        <v>0.74729461972260325</v>
      </c>
      <c r="O400">
        <v>0.1917390641670477</v>
      </c>
      <c r="R400">
        <v>2.5</v>
      </c>
      <c r="S400" s="126">
        <f t="shared" si="61"/>
        <v>1.5798402596086565</v>
      </c>
      <c r="T400" s="126">
        <f t="shared" si="62"/>
        <v>1.9310149476667247</v>
      </c>
      <c r="U400" s="126">
        <f t="shared" si="63"/>
        <v>2.8915612051906439</v>
      </c>
      <c r="V400" s="126">
        <f t="shared" si="64"/>
        <v>2.0990927433910631</v>
      </c>
      <c r="W400" s="126">
        <f t="shared" si="65"/>
        <v>2.4238704598448173</v>
      </c>
      <c r="X400" s="126">
        <f t="shared" si="66"/>
        <v>3.6126428340507579</v>
      </c>
      <c r="Y400" s="126">
        <f t="shared" si="67"/>
        <v>1.822012300792581</v>
      </c>
      <c r="Z400" s="126">
        <f t="shared" si="68"/>
        <v>1.8981867602212465</v>
      </c>
      <c r="AA400" s="126">
        <f t="shared" si="69"/>
        <v>2.665073344226804</v>
      </c>
      <c r="AB400" s="126">
        <f t="shared" si="70"/>
        <v>1.782375451896566</v>
      </c>
    </row>
    <row r="401" spans="1:28">
      <c r="A401">
        <v>400</v>
      </c>
      <c r="B401" s="119">
        <v>0.5486968449931412</v>
      </c>
      <c r="F401">
        <v>0.52507239750038104</v>
      </c>
      <c r="G401">
        <v>0.8584057308337143</v>
      </c>
      <c r="H401">
        <v>0.30285017527815877</v>
      </c>
      <c r="I401">
        <v>0.6361835086114922</v>
      </c>
      <c r="J401">
        <v>0.96951684194482546</v>
      </c>
      <c r="K401">
        <v>1.8899557994208199E-2</v>
      </c>
      <c r="L401">
        <v>0.35223289132754149</v>
      </c>
      <c r="M401">
        <v>0.6855662246608748</v>
      </c>
      <c r="N401">
        <v>0.1300106691053193</v>
      </c>
      <c r="O401">
        <v>0.46334400243865259</v>
      </c>
      <c r="R401">
        <v>2.5</v>
      </c>
      <c r="S401" s="126">
        <f t="shared" si="61"/>
        <v>2.4700979653161252</v>
      </c>
      <c r="T401" s="126">
        <f t="shared" si="62"/>
        <v>3.288360895168255</v>
      </c>
      <c r="U401" s="126">
        <f t="shared" si="63"/>
        <v>2.3886788825601899</v>
      </c>
      <c r="V401" s="126">
        <f t="shared" si="64"/>
        <v>2.6495354179942074</v>
      </c>
      <c r="W401" s="126">
        <f t="shared" si="65"/>
        <v>4.0388444162135961</v>
      </c>
      <c r="X401" s="126">
        <f t="shared" si="66"/>
        <v>1.4785192090983736</v>
      </c>
      <c r="Y401" s="126">
        <f t="shared" si="67"/>
        <v>1.5919853131922017</v>
      </c>
      <c r="Z401" s="126">
        <f t="shared" si="68"/>
        <v>2.3605027454498777</v>
      </c>
      <c r="AA401" s="126">
        <f t="shared" si="69"/>
        <v>1.4191103135667604</v>
      </c>
      <c r="AB401" s="126">
        <f t="shared" si="70"/>
        <v>1.7990802663784256</v>
      </c>
    </row>
    <row r="402" spans="1:28">
      <c r="A402">
        <v>401</v>
      </c>
      <c r="B402" s="119">
        <v>0.88203017832647446</v>
      </c>
      <c r="F402">
        <v>0.79667733577198596</v>
      </c>
      <c r="G402">
        <v>0.24112178021643041</v>
      </c>
      <c r="H402">
        <v>0.57445511354976386</v>
      </c>
      <c r="I402">
        <v>0.90778844688309712</v>
      </c>
      <c r="J402">
        <v>5.5936595031245234E-2</v>
      </c>
      <c r="K402">
        <v>0.38926992836457852</v>
      </c>
      <c r="L402">
        <v>0.722603261697912</v>
      </c>
      <c r="M402">
        <v>0.16704770614235634</v>
      </c>
      <c r="N402">
        <v>0.50038103947568968</v>
      </c>
      <c r="O402">
        <v>0.83371437280902294</v>
      </c>
      <c r="R402">
        <v>2.5</v>
      </c>
      <c r="S402" s="126">
        <f t="shared" si="61"/>
        <v>3.1026560226054665</v>
      </c>
      <c r="T402" s="126">
        <f t="shared" si="62"/>
        <v>2.1415364988787196</v>
      </c>
      <c r="U402" s="126">
        <f t="shared" si="63"/>
        <v>2.3929018510601141</v>
      </c>
      <c r="V402" s="126">
        <f t="shared" si="64"/>
        <v>3.4591229220296231</v>
      </c>
      <c r="W402" s="126">
        <f t="shared" si="65"/>
        <v>1.5889910576159267</v>
      </c>
      <c r="X402" s="126">
        <f t="shared" si="66"/>
        <v>1.728402144226004</v>
      </c>
      <c r="Y402" s="126">
        <f t="shared" si="67"/>
        <v>2.5175430697876977</v>
      </c>
      <c r="Z402" s="126">
        <f t="shared" si="68"/>
        <v>1.630372228059445</v>
      </c>
      <c r="AA402" s="126">
        <f t="shared" si="69"/>
        <v>1.9819403084844895</v>
      </c>
      <c r="AB402" s="126">
        <f t="shared" si="70"/>
        <v>2.9570387515222611</v>
      </c>
    </row>
    <row r="403" spans="1:28">
      <c r="A403">
        <v>402</v>
      </c>
      <c r="B403" s="119">
        <v>0.32647462277091904</v>
      </c>
      <c r="F403">
        <v>0.27815881725346742</v>
      </c>
      <c r="G403">
        <v>0.61149215058680084</v>
      </c>
      <c r="H403">
        <v>0.9448254839201341</v>
      </c>
      <c r="I403">
        <v>9.2973632068282269E-2</v>
      </c>
      <c r="J403">
        <v>0.42630696540161556</v>
      </c>
      <c r="K403">
        <v>0.75964029873494898</v>
      </c>
      <c r="L403">
        <v>0.20408474317939337</v>
      </c>
      <c r="M403">
        <v>0.53741807651272666</v>
      </c>
      <c r="N403">
        <v>0.87075140984605992</v>
      </c>
      <c r="O403">
        <v>0.31519585429050445</v>
      </c>
      <c r="R403">
        <v>2.5</v>
      </c>
      <c r="S403" s="126">
        <f t="shared" si="61"/>
        <v>1.9329812401696462</v>
      </c>
      <c r="T403" s="126">
        <f t="shared" si="62"/>
        <v>2.366835596125509</v>
      </c>
      <c r="U403" s="126">
        <f t="shared" si="63"/>
        <v>3.6681963853245638</v>
      </c>
      <c r="V403" s="126">
        <f t="shared" si="64"/>
        <v>1.9144299825810434</v>
      </c>
      <c r="W403" s="126">
        <f t="shared" si="65"/>
        <v>1.9706850731528411</v>
      </c>
      <c r="X403" s="126">
        <f t="shared" si="66"/>
        <v>2.7337981518737844</v>
      </c>
      <c r="Y403" s="126">
        <f t="shared" si="67"/>
        <v>1.8535264511465923</v>
      </c>
      <c r="Z403" s="126">
        <f t="shared" si="68"/>
        <v>2.1707842490749196</v>
      </c>
      <c r="AA403" s="126">
        <f t="shared" si="69"/>
        <v>3.1847465853922592</v>
      </c>
      <c r="AB403" s="126">
        <f t="shared" si="70"/>
        <v>2.365507447792857</v>
      </c>
    </row>
    <row r="404" spans="1:28">
      <c r="A404">
        <v>403</v>
      </c>
      <c r="B404" s="119">
        <v>0.65980795610425236</v>
      </c>
      <c r="F404">
        <v>0.64852918762383782</v>
      </c>
      <c r="G404">
        <v>0.98186252095717108</v>
      </c>
      <c r="H404">
        <v>3.1245237006553878E-2</v>
      </c>
      <c r="I404">
        <v>0.36457857033988716</v>
      </c>
      <c r="J404">
        <v>0.69791190367322054</v>
      </c>
      <c r="K404">
        <v>0.14235634811766498</v>
      </c>
      <c r="L404">
        <v>0.47568968145099827</v>
      </c>
      <c r="M404">
        <v>0.80902301478433158</v>
      </c>
      <c r="N404">
        <v>0.25346745922877606</v>
      </c>
      <c r="O404">
        <v>0.58680079256210949</v>
      </c>
      <c r="R404">
        <v>2.5</v>
      </c>
      <c r="S404" s="126">
        <f t="shared" si="61"/>
        <v>2.7327670680601273</v>
      </c>
      <c r="T404" s="126">
        <f t="shared" si="62"/>
        <v>4.2622087131797297</v>
      </c>
      <c r="U404" s="126">
        <f t="shared" si="63"/>
        <v>1.7674764740824913</v>
      </c>
      <c r="V404" s="126">
        <f t="shared" si="64"/>
        <v>1.7644766396139144</v>
      </c>
      <c r="W404" s="126">
        <f t="shared" si="65"/>
        <v>2.4761332923424106</v>
      </c>
      <c r="X404" s="126">
        <f t="shared" si="66"/>
        <v>1.5238671371114272</v>
      </c>
      <c r="Y404" s="126">
        <f t="shared" si="67"/>
        <v>1.877331135597871</v>
      </c>
      <c r="Z404" s="126">
        <f t="shared" si="68"/>
        <v>2.826398115993956</v>
      </c>
      <c r="AA404" s="126">
        <f t="shared" si="69"/>
        <v>2.034923115814057</v>
      </c>
      <c r="AB404" s="126">
        <f t="shared" si="70"/>
        <v>2.3653774420211819</v>
      </c>
    </row>
    <row r="405" spans="1:28">
      <c r="A405">
        <v>404</v>
      </c>
      <c r="B405" s="119">
        <v>0.99314128943758562</v>
      </c>
      <c r="F405">
        <v>0.92013412589544274</v>
      </c>
      <c r="G405">
        <v>6.8282274043590913E-2</v>
      </c>
      <c r="H405">
        <v>0.4016156073769242</v>
      </c>
      <c r="I405">
        <v>0.73494894071025763</v>
      </c>
      <c r="J405">
        <v>0.17939338515470202</v>
      </c>
      <c r="K405">
        <v>0.51272671848803542</v>
      </c>
      <c r="L405">
        <v>0.84606005182136856</v>
      </c>
      <c r="M405">
        <v>0.29050449626581309</v>
      </c>
      <c r="N405">
        <v>0.62383782959914647</v>
      </c>
      <c r="O405">
        <v>0.95717116293247972</v>
      </c>
      <c r="R405">
        <v>2.5</v>
      </c>
      <c r="S405" s="126">
        <f t="shared" si="61"/>
        <v>3.5778750653576967</v>
      </c>
      <c r="T405" s="126">
        <f t="shared" si="62"/>
        <v>1.7320819367389892</v>
      </c>
      <c r="U405" s="126">
        <f t="shared" si="63"/>
        <v>1.8267584639706558</v>
      </c>
      <c r="V405" s="126">
        <f t="shared" si="64"/>
        <v>2.5977070366257355</v>
      </c>
      <c r="W405" s="126">
        <f t="shared" si="65"/>
        <v>1.710433082232663</v>
      </c>
      <c r="X405" s="126">
        <f t="shared" si="66"/>
        <v>2.047707642117869</v>
      </c>
      <c r="Y405" s="126">
        <f t="shared" si="67"/>
        <v>3.0319379796891468</v>
      </c>
      <c r="Z405" s="126">
        <f t="shared" si="68"/>
        <v>2.2303628676938017</v>
      </c>
      <c r="AA405" s="126">
        <f t="shared" si="69"/>
        <v>2.5429949193487835</v>
      </c>
      <c r="AB405" s="126">
        <f t="shared" si="70"/>
        <v>3.857471780174011</v>
      </c>
    </row>
    <row r="406" spans="1:28">
      <c r="A406">
        <v>405</v>
      </c>
      <c r="B406" s="119">
        <v>9.6021947873799734E-3</v>
      </c>
      <c r="F406">
        <v>0.10531931108062795</v>
      </c>
      <c r="G406">
        <v>0.43865264441396123</v>
      </c>
      <c r="H406">
        <v>0.7719859777472946</v>
      </c>
      <c r="I406">
        <v>0.21643042219173905</v>
      </c>
      <c r="J406">
        <v>0.5497637555250724</v>
      </c>
      <c r="K406">
        <v>0.88309708885840565</v>
      </c>
      <c r="L406">
        <v>0.32754153330285013</v>
      </c>
      <c r="M406">
        <v>0.66087486663618356</v>
      </c>
      <c r="N406">
        <v>0.99420819996951681</v>
      </c>
      <c r="O406">
        <v>1.0669105319311081E-2</v>
      </c>
      <c r="R406">
        <v>2.5</v>
      </c>
      <c r="S406" s="126">
        <f t="shared" si="61"/>
        <v>1.3857334584027416</v>
      </c>
      <c r="T406" s="126">
        <f t="shared" si="62"/>
        <v>1.7308593957782596</v>
      </c>
      <c r="U406" s="126">
        <f t="shared" si="63"/>
        <v>2.6464658845424442</v>
      </c>
      <c r="V406" s="126">
        <f t="shared" si="64"/>
        <v>1.8449459769344043</v>
      </c>
      <c r="W406" s="126">
        <f t="shared" si="65"/>
        <v>2.1921504860800738</v>
      </c>
      <c r="X406" s="126">
        <f t="shared" si="66"/>
        <v>3.2455192960475983</v>
      </c>
      <c r="Y406" s="126">
        <f t="shared" si="67"/>
        <v>2.4244774379310079</v>
      </c>
      <c r="Z406" s="126">
        <f t="shared" si="68"/>
        <v>2.7224397112083962</v>
      </c>
      <c r="AA406" s="126">
        <f t="shared" si="69"/>
        <v>4.6123008141635529</v>
      </c>
      <c r="AB406" s="126">
        <f t="shared" si="70"/>
        <v>1.5812246660116278</v>
      </c>
    </row>
    <row r="407" spans="1:28">
      <c r="A407">
        <v>406</v>
      </c>
      <c r="B407" s="119">
        <v>0.34293552812071332</v>
      </c>
      <c r="F407">
        <v>0.3440024386526444</v>
      </c>
      <c r="G407">
        <v>0.67733577198597772</v>
      </c>
      <c r="H407">
        <v>0.12178021643042219</v>
      </c>
      <c r="I407">
        <v>0.45511354976375551</v>
      </c>
      <c r="J407">
        <v>0.78844688309708877</v>
      </c>
      <c r="K407">
        <v>0.23289132754153327</v>
      </c>
      <c r="L407">
        <v>0.56622466087486667</v>
      </c>
      <c r="M407">
        <v>0.89955799420819993</v>
      </c>
      <c r="N407">
        <v>4.7706142356348118E-2</v>
      </c>
      <c r="O407">
        <v>0.38103947568968144</v>
      </c>
      <c r="R407">
        <v>2.5</v>
      </c>
      <c r="S407" s="126">
        <f t="shared" si="61"/>
        <v>2.0870173954297311</v>
      </c>
      <c r="T407" s="126">
        <f t="shared" si="62"/>
        <v>2.5902861556473278</v>
      </c>
      <c r="U407" s="126">
        <f t="shared" si="63"/>
        <v>1.5017782669361235</v>
      </c>
      <c r="V407" s="126">
        <f t="shared" si="64"/>
        <v>1.8235232698578303</v>
      </c>
      <c r="W407" s="126">
        <f t="shared" si="65"/>
        <v>2.7389312411933151</v>
      </c>
      <c r="X407" s="126">
        <f t="shared" si="66"/>
        <v>1.9367397399559387</v>
      </c>
      <c r="Y407" s="126">
        <f t="shared" si="67"/>
        <v>2.2726850923528574</v>
      </c>
      <c r="Z407" s="126">
        <f t="shared" si="68"/>
        <v>3.3589287207277017</v>
      </c>
      <c r="AA407" s="126">
        <f t="shared" si="69"/>
        <v>1.4745596411955337</v>
      </c>
      <c r="AB407" s="126">
        <f t="shared" si="70"/>
        <v>1.6531313584330298</v>
      </c>
    </row>
    <row r="408" spans="1:28">
      <c r="A408">
        <v>407</v>
      </c>
      <c r="B408" s="119">
        <v>0.67626886145404652</v>
      </c>
      <c r="F408">
        <v>0.71437280902301481</v>
      </c>
      <c r="G408">
        <v>0.1588172534674592</v>
      </c>
      <c r="H408">
        <v>0.49215058680079254</v>
      </c>
      <c r="I408">
        <v>0.82548392013412575</v>
      </c>
      <c r="J408">
        <v>0.26992836457857033</v>
      </c>
      <c r="K408">
        <v>0.60326169791190365</v>
      </c>
      <c r="L408">
        <v>0.93659503124523691</v>
      </c>
      <c r="M408">
        <v>8.474317939338516E-2</v>
      </c>
      <c r="N408">
        <v>0.41807651272671847</v>
      </c>
      <c r="O408">
        <v>0.75140984606005179</v>
      </c>
      <c r="R408">
        <v>2.5</v>
      </c>
      <c r="S408" s="126">
        <f t="shared" si="61"/>
        <v>2.8852333839686111</v>
      </c>
      <c r="T408" s="126">
        <f t="shared" si="62"/>
        <v>1.7875977581191902</v>
      </c>
      <c r="U408" s="126">
        <f t="shared" si="63"/>
        <v>2.0439446232455132</v>
      </c>
      <c r="V408" s="126">
        <f t="shared" si="64"/>
        <v>2.9614130083504646</v>
      </c>
      <c r="W408" s="126">
        <f t="shared" si="65"/>
        <v>2.1445067555534942</v>
      </c>
      <c r="X408" s="126">
        <f t="shared" si="66"/>
        <v>2.4554881428922513</v>
      </c>
      <c r="Y408" s="126">
        <f t="shared" si="67"/>
        <v>3.6551631201152963</v>
      </c>
      <c r="Z408" s="126">
        <f t="shared" si="68"/>
        <v>1.8656559077279629</v>
      </c>
      <c r="AA408" s="126">
        <f t="shared" si="69"/>
        <v>1.9288236977936464</v>
      </c>
      <c r="AB408" s="126">
        <f t="shared" si="70"/>
        <v>2.691138178440458</v>
      </c>
    </row>
    <row r="409" spans="1:28">
      <c r="A409">
        <v>408</v>
      </c>
      <c r="B409" s="119">
        <v>0.12071330589849108</v>
      </c>
      <c r="F409">
        <v>0.19585429050449624</v>
      </c>
      <c r="G409">
        <v>0.52918762383782958</v>
      </c>
      <c r="H409">
        <v>0.86252095717116284</v>
      </c>
      <c r="I409">
        <v>0.30696540161560737</v>
      </c>
      <c r="J409">
        <v>0.64029873494894074</v>
      </c>
      <c r="K409">
        <v>0.973632068282274</v>
      </c>
      <c r="L409">
        <v>2.3014784331656758E-2</v>
      </c>
      <c r="M409">
        <v>0.35634811766499008</v>
      </c>
      <c r="N409">
        <v>0.68968145099832334</v>
      </c>
      <c r="O409">
        <v>0.13412589544276785</v>
      </c>
      <c r="R409">
        <v>2.5</v>
      </c>
      <c r="S409" s="126">
        <f t="shared" si="61"/>
        <v>1.7117673063363901</v>
      </c>
      <c r="T409" s="126">
        <f t="shared" si="62"/>
        <v>2.0824600732158998</v>
      </c>
      <c r="U409" s="126">
        <f t="shared" si="63"/>
        <v>3.1088189756709577</v>
      </c>
      <c r="V409" s="126">
        <f t="shared" si="64"/>
        <v>2.3081326074861588</v>
      </c>
      <c r="W409" s="126">
        <f t="shared" si="65"/>
        <v>2.6181104027146778</v>
      </c>
      <c r="X409" s="126">
        <f t="shared" si="66"/>
        <v>4.0752912983683904</v>
      </c>
      <c r="Y409" s="126">
        <f t="shared" si="67"/>
        <v>1.5643921695850178</v>
      </c>
      <c r="Z409" s="126">
        <f t="shared" si="68"/>
        <v>1.6442687479077711</v>
      </c>
      <c r="AA409" s="126">
        <f t="shared" si="69"/>
        <v>2.3963697064117819</v>
      </c>
      <c r="AB409" s="126">
        <f t="shared" si="70"/>
        <v>1.4530088642467316</v>
      </c>
    </row>
    <row r="410" spans="1:28">
      <c r="A410">
        <v>409</v>
      </c>
      <c r="B410" s="119">
        <v>0.45404663923182442</v>
      </c>
      <c r="F410">
        <v>0.46745922877610119</v>
      </c>
      <c r="G410">
        <v>0.8007925621094345</v>
      </c>
      <c r="H410">
        <v>0.24523700655387895</v>
      </c>
      <c r="I410">
        <v>0.5785703398872124</v>
      </c>
      <c r="J410">
        <v>0.91190367322054566</v>
      </c>
      <c r="K410">
        <v>6.0051821368693796E-2</v>
      </c>
      <c r="L410">
        <v>0.39338515470202712</v>
      </c>
      <c r="M410">
        <v>0.72671848803536054</v>
      </c>
      <c r="N410">
        <v>0.17116293247980488</v>
      </c>
      <c r="O410">
        <v>0.50449626581313822</v>
      </c>
      <c r="R410">
        <v>2.5</v>
      </c>
      <c r="S410" s="126">
        <f t="shared" si="61"/>
        <v>2.3508756930431383</v>
      </c>
      <c r="T410" s="126">
        <f t="shared" si="62"/>
        <v>3.0397845250743618</v>
      </c>
      <c r="U410" s="126">
        <f t="shared" si="63"/>
        <v>2.1207780978308026</v>
      </c>
      <c r="V410" s="126">
        <f t="shared" si="64"/>
        <v>2.3911367267542238</v>
      </c>
      <c r="W410" s="126">
        <f t="shared" si="65"/>
        <v>3.4791134969015474</v>
      </c>
      <c r="X410" s="126">
        <f t="shared" si="66"/>
        <v>1.6283113093756965</v>
      </c>
      <c r="Y410" s="126">
        <f t="shared" si="67"/>
        <v>1.7570026130841425</v>
      </c>
      <c r="Z410" s="126">
        <f t="shared" si="68"/>
        <v>2.5420839886944302</v>
      </c>
      <c r="AA410" s="126">
        <f t="shared" si="69"/>
        <v>1.6561655285939414</v>
      </c>
      <c r="AB410" s="126">
        <f t="shared" si="70"/>
        <v>2.003412312675187</v>
      </c>
    </row>
    <row r="411" spans="1:28">
      <c r="A411">
        <v>410</v>
      </c>
      <c r="B411" s="119">
        <v>0.78737997256515757</v>
      </c>
      <c r="F411">
        <v>0.83782959914647148</v>
      </c>
      <c r="G411">
        <v>0.28227404359091601</v>
      </c>
      <c r="H411">
        <v>0.61560737692424938</v>
      </c>
      <c r="I411">
        <v>0.94894071025758264</v>
      </c>
      <c r="J411">
        <v>9.7088858405730838E-2</v>
      </c>
      <c r="K411">
        <v>0.43042219173906415</v>
      </c>
      <c r="L411">
        <v>0.76375552507239752</v>
      </c>
      <c r="M411">
        <v>0.20819996951684192</v>
      </c>
      <c r="N411">
        <v>0.5415333028501752</v>
      </c>
      <c r="O411">
        <v>0.87486663618350846</v>
      </c>
      <c r="R411">
        <v>2.5</v>
      </c>
      <c r="S411" s="126">
        <f t="shared" si="61"/>
        <v>3.2311312275973449</v>
      </c>
      <c r="T411" s="126">
        <f t="shared" si="62"/>
        <v>2.3105273199369232</v>
      </c>
      <c r="U411" s="126">
        <f t="shared" si="63"/>
        <v>2.5654601576636971</v>
      </c>
      <c r="V411" s="126">
        <f t="shared" si="64"/>
        <v>3.7994022147195441</v>
      </c>
      <c r="W411" s="126">
        <f t="shared" si="65"/>
        <v>2.000453426031279</v>
      </c>
      <c r="X411" s="126">
        <f t="shared" si="66"/>
        <v>2.0225683870936706</v>
      </c>
      <c r="Y411" s="126">
        <f t="shared" si="67"/>
        <v>2.7708357172452542</v>
      </c>
      <c r="Z411" s="126">
        <f t="shared" si="68"/>
        <v>1.8840486892406414</v>
      </c>
      <c r="AA411" s="126">
        <f t="shared" si="69"/>
        <v>2.1946747515020948</v>
      </c>
      <c r="AB411" s="126">
        <f t="shared" si="70"/>
        <v>3.2130449849009386</v>
      </c>
    </row>
    <row r="412" spans="1:28">
      <c r="A412">
        <v>411</v>
      </c>
      <c r="B412" s="119">
        <v>0.23182441700960219</v>
      </c>
      <c r="F412">
        <v>0.31931108062795305</v>
      </c>
      <c r="G412">
        <v>0.65264441396128636</v>
      </c>
      <c r="H412">
        <v>0.98597774729461962</v>
      </c>
      <c r="I412">
        <v>3.5360463344002439E-2</v>
      </c>
      <c r="J412">
        <v>0.36869379667733576</v>
      </c>
      <c r="K412">
        <v>0.70202713001066908</v>
      </c>
      <c r="L412">
        <v>0.14647157445511352</v>
      </c>
      <c r="M412">
        <v>0.47980490778844687</v>
      </c>
      <c r="N412">
        <v>0.81313824112178013</v>
      </c>
      <c r="O412">
        <v>0.25758268556622466</v>
      </c>
      <c r="R412">
        <v>2.5</v>
      </c>
      <c r="S412" s="126">
        <f t="shared" si="61"/>
        <v>2.0308798178594731</v>
      </c>
      <c r="T412" s="126">
        <f t="shared" si="62"/>
        <v>2.5061566706941965</v>
      </c>
      <c r="U412" s="126">
        <f t="shared" si="63"/>
        <v>4.2331296305443642</v>
      </c>
      <c r="V412" s="126">
        <f t="shared" si="64"/>
        <v>1.7986659887429464</v>
      </c>
      <c r="W412" s="126">
        <f t="shared" si="65"/>
        <v>1.7891692782223259</v>
      </c>
      <c r="X412" s="126">
        <f t="shared" si="66"/>
        <v>2.4983056343397165</v>
      </c>
      <c r="Y412" s="126">
        <f t="shared" si="67"/>
        <v>1.5499443631618739</v>
      </c>
      <c r="Z412" s="126">
        <f t="shared" si="68"/>
        <v>1.8989589419942972</v>
      </c>
      <c r="AA412" s="126">
        <f t="shared" si="69"/>
        <v>2.8498205484835837</v>
      </c>
      <c r="AB412" s="126">
        <f t="shared" si="70"/>
        <v>2.0572543393827254</v>
      </c>
    </row>
    <row r="413" spans="1:28">
      <c r="A413">
        <v>412</v>
      </c>
      <c r="B413" s="119">
        <v>0.56515775034293547</v>
      </c>
      <c r="F413">
        <v>0.59091601889955803</v>
      </c>
      <c r="G413">
        <v>0.92424935223289129</v>
      </c>
      <c r="H413">
        <v>7.2397500381039481E-2</v>
      </c>
      <c r="I413">
        <v>0.4057308337143728</v>
      </c>
      <c r="J413">
        <v>0.73906416704770617</v>
      </c>
      <c r="K413">
        <v>0.18350861149215056</v>
      </c>
      <c r="L413">
        <v>0.51684194482548396</v>
      </c>
      <c r="M413">
        <v>0.8501752781588171</v>
      </c>
      <c r="N413">
        <v>0.29461972260326169</v>
      </c>
      <c r="O413">
        <v>0.62795305593659501</v>
      </c>
      <c r="R413">
        <v>2.5</v>
      </c>
      <c r="S413" s="126">
        <f t="shared" si="61"/>
        <v>2.6078505671177958</v>
      </c>
      <c r="T413" s="126">
        <f t="shared" si="62"/>
        <v>3.6554014873648981</v>
      </c>
      <c r="U413" s="126">
        <f t="shared" si="63"/>
        <v>1.7962375327717826</v>
      </c>
      <c r="V413" s="126">
        <f t="shared" si="64"/>
        <v>1.8677679644648855</v>
      </c>
      <c r="W413" s="126">
        <f t="shared" si="65"/>
        <v>2.6287214638118224</v>
      </c>
      <c r="X413" s="126">
        <f t="shared" si="66"/>
        <v>1.7388916902416029</v>
      </c>
      <c r="Y413" s="126">
        <f t="shared" si="67"/>
        <v>2.0705249180681551</v>
      </c>
      <c r="Z413" s="126">
        <f t="shared" si="68"/>
        <v>3.0578438123250655</v>
      </c>
      <c r="AA413" s="126">
        <f t="shared" si="69"/>
        <v>2.2532584646248255</v>
      </c>
      <c r="AB413" s="126">
        <f t="shared" si="70"/>
        <v>2.5634602284790597</v>
      </c>
    </row>
    <row r="414" spans="1:28">
      <c r="A414">
        <v>413</v>
      </c>
      <c r="B414" s="119">
        <v>0.89849108367626873</v>
      </c>
      <c r="F414">
        <v>0.96128638926992827</v>
      </c>
      <c r="G414">
        <v>0.10943453741807652</v>
      </c>
      <c r="H414">
        <v>0.44276787075140983</v>
      </c>
      <c r="I414">
        <v>0.77610120408474315</v>
      </c>
      <c r="J414">
        <v>0.22054564852918759</v>
      </c>
      <c r="K414">
        <v>0.55387898186252094</v>
      </c>
      <c r="L414">
        <v>0.8872123151958542</v>
      </c>
      <c r="M414">
        <v>0.33165675964029873</v>
      </c>
      <c r="N414">
        <v>0.6649900929736321</v>
      </c>
      <c r="O414">
        <v>0.99832342630696536</v>
      </c>
      <c r="R414">
        <v>2.5</v>
      </c>
      <c r="S414" s="126">
        <f t="shared" si="61"/>
        <v>3.8746700285709474</v>
      </c>
      <c r="T414" s="126">
        <f t="shared" si="62"/>
        <v>2.0950112661778695</v>
      </c>
      <c r="U414" s="126">
        <f t="shared" si="63"/>
        <v>2.0959457439739366</v>
      </c>
      <c r="V414" s="126">
        <f t="shared" si="64"/>
        <v>2.8412487595464975</v>
      </c>
      <c r="W414" s="126">
        <f t="shared" si="65"/>
        <v>1.9543529856026201</v>
      </c>
      <c r="X414" s="126">
        <f t="shared" si="66"/>
        <v>2.2557190765065274</v>
      </c>
      <c r="Y414" s="126">
        <f t="shared" si="67"/>
        <v>3.2949737393803282</v>
      </c>
      <c r="Z414" s="126">
        <f t="shared" si="68"/>
        <v>2.4587103825377059</v>
      </c>
      <c r="AA414" s="126">
        <f t="shared" si="69"/>
        <v>2.7489397259306396</v>
      </c>
      <c r="AB414" s="126">
        <f t="shared" si="70"/>
        <v>4.9627799524325731</v>
      </c>
    </row>
    <row r="415" spans="1:28">
      <c r="A415">
        <v>414</v>
      </c>
      <c r="B415" s="119">
        <v>4.663923182441701E-2</v>
      </c>
      <c r="F415">
        <v>3.8103947568968143E-3</v>
      </c>
      <c r="G415">
        <v>0.33714372809023013</v>
      </c>
      <c r="H415">
        <v>0.67047706142356356</v>
      </c>
      <c r="I415">
        <v>0.11492150586800792</v>
      </c>
      <c r="J415">
        <v>0.44825483920134124</v>
      </c>
      <c r="K415">
        <v>0.78158817253467461</v>
      </c>
      <c r="L415">
        <v>0.226032616979119</v>
      </c>
      <c r="M415">
        <v>0.55936595031245251</v>
      </c>
      <c r="N415">
        <v>0.89269928364578577</v>
      </c>
      <c r="O415">
        <v>4.0847431793933846E-2</v>
      </c>
      <c r="R415">
        <v>2.5</v>
      </c>
      <c r="S415" s="126">
        <f t="shared" si="61"/>
        <v>0.21731087933384696</v>
      </c>
      <c r="T415" s="126">
        <f t="shared" si="62"/>
        <v>0.92430832603291579</v>
      </c>
      <c r="U415" s="126">
        <f t="shared" si="63"/>
        <v>1.9902120146521973</v>
      </c>
      <c r="V415" s="126">
        <f t="shared" si="64"/>
        <v>1.1716183861492921</v>
      </c>
      <c r="W415" s="126">
        <f t="shared" si="65"/>
        <v>1.643299680196894</v>
      </c>
      <c r="X415" s="126">
        <f t="shared" si="66"/>
        <v>2.6289880535006711</v>
      </c>
      <c r="Y415" s="126">
        <f t="shared" si="67"/>
        <v>1.862826677229213</v>
      </c>
      <c r="Z415" s="126">
        <f t="shared" si="68"/>
        <v>2.2211777964042319</v>
      </c>
      <c r="AA415" s="126">
        <f t="shared" si="69"/>
        <v>3.3016778373074236</v>
      </c>
      <c r="AB415" s="126">
        <f t="shared" si="70"/>
        <v>1.3852270191598102</v>
      </c>
    </row>
    <row r="416" spans="1:28">
      <c r="A416">
        <v>415</v>
      </c>
      <c r="B416" s="119">
        <v>0.37997256515775035</v>
      </c>
      <c r="F416">
        <v>0.37418076512726717</v>
      </c>
      <c r="G416">
        <v>0.70751409846060065</v>
      </c>
      <c r="H416">
        <v>0.15195854290504493</v>
      </c>
      <c r="I416">
        <v>0.48529187623837827</v>
      </c>
      <c r="J416">
        <v>0.81862520957171159</v>
      </c>
      <c r="K416">
        <v>0.26306965401615606</v>
      </c>
      <c r="L416">
        <v>0.59640298734948949</v>
      </c>
      <c r="M416">
        <v>0.92973632068282275</v>
      </c>
      <c r="N416">
        <v>7.7884468830970888E-2</v>
      </c>
      <c r="O416">
        <v>0.4112178021643042</v>
      </c>
      <c r="R416">
        <v>2.5</v>
      </c>
      <c r="S416" s="126">
        <f t="shared" si="61"/>
        <v>2.1536311329586706</v>
      </c>
      <c r="T416" s="126">
        <f t="shared" si="62"/>
        <v>2.6945962028280928</v>
      </c>
      <c r="U416" s="126">
        <f t="shared" si="63"/>
        <v>1.6680796791711632</v>
      </c>
      <c r="V416" s="126">
        <f t="shared" si="64"/>
        <v>1.969688834221869</v>
      </c>
      <c r="W416" s="126">
        <f t="shared" si="65"/>
        <v>2.9023751138596854</v>
      </c>
      <c r="X416" s="126">
        <f t="shared" si="66"/>
        <v>2.0976118869925187</v>
      </c>
      <c r="Y416" s="126">
        <f t="shared" si="67"/>
        <v>2.417277559729424</v>
      </c>
      <c r="Z416" s="126">
        <f t="shared" si="68"/>
        <v>3.5922661564776961</v>
      </c>
      <c r="AA416" s="126">
        <f t="shared" si="69"/>
        <v>1.7964410892998108</v>
      </c>
      <c r="AB416" s="126">
        <f t="shared" si="70"/>
        <v>1.8795225161724476</v>
      </c>
    </row>
    <row r="417" spans="1:28">
      <c r="A417">
        <v>416</v>
      </c>
      <c r="B417" s="119">
        <v>0.71330589849108361</v>
      </c>
      <c r="F417">
        <v>0.74455113549763763</v>
      </c>
      <c r="G417">
        <v>0.18899557994208196</v>
      </c>
      <c r="H417">
        <v>0.52232891327541542</v>
      </c>
      <c r="I417">
        <v>0.85566224660874868</v>
      </c>
      <c r="J417">
        <v>0.3001066910531931</v>
      </c>
      <c r="K417">
        <v>0.63344002438652658</v>
      </c>
      <c r="L417">
        <v>0.96677335771985984</v>
      </c>
      <c r="M417">
        <v>1.6156073769242493E-2</v>
      </c>
      <c r="N417">
        <v>0.34948940710257581</v>
      </c>
      <c r="O417">
        <v>0.68282274043590918</v>
      </c>
      <c r="R417">
        <v>2.5</v>
      </c>
      <c r="S417" s="126">
        <f t="shared" si="61"/>
        <v>2.9604843495798394</v>
      </c>
      <c r="T417" s="126">
        <f t="shared" si="62"/>
        <v>1.9225201519784538</v>
      </c>
      <c r="U417" s="126">
        <f t="shared" si="63"/>
        <v>2.1741744891477097</v>
      </c>
      <c r="V417" s="126">
        <f t="shared" si="64"/>
        <v>3.1296064632473009</v>
      </c>
      <c r="W417" s="126">
        <f t="shared" si="65"/>
        <v>2.3023951788045243</v>
      </c>
      <c r="X417" s="126">
        <f t="shared" si="66"/>
        <v>2.600150122246168</v>
      </c>
      <c r="Y417" s="126">
        <f t="shared" si="67"/>
        <v>3.9823627047230752</v>
      </c>
      <c r="Z417" s="126">
        <f t="shared" si="68"/>
        <v>1.3977557175944617</v>
      </c>
      <c r="AA417" s="126">
        <f t="shared" si="69"/>
        <v>1.5452898584851307</v>
      </c>
      <c r="AB417" s="126">
        <f t="shared" si="70"/>
        <v>2.3306706240775057</v>
      </c>
    </row>
    <row r="418" spans="1:28">
      <c r="A418">
        <v>417</v>
      </c>
      <c r="B418" s="119">
        <v>0.15775034293552812</v>
      </c>
      <c r="F418">
        <v>0.12726718488035357</v>
      </c>
      <c r="G418">
        <v>0.46060051821368692</v>
      </c>
      <c r="H418">
        <v>0.79393385154702034</v>
      </c>
      <c r="I418">
        <v>0.23837829599146468</v>
      </c>
      <c r="J418">
        <v>0.57171162932479824</v>
      </c>
      <c r="K418">
        <v>0.9050449626581315</v>
      </c>
      <c r="L418">
        <v>5.3193110806279524E-2</v>
      </c>
      <c r="M418">
        <v>0.38652644413961285</v>
      </c>
      <c r="N418">
        <v>0.71985977747294638</v>
      </c>
      <c r="O418">
        <v>0.16430422191739061</v>
      </c>
      <c r="R418">
        <v>2.5</v>
      </c>
      <c r="S418" s="126">
        <f t="shared" si="61"/>
        <v>1.478446390458839</v>
      </c>
      <c r="T418" s="126">
        <f t="shared" si="62"/>
        <v>1.8232045979822136</v>
      </c>
      <c r="U418" s="126">
        <f t="shared" si="63"/>
        <v>2.7545273377112922</v>
      </c>
      <c r="V418" s="126">
        <f t="shared" si="64"/>
        <v>1.9592839009578875</v>
      </c>
      <c r="W418" s="126">
        <f t="shared" si="65"/>
        <v>2.2955325417251209</v>
      </c>
      <c r="X418" s="126">
        <f t="shared" si="66"/>
        <v>3.3966472005361679</v>
      </c>
      <c r="Y418" s="126">
        <f t="shared" si="67"/>
        <v>1.5371179011662011</v>
      </c>
      <c r="Z418" s="126">
        <f t="shared" si="68"/>
        <v>1.6964238540915511</v>
      </c>
      <c r="AA418" s="126">
        <f t="shared" si="69"/>
        <v>2.4947342104361176</v>
      </c>
      <c r="AB418" s="126">
        <f t="shared" si="70"/>
        <v>1.6098167122573885</v>
      </c>
    </row>
    <row r="419" spans="1:28">
      <c r="A419">
        <v>418</v>
      </c>
      <c r="B419" s="119">
        <v>0.49108367626886146</v>
      </c>
      <c r="F419">
        <v>0.49763755525072395</v>
      </c>
      <c r="G419">
        <v>0.83097088858405732</v>
      </c>
      <c r="H419">
        <v>0.27541533302850174</v>
      </c>
      <c r="I419">
        <v>0.60874866636183522</v>
      </c>
      <c r="J419">
        <v>0.94208199969516848</v>
      </c>
      <c r="K419">
        <v>9.0230147843316566E-2</v>
      </c>
      <c r="L419">
        <v>0.42356348117664988</v>
      </c>
      <c r="M419">
        <v>0.75689681450998336</v>
      </c>
      <c r="N419">
        <v>0.20134125895442764</v>
      </c>
      <c r="O419">
        <v>0.53467459228776104</v>
      </c>
      <c r="R419">
        <v>2.5</v>
      </c>
      <c r="S419" s="126">
        <f t="shared" si="61"/>
        <v>2.4133431348925796</v>
      </c>
      <c r="T419" s="126">
        <f t="shared" si="62"/>
        <v>3.1648395186300635</v>
      </c>
      <c r="U419" s="126">
        <f t="shared" si="63"/>
        <v>2.2603695058976081</v>
      </c>
      <c r="V419" s="126">
        <f t="shared" si="64"/>
        <v>2.5254827064475238</v>
      </c>
      <c r="W419" s="126">
        <f t="shared" si="65"/>
        <v>3.7280282025340599</v>
      </c>
      <c r="X419" s="126">
        <f t="shared" si="66"/>
        <v>1.930747500403438</v>
      </c>
      <c r="Y419" s="126">
        <f t="shared" si="67"/>
        <v>1.9731116560026025</v>
      </c>
      <c r="Z419" s="126">
        <f t="shared" si="68"/>
        <v>2.7277671811092206</v>
      </c>
      <c r="AA419" s="126">
        <f t="shared" si="69"/>
        <v>1.8424776047853333</v>
      </c>
      <c r="AB419" s="126">
        <f t="shared" si="70"/>
        <v>2.159535760167369</v>
      </c>
    </row>
    <row r="420" spans="1:28">
      <c r="A420">
        <v>419</v>
      </c>
      <c r="B420" s="119">
        <v>0.82441700960219455</v>
      </c>
      <c r="F420">
        <v>0.8680079256210943</v>
      </c>
      <c r="G420">
        <v>0.31245237006553878</v>
      </c>
      <c r="H420">
        <v>0.6457857033988722</v>
      </c>
      <c r="I420">
        <v>0.97911903673220546</v>
      </c>
      <c r="J420">
        <v>2.8501752781588171E-2</v>
      </c>
      <c r="K420">
        <v>0.36183508611492149</v>
      </c>
      <c r="L420">
        <v>0.69516841944825492</v>
      </c>
      <c r="M420">
        <v>0.13961286389269925</v>
      </c>
      <c r="N420">
        <v>0.47294619722603259</v>
      </c>
      <c r="O420">
        <v>0.80627953055936596</v>
      </c>
      <c r="R420">
        <v>2.5</v>
      </c>
      <c r="S420" s="126">
        <f t="shared" si="61"/>
        <v>3.3395486709832056</v>
      </c>
      <c r="T420" s="126">
        <f t="shared" si="62"/>
        <v>2.4369308470607329</v>
      </c>
      <c r="U420" s="126">
        <f t="shared" si="63"/>
        <v>2.6949771699327885</v>
      </c>
      <c r="V420" s="126">
        <f t="shared" si="64"/>
        <v>4.1954207318091807</v>
      </c>
      <c r="W420" s="126">
        <f t="shared" si="65"/>
        <v>1.7005173078358289</v>
      </c>
      <c r="X420" s="126">
        <f t="shared" si="66"/>
        <v>1.724792819604418</v>
      </c>
      <c r="Y420" s="126">
        <f t="shared" si="67"/>
        <v>2.4497135237038581</v>
      </c>
      <c r="Z420" s="126">
        <f t="shared" si="68"/>
        <v>1.5004701085526113</v>
      </c>
      <c r="AA420" s="126">
        <f t="shared" si="69"/>
        <v>1.8598879330658162</v>
      </c>
      <c r="AB420" s="126">
        <f t="shared" si="70"/>
        <v>2.8093549798605073</v>
      </c>
    </row>
    <row r="421" spans="1:28">
      <c r="A421">
        <v>420</v>
      </c>
      <c r="B421" s="119">
        <v>0.26886145404663925</v>
      </c>
      <c r="F421">
        <v>0.25072397500381038</v>
      </c>
      <c r="G421">
        <v>0.58405730833714387</v>
      </c>
      <c r="H421">
        <v>0.91739064167047712</v>
      </c>
      <c r="I421">
        <v>6.5538789818625209E-2</v>
      </c>
      <c r="J421">
        <v>0.39887212315195852</v>
      </c>
      <c r="K421">
        <v>0.73220545648529201</v>
      </c>
      <c r="L421">
        <v>0.17664990092973629</v>
      </c>
      <c r="M421">
        <v>0.5099832342630698</v>
      </c>
      <c r="N421">
        <v>0.84331656759640294</v>
      </c>
      <c r="O421">
        <v>0.28776101204084742</v>
      </c>
      <c r="R421">
        <v>2.5</v>
      </c>
      <c r="S421" s="126">
        <f t="shared" si="61"/>
        <v>1.8637859553369411</v>
      </c>
      <c r="T421" s="126">
        <f t="shared" si="62"/>
        <v>2.2735582035290851</v>
      </c>
      <c r="U421" s="126">
        <f t="shared" si="63"/>
        <v>3.4490190149244895</v>
      </c>
      <c r="V421" s="126">
        <f t="shared" si="64"/>
        <v>1.6498667900853685</v>
      </c>
      <c r="W421" s="126">
        <f t="shared" si="65"/>
        <v>1.7795810072352563</v>
      </c>
      <c r="X421" s="126">
        <f t="shared" si="66"/>
        <v>2.5671058678741394</v>
      </c>
      <c r="Y421" s="126">
        <f t="shared" si="67"/>
        <v>1.6863690759381114</v>
      </c>
      <c r="Z421" s="126">
        <f t="shared" si="68"/>
        <v>2.0299386996151183</v>
      </c>
      <c r="AA421" s="126">
        <f t="shared" si="69"/>
        <v>3.0135235438968548</v>
      </c>
      <c r="AB421" s="126">
        <f t="shared" si="70"/>
        <v>2.2144878686455449</v>
      </c>
    </row>
    <row r="422" spans="1:28">
      <c r="A422">
        <v>421</v>
      </c>
      <c r="B422" s="119">
        <v>0.60219478737997245</v>
      </c>
      <c r="F422">
        <v>0.62109434537418085</v>
      </c>
      <c r="G422">
        <v>0.9544276787075141</v>
      </c>
      <c r="H422">
        <v>0.10257582685566224</v>
      </c>
      <c r="I422">
        <v>0.43590916018899556</v>
      </c>
      <c r="J422">
        <v>0.76924249352232899</v>
      </c>
      <c r="K422">
        <v>0.21368693796677332</v>
      </c>
      <c r="L422">
        <v>0.54702027130010678</v>
      </c>
      <c r="M422">
        <v>0.88035360463344003</v>
      </c>
      <c r="N422">
        <v>0.32479804907788445</v>
      </c>
      <c r="O422">
        <v>0.65813138241121794</v>
      </c>
      <c r="R422">
        <v>2.5</v>
      </c>
      <c r="S422" s="126">
        <f t="shared" si="61"/>
        <v>2.6725596307827124</v>
      </c>
      <c r="T422" s="126">
        <f t="shared" si="62"/>
        <v>3.8983650990529743</v>
      </c>
      <c r="U422" s="126">
        <f t="shared" si="63"/>
        <v>2.0760157511237196</v>
      </c>
      <c r="V422" s="126">
        <f t="shared" si="64"/>
        <v>2.0720520792966388</v>
      </c>
      <c r="W422" s="126">
        <f t="shared" si="65"/>
        <v>2.8104859714829207</v>
      </c>
      <c r="X422" s="126">
        <f t="shared" si="66"/>
        <v>1.9196392773320869</v>
      </c>
      <c r="Y422" s="126">
        <f t="shared" si="67"/>
        <v>2.2239771735794145</v>
      </c>
      <c r="Z422" s="126">
        <f t="shared" si="68"/>
        <v>3.2500869608765859</v>
      </c>
      <c r="AA422" s="126">
        <f t="shared" si="69"/>
        <v>2.4204952312995234</v>
      </c>
      <c r="AB422" s="126">
        <f t="shared" si="70"/>
        <v>2.7142660210485507</v>
      </c>
    </row>
    <row r="423" spans="1:28">
      <c r="A423">
        <v>422</v>
      </c>
      <c r="B423" s="119">
        <v>0.93552812071330571</v>
      </c>
      <c r="F423">
        <v>0.99146471574455119</v>
      </c>
      <c r="G423">
        <v>7.9256210943453743E-3</v>
      </c>
      <c r="H423">
        <v>0.34125895442767867</v>
      </c>
      <c r="I423">
        <v>0.6745922877610121</v>
      </c>
      <c r="J423">
        <v>0.11903673220545648</v>
      </c>
      <c r="K423">
        <v>0.45237006553878978</v>
      </c>
      <c r="L423">
        <v>0.78570339887212315</v>
      </c>
      <c r="M423">
        <v>0.23014784331656757</v>
      </c>
      <c r="N423">
        <v>0.56348117664990105</v>
      </c>
      <c r="O423">
        <v>0.89681450998323431</v>
      </c>
      <c r="R423">
        <v>2.5</v>
      </c>
      <c r="S423" s="126">
        <f t="shared" si="61"/>
        <v>4.3855274236459501</v>
      </c>
      <c r="T423" s="126">
        <f t="shared" si="62"/>
        <v>1.3762097088422847</v>
      </c>
      <c r="U423" s="126">
        <f t="shared" si="63"/>
        <v>1.5160427918028065</v>
      </c>
      <c r="V423" s="126">
        <f t="shared" si="64"/>
        <v>2.2970195056878211</v>
      </c>
      <c r="W423" s="126">
        <f t="shared" si="65"/>
        <v>1.3430973310093135</v>
      </c>
      <c r="X423" s="126">
        <f t="shared" si="66"/>
        <v>1.738059725017949</v>
      </c>
      <c r="Y423" s="126">
        <f t="shared" si="67"/>
        <v>2.6881889908384693</v>
      </c>
      <c r="Z423" s="126">
        <f t="shared" si="68"/>
        <v>1.9038118605338474</v>
      </c>
      <c r="AA423" s="126">
        <f t="shared" si="69"/>
        <v>2.250387344439102</v>
      </c>
      <c r="AB423" s="126">
        <f t="shared" si="70"/>
        <v>3.3349954940791919</v>
      </c>
    </row>
    <row r="424" spans="1:28">
      <c r="A424">
        <v>423</v>
      </c>
      <c r="B424" s="119">
        <v>8.3676268861454045E-2</v>
      </c>
      <c r="F424">
        <v>4.4962658131382408E-2</v>
      </c>
      <c r="G424">
        <v>0.37829599146471571</v>
      </c>
      <c r="H424">
        <v>0.71162932479804919</v>
      </c>
      <c r="I424">
        <v>0.1560737692424935</v>
      </c>
      <c r="J424">
        <v>0.48940710257582681</v>
      </c>
      <c r="K424">
        <v>0.82274043590916013</v>
      </c>
      <c r="L424">
        <v>0.2671848803536046</v>
      </c>
      <c r="M424">
        <v>0.60051821368693803</v>
      </c>
      <c r="N424">
        <v>0.93385154702027129</v>
      </c>
      <c r="O424">
        <v>8.1999695168419443E-2</v>
      </c>
      <c r="R424">
        <v>2.5</v>
      </c>
      <c r="S424" s="126">
        <f t="shared" si="61"/>
        <v>1.0195383647032032</v>
      </c>
      <c r="T424" s="126">
        <f t="shared" si="62"/>
        <v>1.4184930738386565</v>
      </c>
      <c r="U424" s="126">
        <f t="shared" si="63"/>
        <v>2.3350249156122471</v>
      </c>
      <c r="V424" s="126">
        <f t="shared" si="64"/>
        <v>1.5016640701173154</v>
      </c>
      <c r="W424" s="126">
        <f t="shared" si="65"/>
        <v>1.8945607617122482</v>
      </c>
      <c r="X424" s="126">
        <f t="shared" si="66"/>
        <v>2.8775823925576027</v>
      </c>
      <c r="Y424" s="126">
        <f t="shared" si="67"/>
        <v>2.0955113699508283</v>
      </c>
      <c r="Z424" s="126">
        <f t="shared" si="68"/>
        <v>2.4249986643688581</v>
      </c>
      <c r="AA424" s="126">
        <f t="shared" si="69"/>
        <v>3.6219429431461627</v>
      </c>
      <c r="AB424" s="126">
        <f t="shared" si="70"/>
        <v>1.8342040339999071</v>
      </c>
    </row>
    <row r="425" spans="1:28">
      <c r="A425">
        <v>424</v>
      </c>
      <c r="B425" s="119">
        <v>0.41700960219478739</v>
      </c>
      <c r="F425">
        <v>0.41533302850175274</v>
      </c>
      <c r="G425">
        <v>0.74866636183508617</v>
      </c>
      <c r="H425">
        <v>0.19311080627953053</v>
      </c>
      <c r="I425">
        <v>0.52644413961286396</v>
      </c>
      <c r="J425">
        <v>0.85977747294619722</v>
      </c>
      <c r="K425">
        <v>0.30422191739064164</v>
      </c>
      <c r="L425">
        <v>0.63755525072397512</v>
      </c>
      <c r="M425">
        <v>0.97088858405730838</v>
      </c>
      <c r="N425">
        <v>2.0271300106691054E-2</v>
      </c>
      <c r="O425">
        <v>0.35360463344002435</v>
      </c>
      <c r="R425">
        <v>2.5</v>
      </c>
      <c r="S425" s="126">
        <f t="shared" si="61"/>
        <v>2.24184610132323</v>
      </c>
      <c r="T425" s="126">
        <f t="shared" si="62"/>
        <v>2.8413418127370167</v>
      </c>
      <c r="U425" s="126">
        <f t="shared" si="63"/>
        <v>1.8751050405376841</v>
      </c>
      <c r="V425" s="126">
        <f t="shared" si="64"/>
        <v>2.1588677175244957</v>
      </c>
      <c r="W425" s="126">
        <f t="shared" si="65"/>
        <v>3.1369975760102018</v>
      </c>
      <c r="X425" s="126">
        <f t="shared" si="66"/>
        <v>2.3158406461079126</v>
      </c>
      <c r="Y425" s="126">
        <f t="shared" si="67"/>
        <v>2.6159421999366859</v>
      </c>
      <c r="Z425" s="126">
        <f t="shared" si="68"/>
        <v>4.038684723760456</v>
      </c>
      <c r="AA425" s="126">
        <f t="shared" si="69"/>
        <v>1.5022334955315211</v>
      </c>
      <c r="AB425" s="126">
        <f t="shared" si="70"/>
        <v>1.60694954193191</v>
      </c>
    </row>
    <row r="426" spans="1:28">
      <c r="A426">
        <v>425</v>
      </c>
      <c r="B426" s="119">
        <v>0.75034293552812059</v>
      </c>
      <c r="F426">
        <v>0.68693796677335772</v>
      </c>
      <c r="G426">
        <v>0.13138241121780214</v>
      </c>
      <c r="H426">
        <v>0.46471574455113546</v>
      </c>
      <c r="I426">
        <v>0.79804907788446888</v>
      </c>
      <c r="J426">
        <v>0.24249352232891325</v>
      </c>
      <c r="K426">
        <v>0.57582685566224678</v>
      </c>
      <c r="L426">
        <v>0.90916018899558004</v>
      </c>
      <c r="M426">
        <v>5.7308337143728086E-2</v>
      </c>
      <c r="N426">
        <v>0.39064167047706139</v>
      </c>
      <c r="O426">
        <v>0.72397500381039492</v>
      </c>
      <c r="R426">
        <v>2.5</v>
      </c>
      <c r="S426" s="126">
        <f t="shared" si="61"/>
        <v>2.820061315322389</v>
      </c>
      <c r="T426" s="126">
        <f t="shared" si="62"/>
        <v>1.6554130788764652</v>
      </c>
      <c r="U426" s="126">
        <f t="shared" si="63"/>
        <v>1.9206936519071631</v>
      </c>
      <c r="V426" s="126">
        <f t="shared" si="64"/>
        <v>2.8155063649809802</v>
      </c>
      <c r="W426" s="126">
        <f t="shared" si="65"/>
        <v>2.000839729143943</v>
      </c>
      <c r="X426" s="126">
        <f t="shared" si="66"/>
        <v>2.3250750570001504</v>
      </c>
      <c r="Y426" s="126">
        <f t="shared" si="67"/>
        <v>3.4319141234556501</v>
      </c>
      <c r="Z426" s="126">
        <f t="shared" si="68"/>
        <v>1.585256380049197</v>
      </c>
      <c r="AA426" s="126">
        <f t="shared" si="69"/>
        <v>1.7294740421009658</v>
      </c>
      <c r="AB426" s="126">
        <f t="shared" si="70"/>
        <v>2.5214622877751416</v>
      </c>
    </row>
    <row r="427" spans="1:28">
      <c r="A427">
        <v>426</v>
      </c>
      <c r="B427" s="119">
        <v>0.19478737997256515</v>
      </c>
      <c r="F427">
        <v>0.16841944825483918</v>
      </c>
      <c r="G427">
        <v>0.5017527815881726</v>
      </c>
      <c r="H427">
        <v>0.83508611492150586</v>
      </c>
      <c r="I427">
        <v>0.27953055936595028</v>
      </c>
      <c r="J427">
        <v>0.61286389269928376</v>
      </c>
      <c r="K427">
        <v>0.94619722603261702</v>
      </c>
      <c r="L427">
        <v>9.4345374180765121E-2</v>
      </c>
      <c r="M427">
        <v>0.42767870751409842</v>
      </c>
      <c r="N427">
        <v>0.7610120408474319</v>
      </c>
      <c r="O427">
        <v>0.20545648529187621</v>
      </c>
      <c r="R427">
        <v>2.5</v>
      </c>
      <c r="S427" s="126">
        <f t="shared" ref="S427:S490" si="71">NORMINV(F427,0,1)*0.8248+0.4974*(2.3356-R427)+R427</f>
        <v>1.6260648596815119</v>
      </c>
      <c r="T427" s="126">
        <f t="shared" ref="T427:T490" si="72">NORMINV(G427,0,1)*0.8248+0.4974*(2.3356-S427)+S427</f>
        <v>1.9826114682280789</v>
      </c>
      <c r="U427" s="126">
        <f t="shared" ref="U427:U490" si="73">NORMINV(H427,0,1)*0.8248+0.4974*(2.3356-T427)+T427</f>
        <v>2.9619232708278993</v>
      </c>
      <c r="V427" s="126">
        <f t="shared" ref="V427:V490" si="74">NORMINV(I427,0,1)*0.8248+0.4974*(2.3356-U427)+U427</f>
        <v>2.1685117015525481</v>
      </c>
      <c r="W427" s="126">
        <f t="shared" ref="W427:W490" si="75">NORMINV(J427,0,1)*0.8248+0.4974*(2.3356-V427)+V427</f>
        <v>2.4881667887633716</v>
      </c>
      <c r="X427" s="126">
        <f t="shared" ref="X427:X490" si="76">NORMINV(K427,0,1)*0.8248+0.4974*(2.3356-W427)+W427</f>
        <v>3.7394239839438077</v>
      </c>
      <c r="Y427" s="126">
        <f t="shared" ref="Y427:Y490" si="77">NORMINV(L427,0,1)*0.8248+0.4974*(2.3356-X427)+X427</f>
        <v>1.9569936043390279</v>
      </c>
      <c r="Z427" s="126">
        <f t="shared" ref="Z427:Z490" si="78">NORMINV(M427,0,1)*0.8248+0.4974*(2.3356-Y427)+Y427</f>
        <v>1.9949620183540198</v>
      </c>
      <c r="AA427" s="126">
        <f t="shared" ref="AA427:AA490" si="79">NORMINV(N427,0,1)*0.8248+0.4974*(2.3356-Z427)+Z427</f>
        <v>2.7496419190436079</v>
      </c>
      <c r="AB427" s="126">
        <f t="shared" ref="AB427:AB490" si="80">NORMINV(O427,0,1)*0.8248+0.4974*(2.3356-AA427)+AA427</f>
        <v>1.8654742766155969</v>
      </c>
    </row>
    <row r="428" spans="1:28">
      <c r="A428">
        <v>427</v>
      </c>
      <c r="B428" s="119">
        <v>0.52812071330589838</v>
      </c>
      <c r="F428">
        <v>0.53878981862520958</v>
      </c>
      <c r="G428">
        <v>0.87212315195854284</v>
      </c>
      <c r="H428">
        <v>0.31656759640298732</v>
      </c>
      <c r="I428">
        <v>0.64990092973632074</v>
      </c>
      <c r="J428">
        <v>0.983234263069654</v>
      </c>
      <c r="K428">
        <v>3.2616979119036729E-2</v>
      </c>
      <c r="L428">
        <v>0.36595031245237003</v>
      </c>
      <c r="M428">
        <v>0.69928364578570346</v>
      </c>
      <c r="N428">
        <v>0.14372809023014782</v>
      </c>
      <c r="O428">
        <v>0.47706142356348114</v>
      </c>
      <c r="R428">
        <v>2.5</v>
      </c>
      <c r="S428" s="126">
        <f t="shared" si="71"/>
        <v>2.4985508929694693</v>
      </c>
      <c r="T428" s="126">
        <f t="shared" si="72"/>
        <v>3.3548718358129173</v>
      </c>
      <c r="U428" s="126">
        <f t="shared" si="73"/>
        <v>2.4541935561583674</v>
      </c>
      <c r="V428" s="126">
        <f t="shared" si="74"/>
        <v>2.7127968449240938</v>
      </c>
      <c r="W428" s="126">
        <f t="shared" si="75"/>
        <v>4.2784245509231553</v>
      </c>
      <c r="X428" s="126">
        <f t="shared" si="76"/>
        <v>1.7914199343958712</v>
      </c>
      <c r="Y428" s="126">
        <f t="shared" si="77"/>
        <v>1.779519959519271</v>
      </c>
      <c r="Z428" s="126">
        <f t="shared" si="78"/>
        <v>2.486941287839036</v>
      </c>
      <c r="AA428" s="126">
        <f t="shared" si="79"/>
        <v>1.5343090019544809</v>
      </c>
      <c r="AB428" s="126">
        <f t="shared" si="80"/>
        <v>1.8854202326355272</v>
      </c>
    </row>
    <row r="429" spans="1:28">
      <c r="A429">
        <v>428</v>
      </c>
      <c r="B429" s="119">
        <v>0.86145404663923164</v>
      </c>
      <c r="F429">
        <v>0.81039475689681451</v>
      </c>
      <c r="G429">
        <v>0.25483920134125893</v>
      </c>
      <c r="H429">
        <v>0.58817253467459241</v>
      </c>
      <c r="I429">
        <v>0.92150586800792567</v>
      </c>
      <c r="J429">
        <v>6.9654016156073764E-2</v>
      </c>
      <c r="K429">
        <v>0.40298734948940707</v>
      </c>
      <c r="L429">
        <v>0.73632068282274055</v>
      </c>
      <c r="M429">
        <v>0.18076512726718486</v>
      </c>
      <c r="N429">
        <v>0.51409846060051834</v>
      </c>
      <c r="O429">
        <v>0.84743179393385148</v>
      </c>
      <c r="R429">
        <v>2.5</v>
      </c>
      <c r="S429" s="126">
        <f t="shared" si="71"/>
        <v>3.1435169135073626</v>
      </c>
      <c r="T429" s="126">
        <f t="shared" si="72"/>
        <v>2.197836617508353</v>
      </c>
      <c r="U429" s="126">
        <f t="shared" si="73"/>
        <v>2.4501639653115528</v>
      </c>
      <c r="V429" s="126">
        <f t="shared" si="74"/>
        <v>3.5604975940038917</v>
      </c>
      <c r="W429" s="126">
        <f t="shared" si="75"/>
        <v>1.7318716782025114</v>
      </c>
      <c r="X429" s="126">
        <f t="shared" si="76"/>
        <v>1.8295769511666362</v>
      </c>
      <c r="Y429" s="126">
        <f t="shared" si="77"/>
        <v>2.6025820654612994</v>
      </c>
      <c r="Z429" s="126">
        <f t="shared" si="78"/>
        <v>1.7171938799073561</v>
      </c>
      <c r="AA429" s="126">
        <f t="shared" si="79"/>
        <v>2.0539432558660224</v>
      </c>
      <c r="AB429" s="126">
        <f t="shared" si="80"/>
        <v>3.0398558285503876</v>
      </c>
    </row>
    <row r="430" spans="1:28">
      <c r="A430">
        <v>429</v>
      </c>
      <c r="B430" s="119">
        <v>0.30589849108367628</v>
      </c>
      <c r="F430">
        <v>0.29187623837829596</v>
      </c>
      <c r="G430">
        <v>0.62520957171162939</v>
      </c>
      <c r="H430">
        <v>0.95854290504496265</v>
      </c>
      <c r="I430">
        <v>0.1066910531931108</v>
      </c>
      <c r="J430">
        <v>0.4400243865264441</v>
      </c>
      <c r="K430">
        <v>0.77335771985977753</v>
      </c>
      <c r="L430">
        <v>0.21780216430422189</v>
      </c>
      <c r="M430">
        <v>0.55113549763755532</v>
      </c>
      <c r="N430">
        <v>0.88446883097088858</v>
      </c>
      <c r="O430">
        <v>0.328913275415333</v>
      </c>
      <c r="R430">
        <v>2.5</v>
      </c>
      <c r="S430" s="126">
        <f t="shared" si="71"/>
        <v>1.966309800214753</v>
      </c>
      <c r="T430" s="126">
        <f t="shared" si="72"/>
        <v>2.4132643794507174</v>
      </c>
      <c r="U430" s="126">
        <f t="shared" si="73"/>
        <v>3.8048554154556582</v>
      </c>
      <c r="V430" s="126">
        <f t="shared" si="74"/>
        <v>2.04773329342127</v>
      </c>
      <c r="W430" s="126">
        <f t="shared" si="75"/>
        <v>2.0664497802787061</v>
      </c>
      <c r="X430" s="126">
        <f t="shared" si="76"/>
        <v>2.81888421394898</v>
      </c>
      <c r="Y430" s="126">
        <f t="shared" si="77"/>
        <v>1.9354537089537793</v>
      </c>
      <c r="Z430" s="126">
        <f t="shared" si="78"/>
        <v>2.2404985953689209</v>
      </c>
      <c r="AA430" s="126">
        <f t="shared" si="79"/>
        <v>3.2756046183792096</v>
      </c>
      <c r="AB430" s="126">
        <f t="shared" si="80"/>
        <v>2.4427292692347153</v>
      </c>
    </row>
    <row r="431" spans="1:28">
      <c r="A431">
        <v>430</v>
      </c>
      <c r="B431" s="119">
        <v>0.63923182441700954</v>
      </c>
      <c r="F431">
        <v>0.66224660874866648</v>
      </c>
      <c r="G431">
        <v>0.99557994208199974</v>
      </c>
      <c r="H431">
        <v>1.2040847431793934E-2</v>
      </c>
      <c r="I431">
        <v>0.34537418076512727</v>
      </c>
      <c r="J431">
        <v>0.67870751409846064</v>
      </c>
      <c r="K431">
        <v>0.12315195854290505</v>
      </c>
      <c r="L431">
        <v>0.45648529187623837</v>
      </c>
      <c r="M431">
        <v>0.78981862520957169</v>
      </c>
      <c r="N431">
        <v>0.23426306965401611</v>
      </c>
      <c r="O431">
        <v>0.56759640298734959</v>
      </c>
      <c r="R431">
        <v>2.5</v>
      </c>
      <c r="S431" s="126">
        <f t="shared" si="71"/>
        <v>2.7634906462562681</v>
      </c>
      <c r="T431" s="126">
        <f t="shared" si="72"/>
        <v>4.7101295266814986</v>
      </c>
      <c r="U431" s="126">
        <f t="shared" si="73"/>
        <v>1.6684354209370893</v>
      </c>
      <c r="V431" s="126">
        <f t="shared" si="74"/>
        <v>1.6721449095851151</v>
      </c>
      <c r="W431" s="126">
        <f t="shared" si="75"/>
        <v>2.3849269397124342</v>
      </c>
      <c r="X431" s="126">
        <f t="shared" si="76"/>
        <v>1.4041403424021106</v>
      </c>
      <c r="Y431" s="126">
        <f t="shared" si="77"/>
        <v>1.7773040142886956</v>
      </c>
      <c r="Z431" s="126">
        <f t="shared" si="78"/>
        <v>2.7196177392926124</v>
      </c>
      <c r="AA431" s="126">
        <f t="shared" si="79"/>
        <v>1.9307269475414026</v>
      </c>
      <c r="AB431" s="126">
        <f t="shared" si="80"/>
        <v>2.2725396505483246</v>
      </c>
    </row>
    <row r="432" spans="1:28">
      <c r="A432">
        <v>431</v>
      </c>
      <c r="B432" s="119">
        <v>0.9725651577503428</v>
      </c>
      <c r="F432">
        <v>0.90092973632068285</v>
      </c>
      <c r="G432">
        <v>4.9077884468830969E-2</v>
      </c>
      <c r="H432">
        <v>0.3824112178021643</v>
      </c>
      <c r="I432">
        <v>0.71574455113549773</v>
      </c>
      <c r="J432">
        <v>0.16018899557994204</v>
      </c>
      <c r="K432">
        <v>0.49352232891327541</v>
      </c>
      <c r="L432">
        <v>0.82685566224660867</v>
      </c>
      <c r="M432">
        <v>0.2713001066910532</v>
      </c>
      <c r="N432">
        <v>0.60463344002438657</v>
      </c>
      <c r="O432">
        <v>0.93796677335771983</v>
      </c>
      <c r="R432">
        <v>2.5</v>
      </c>
      <c r="S432" s="126">
        <f t="shared" si="71"/>
        <v>3.4796356297597129</v>
      </c>
      <c r="T432" s="126">
        <f t="shared" si="72"/>
        <v>1.5464877976550011</v>
      </c>
      <c r="U432" s="126">
        <f t="shared" si="73"/>
        <v>1.6922498689642191</v>
      </c>
      <c r="V432" s="126">
        <f t="shared" si="74"/>
        <v>2.4825910798193536</v>
      </c>
      <c r="W432" s="126">
        <f t="shared" si="75"/>
        <v>1.5898892815882559</v>
      </c>
      <c r="X432" s="126">
        <f t="shared" si="76"/>
        <v>1.9474128331879661</v>
      </c>
      <c r="Y432" s="126">
        <f t="shared" si="77"/>
        <v>2.9173040296773176</v>
      </c>
      <c r="Z432" s="126">
        <f t="shared" si="78"/>
        <v>2.1257555324093618</v>
      </c>
      <c r="AA432" s="126">
        <f t="shared" si="79"/>
        <v>2.4490000570478117</v>
      </c>
      <c r="AB432" s="126">
        <f t="shared" si="80"/>
        <v>3.6610770969786142</v>
      </c>
    </row>
    <row r="433" spans="1:28">
      <c r="A433">
        <v>432</v>
      </c>
      <c r="B433" s="119">
        <v>2.194787379972565E-2</v>
      </c>
      <c r="F433">
        <v>8.6114921505868011E-2</v>
      </c>
      <c r="G433">
        <v>0.41944825483920134</v>
      </c>
      <c r="H433">
        <v>0.75278158817253471</v>
      </c>
      <c r="I433">
        <v>0.19722603261697907</v>
      </c>
      <c r="J433">
        <v>0.5305593659503125</v>
      </c>
      <c r="K433">
        <v>0.86389269928364576</v>
      </c>
      <c r="L433">
        <v>0.30833714372809023</v>
      </c>
      <c r="M433">
        <v>0.64167047706142366</v>
      </c>
      <c r="N433">
        <v>0.97500381039475692</v>
      </c>
      <c r="O433">
        <v>2.4386526444139613E-2</v>
      </c>
      <c r="R433">
        <v>2.5</v>
      </c>
      <c r="S433" s="126">
        <f t="shared" si="71"/>
        <v>1.2923145362842121</v>
      </c>
      <c r="T433" s="126">
        <f t="shared" si="72"/>
        <v>1.643558616275846</v>
      </c>
      <c r="U433" s="126">
        <f t="shared" si="73"/>
        <v>2.5513403440559577</v>
      </c>
      <c r="V433" s="126">
        <f t="shared" si="74"/>
        <v>1.7416550750203865</v>
      </c>
      <c r="W433" s="126">
        <f t="shared" si="75"/>
        <v>2.1003256760345983</v>
      </c>
      <c r="X433" s="126">
        <f t="shared" si="76"/>
        <v>3.1229624244560545</v>
      </c>
      <c r="Y433" s="126">
        <f t="shared" si="77"/>
        <v>2.318458812900583</v>
      </c>
      <c r="Z433" s="126">
        <f t="shared" si="78"/>
        <v>2.6263274385321669</v>
      </c>
      <c r="AA433" s="126">
        <f t="shared" si="79"/>
        <v>4.0983516822926269</v>
      </c>
      <c r="AB433" s="126">
        <f t="shared" si="80"/>
        <v>1.5962326576407011</v>
      </c>
    </row>
    <row r="434" spans="1:28">
      <c r="A434">
        <v>433</v>
      </c>
      <c r="B434" s="119">
        <v>0.355281207133059</v>
      </c>
      <c r="F434">
        <v>0.35771985977747295</v>
      </c>
      <c r="G434">
        <v>0.69105319311080626</v>
      </c>
      <c r="H434">
        <v>0.13549763755525068</v>
      </c>
      <c r="I434">
        <v>0.46883097088858405</v>
      </c>
      <c r="J434">
        <v>0.80216430422191742</v>
      </c>
      <c r="K434">
        <v>0.24660874866636179</v>
      </c>
      <c r="L434">
        <v>0.57994208199969532</v>
      </c>
      <c r="M434">
        <v>0.91327541533302858</v>
      </c>
      <c r="N434">
        <v>6.1423563481176648E-2</v>
      </c>
      <c r="O434">
        <v>0.39475689681450998</v>
      </c>
      <c r="R434">
        <v>2.5</v>
      </c>
      <c r="S434" s="126">
        <f t="shared" si="71"/>
        <v>2.1175381768494637</v>
      </c>
      <c r="T434" s="126">
        <f t="shared" si="72"/>
        <v>2.6374435942348549</v>
      </c>
      <c r="U434" s="126">
        <f t="shared" si="73"/>
        <v>1.5793886591342432</v>
      </c>
      <c r="V434" s="126">
        <f t="shared" si="74"/>
        <v>1.8910215407957685</v>
      </c>
      <c r="W434" s="126">
        <f t="shared" si="75"/>
        <v>2.8127212466618801</v>
      </c>
      <c r="X434" s="126">
        <f t="shared" si="76"/>
        <v>2.0102478824338132</v>
      </c>
      <c r="Y434" s="126">
        <f t="shared" si="77"/>
        <v>2.3384775601099141</v>
      </c>
      <c r="Z434" s="126">
        <f t="shared" si="78"/>
        <v>3.459767480485664</v>
      </c>
      <c r="AA434" s="126">
        <f t="shared" si="79"/>
        <v>1.6279957566822425</v>
      </c>
      <c r="AB434" s="126">
        <f t="shared" si="80"/>
        <v>1.7597843193215899</v>
      </c>
    </row>
    <row r="435" spans="1:28">
      <c r="A435">
        <v>434</v>
      </c>
      <c r="B435" s="119">
        <v>0.68861454046639214</v>
      </c>
      <c r="F435">
        <v>0.72809023014784346</v>
      </c>
      <c r="G435">
        <v>0.17253467459228772</v>
      </c>
      <c r="H435">
        <v>0.50586800792562114</v>
      </c>
      <c r="I435">
        <v>0.8392013412589544</v>
      </c>
      <c r="J435">
        <v>0.28364578570339888</v>
      </c>
      <c r="K435">
        <v>0.6169791190367323</v>
      </c>
      <c r="L435">
        <v>0.95031245237006556</v>
      </c>
      <c r="M435">
        <v>9.846060051821369E-2</v>
      </c>
      <c r="N435">
        <v>0.43179393385154702</v>
      </c>
      <c r="O435">
        <v>0.76512726718488044</v>
      </c>
      <c r="R435">
        <v>2.5</v>
      </c>
      <c r="S435" s="126">
        <f t="shared" si="71"/>
        <v>2.9189200315724393</v>
      </c>
      <c r="T435" s="126">
        <f t="shared" si="72"/>
        <v>1.8500035453688168</v>
      </c>
      <c r="U435" s="126">
        <f t="shared" si="73"/>
        <v>2.1036715721437673</v>
      </c>
      <c r="V435" s="126">
        <f t="shared" si="74"/>
        <v>3.036558673416117</v>
      </c>
      <c r="W435" s="126">
        <f t="shared" si="75"/>
        <v>2.2160792139630221</v>
      </c>
      <c r="X435" s="126">
        <f t="shared" si="76"/>
        <v>2.5209533648926161</v>
      </c>
      <c r="Y435" s="126">
        <f t="shared" si="77"/>
        <v>3.7879388783052557</v>
      </c>
      <c r="Z435" s="126">
        <f t="shared" si="78"/>
        <v>2.001245915130422</v>
      </c>
      <c r="AA435" s="126">
        <f t="shared" si="79"/>
        <v>2.0258457604204487</v>
      </c>
      <c r="AB435" s="126">
        <f t="shared" si="80"/>
        <v>2.7761598788169657</v>
      </c>
    </row>
    <row r="436" spans="1:28">
      <c r="A436">
        <v>435</v>
      </c>
      <c r="B436" s="119">
        <v>0.13305898491083676</v>
      </c>
      <c r="F436">
        <v>0.20957171162932475</v>
      </c>
      <c r="G436">
        <v>0.54290504496265812</v>
      </c>
      <c r="H436">
        <v>0.87623837829599138</v>
      </c>
      <c r="I436">
        <v>0.32068282274043591</v>
      </c>
      <c r="J436">
        <v>0.65401615607376928</v>
      </c>
      <c r="K436">
        <v>0.98734948940710254</v>
      </c>
      <c r="L436">
        <v>3.6732205456485291E-2</v>
      </c>
      <c r="M436">
        <v>0.37006553878981863</v>
      </c>
      <c r="N436">
        <v>0.703398872123152</v>
      </c>
      <c r="O436">
        <v>0.14784331656759636</v>
      </c>
      <c r="R436">
        <v>2.5</v>
      </c>
      <c r="S436" s="126">
        <f t="shared" si="71"/>
        <v>1.7518647463117021</v>
      </c>
      <c r="T436" s="126">
        <f t="shared" si="72"/>
        <v>2.1310911203428877</v>
      </c>
      <c r="U436" s="126">
        <f t="shared" si="73"/>
        <v>3.1866011350636301</v>
      </c>
      <c r="V436" s="126">
        <f t="shared" si="74"/>
        <v>2.3791293731737158</v>
      </c>
      <c r="W436" s="126">
        <f t="shared" si="75"/>
        <v>2.6842522218516924</v>
      </c>
      <c r="X436" s="126">
        <f t="shared" si="76"/>
        <v>4.3557249811225898</v>
      </c>
      <c r="Y436" s="126">
        <f t="shared" si="77"/>
        <v>1.8745766814147067</v>
      </c>
      <c r="Z436" s="126">
        <f t="shared" si="78"/>
        <v>1.8303202053788625</v>
      </c>
      <c r="AA436" s="126">
        <f t="shared" si="79"/>
        <v>2.5222556242297451</v>
      </c>
      <c r="AB436" s="126">
        <f t="shared" si="80"/>
        <v>1.5668966653045269</v>
      </c>
    </row>
    <row r="437" spans="1:28">
      <c r="A437">
        <v>436</v>
      </c>
      <c r="B437" s="119">
        <v>0.4663923182441701</v>
      </c>
      <c r="F437">
        <v>0.48117664990092973</v>
      </c>
      <c r="G437">
        <v>0.81450998323426305</v>
      </c>
      <c r="H437">
        <v>0.25895442767870752</v>
      </c>
      <c r="I437">
        <v>0.59228776101204095</v>
      </c>
      <c r="J437">
        <v>0.92562109434537421</v>
      </c>
      <c r="K437">
        <v>7.3769242493522333E-2</v>
      </c>
      <c r="L437">
        <v>0.40710257582685566</v>
      </c>
      <c r="M437">
        <v>0.74043590916018909</v>
      </c>
      <c r="N437">
        <v>0.1848803536046334</v>
      </c>
      <c r="O437">
        <v>0.51821368693796688</v>
      </c>
      <c r="R437">
        <v>2.5</v>
      </c>
      <c r="S437" s="126">
        <f t="shared" si="71"/>
        <v>2.3792963338683002</v>
      </c>
      <c r="T437" s="126">
        <f t="shared" si="72"/>
        <v>3.0954601221103721</v>
      </c>
      <c r="U437" s="126">
        <f t="shared" si="73"/>
        <v>2.1842129471756655</v>
      </c>
      <c r="V437" s="126">
        <f t="shared" si="74"/>
        <v>2.4520491626380188</v>
      </c>
      <c r="W437" s="126">
        <f t="shared" si="75"/>
        <v>3.585083321425528</v>
      </c>
      <c r="X437" s="126">
        <f t="shared" si="76"/>
        <v>1.7690481656693369</v>
      </c>
      <c r="Y437" s="126">
        <f t="shared" si="77"/>
        <v>1.8570192420208778</v>
      </c>
      <c r="Z437" s="126">
        <f t="shared" si="78"/>
        <v>2.6268055165461477</v>
      </c>
      <c r="AA437" s="126">
        <f t="shared" si="79"/>
        <v>1.7421788857340528</v>
      </c>
      <c r="AB437" s="126">
        <f t="shared" si="80"/>
        <v>2.0750158358294599</v>
      </c>
    </row>
    <row r="438" spans="1:28">
      <c r="A438">
        <v>437</v>
      </c>
      <c r="B438" s="119">
        <v>0.7997256515775033</v>
      </c>
      <c r="F438">
        <v>0.85154702027130003</v>
      </c>
      <c r="G438">
        <v>0.29599146471574456</v>
      </c>
      <c r="H438">
        <v>0.62932479804907793</v>
      </c>
      <c r="I438">
        <v>0.96265813138241119</v>
      </c>
      <c r="J438">
        <v>0.11080627953055937</v>
      </c>
      <c r="K438">
        <v>0.4441396128638927</v>
      </c>
      <c r="L438">
        <v>0.77747294619722607</v>
      </c>
      <c r="M438">
        <v>0.22191739064167043</v>
      </c>
      <c r="N438">
        <v>0.55525072397500386</v>
      </c>
      <c r="O438">
        <v>0.88858405730833712</v>
      </c>
      <c r="R438">
        <v>2.5</v>
      </c>
      <c r="S438" s="126">
        <f t="shared" si="71"/>
        <v>3.2785692336642205</v>
      </c>
      <c r="T438" s="126">
        <f t="shared" si="72"/>
        <v>2.3674726309847891</v>
      </c>
      <c r="U438" s="126">
        <f t="shared" si="73"/>
        <v>2.6238572817210581</v>
      </c>
      <c r="V438" s="126">
        <f t="shared" si="74"/>
        <v>3.9506030889254955</v>
      </c>
      <c r="W438" s="126">
        <f t="shared" si="75"/>
        <v>2.1391875701255034</v>
      </c>
      <c r="X438" s="126">
        <f t="shared" si="76"/>
        <v>2.1210136138019511</v>
      </c>
      <c r="Y438" s="126">
        <f t="shared" si="77"/>
        <v>2.8576374799045956</v>
      </c>
      <c r="Z438" s="126">
        <f t="shared" si="78"/>
        <v>1.9663988962650967</v>
      </c>
      <c r="AA438" s="126">
        <f t="shared" si="79"/>
        <v>2.2646362039599497</v>
      </c>
      <c r="AB438" s="126">
        <f t="shared" si="80"/>
        <v>3.3053915412767609</v>
      </c>
    </row>
    <row r="439" spans="1:28">
      <c r="A439">
        <v>438</v>
      </c>
      <c r="B439" s="119">
        <v>0.24417009602194786</v>
      </c>
      <c r="F439">
        <v>0.33302850175278159</v>
      </c>
      <c r="G439">
        <v>0.66636183508611502</v>
      </c>
      <c r="H439">
        <v>0.99969516841944828</v>
      </c>
      <c r="I439">
        <v>3.0483158055174517E-4</v>
      </c>
      <c r="J439">
        <v>0.33363816491388504</v>
      </c>
      <c r="K439">
        <v>0.66697149824721835</v>
      </c>
      <c r="L439">
        <v>0.11141594269166286</v>
      </c>
      <c r="M439">
        <v>0.44474927602499614</v>
      </c>
      <c r="N439">
        <v>0.7780826093583294</v>
      </c>
      <c r="O439">
        <v>0.22252705380277396</v>
      </c>
      <c r="R439">
        <v>2.5</v>
      </c>
      <c r="S439" s="126">
        <f t="shared" si="71"/>
        <v>2.0622719500101478</v>
      </c>
      <c r="T439" s="126">
        <f t="shared" si="72"/>
        <v>2.5527978347061508</v>
      </c>
      <c r="U439" s="126">
        <f t="shared" si="73"/>
        <v>5.2715830452944692</v>
      </c>
      <c r="V439" s="126">
        <f t="shared" si="74"/>
        <v>0.98440566499384285</v>
      </c>
      <c r="W439" s="126">
        <f t="shared" si="75"/>
        <v>1.3019172145948548</v>
      </c>
      <c r="X439" s="126">
        <f t="shared" si="76"/>
        <v>2.1720265220452259</v>
      </c>
      <c r="Y439" s="126">
        <f t="shared" si="77"/>
        <v>1.2479300248134404</v>
      </c>
      <c r="Z439" s="126">
        <f t="shared" si="78"/>
        <v>1.6743403917741226</v>
      </c>
      <c r="AA439" s="126">
        <f t="shared" si="79"/>
        <v>2.6348280620406261</v>
      </c>
      <c r="AB439" s="126">
        <f t="shared" si="80"/>
        <v>1.8561034263738838</v>
      </c>
    </row>
    <row r="440" spans="1:28">
      <c r="A440">
        <v>439</v>
      </c>
      <c r="B440" s="119">
        <v>0.57750342935528121</v>
      </c>
      <c r="F440">
        <v>0.5558603871361073</v>
      </c>
      <c r="G440">
        <v>0.88919372046944056</v>
      </c>
      <c r="H440">
        <v>3.7341868617588779E-2</v>
      </c>
      <c r="I440">
        <v>0.37067520195092207</v>
      </c>
      <c r="J440">
        <v>0.70400853528425544</v>
      </c>
      <c r="K440">
        <v>0.14845297972869989</v>
      </c>
      <c r="L440">
        <v>0.48178631306203318</v>
      </c>
      <c r="M440">
        <v>0.81511964639536638</v>
      </c>
      <c r="N440">
        <v>0.25956409083981097</v>
      </c>
      <c r="O440">
        <v>0.59289742417314428</v>
      </c>
      <c r="R440">
        <v>2.5</v>
      </c>
      <c r="S440" s="126">
        <f t="shared" si="71"/>
        <v>2.5340969389431267</v>
      </c>
      <c r="T440" s="126">
        <f t="shared" si="72"/>
        <v>3.4434775438812655</v>
      </c>
      <c r="U440" s="126">
        <f t="shared" si="73"/>
        <v>1.4222942744222311</v>
      </c>
      <c r="V440" s="126">
        <f t="shared" si="74"/>
        <v>1.60433444493651</v>
      </c>
      <c r="W440" s="126">
        <f t="shared" si="75"/>
        <v>2.4101296378799377</v>
      </c>
      <c r="X440" s="126">
        <f t="shared" si="76"/>
        <v>1.5127168023342359</v>
      </c>
      <c r="Y440" s="126">
        <f t="shared" si="77"/>
        <v>1.8843496169936618</v>
      </c>
      <c r="Z440" s="126">
        <f t="shared" si="78"/>
        <v>2.8485825643830549</v>
      </c>
      <c r="AA440" s="126">
        <f t="shared" si="79"/>
        <v>2.0616848313524687</v>
      </c>
      <c r="AB440" s="126">
        <f t="shared" si="80"/>
        <v>2.3917620422822816</v>
      </c>
    </row>
    <row r="441" spans="1:28">
      <c r="A441">
        <v>440</v>
      </c>
      <c r="B441" s="119">
        <v>0.91083676268861447</v>
      </c>
      <c r="F441">
        <v>0.92623075750647754</v>
      </c>
      <c r="G441">
        <v>7.4378905654625821E-2</v>
      </c>
      <c r="H441">
        <v>0.40771223898795911</v>
      </c>
      <c r="I441">
        <v>0.74104557232129242</v>
      </c>
      <c r="J441">
        <v>0.18549001676573693</v>
      </c>
      <c r="K441">
        <v>0.51882335009907021</v>
      </c>
      <c r="L441">
        <v>0.85215668343240347</v>
      </c>
      <c r="M441">
        <v>0.296601127876848</v>
      </c>
      <c r="N441">
        <v>0.62993446121018137</v>
      </c>
      <c r="O441">
        <v>0.96326779454351463</v>
      </c>
      <c r="R441">
        <v>2.5</v>
      </c>
      <c r="S441" s="126">
        <f t="shared" si="71"/>
        <v>3.6127695916791325</v>
      </c>
      <c r="T441" s="126">
        <f t="shared" si="72"/>
        <v>1.7865494644942723</v>
      </c>
      <c r="U441" s="126">
        <f t="shared" si="73"/>
        <v>1.8671109054672921</v>
      </c>
      <c r="V441" s="126">
        <f t="shared" si="74"/>
        <v>2.6334301312848685</v>
      </c>
      <c r="W441" s="126">
        <f t="shared" si="75"/>
        <v>1.7473910792756098</v>
      </c>
      <c r="X441" s="126">
        <f t="shared" si="76"/>
        <v>2.078897302575621</v>
      </c>
      <c r="Y441" s="126">
        <f t="shared" si="77"/>
        <v>3.0690976757078494</v>
      </c>
      <c r="Z441" s="126">
        <f t="shared" si="78"/>
        <v>2.2636466828044361</v>
      </c>
      <c r="AA441" s="126">
        <f t="shared" si="79"/>
        <v>2.5730057374776782</v>
      </c>
      <c r="AB441" s="126">
        <f t="shared" si="80"/>
        <v>3.9312582577537856</v>
      </c>
    </row>
    <row r="442" spans="1:28">
      <c r="A442">
        <v>441</v>
      </c>
      <c r="B442" s="119">
        <v>5.8984910836762688E-2</v>
      </c>
      <c r="F442">
        <v>1.2650510592897424E-2</v>
      </c>
      <c r="G442">
        <v>0.34598384392623072</v>
      </c>
      <c r="H442">
        <v>0.67931717725956398</v>
      </c>
      <c r="I442">
        <v>0.12376162170400853</v>
      </c>
      <c r="J442">
        <v>0.45709495503734182</v>
      </c>
      <c r="K442">
        <v>0.79042828837067514</v>
      </c>
      <c r="L442">
        <v>0.23487273281511964</v>
      </c>
      <c r="M442">
        <v>0.56820606614845304</v>
      </c>
      <c r="N442">
        <v>0.9015393994817863</v>
      </c>
      <c r="O442">
        <v>4.9687547629934457E-2</v>
      </c>
      <c r="R442">
        <v>2.5</v>
      </c>
      <c r="S442" s="126">
        <f t="shared" si="71"/>
        <v>0.57333506558006953</v>
      </c>
      <c r="T442" s="126">
        <f t="shared" si="72"/>
        <v>1.1231112850659599</v>
      </c>
      <c r="U442" s="126">
        <f t="shared" si="73"/>
        <v>2.1103869691834158</v>
      </c>
      <c r="V442" s="126">
        <f t="shared" si="74"/>
        <v>1.2686206327322902</v>
      </c>
      <c r="W442" s="126">
        <f t="shared" si="75"/>
        <v>1.7104597111646225</v>
      </c>
      <c r="X442" s="126">
        <f t="shared" si="76"/>
        <v>2.6877671845196365</v>
      </c>
      <c r="Y442" s="126">
        <f t="shared" si="77"/>
        <v>1.9163568673099212</v>
      </c>
      <c r="Z442" s="126">
        <f t="shared" si="78"/>
        <v>2.2665962780340676</v>
      </c>
      <c r="AA442" s="126">
        <f t="shared" si="79"/>
        <v>3.3652183344457218</v>
      </c>
      <c r="AB442" s="126">
        <f t="shared" si="80"/>
        <v>1.4939058977821928</v>
      </c>
    </row>
    <row r="443" spans="1:28">
      <c r="A443">
        <v>442</v>
      </c>
      <c r="B443" s="119">
        <v>0.39231824417009603</v>
      </c>
      <c r="F443">
        <v>0.38302088096326775</v>
      </c>
      <c r="G443">
        <v>0.71635421429660118</v>
      </c>
      <c r="H443">
        <v>0.16079865874104557</v>
      </c>
      <c r="I443">
        <v>0.49413199207437886</v>
      </c>
      <c r="J443">
        <v>0.82746532540771212</v>
      </c>
      <c r="K443">
        <v>0.27190976985215665</v>
      </c>
      <c r="L443">
        <v>0.60524310318549002</v>
      </c>
      <c r="M443">
        <v>0.93857643651882328</v>
      </c>
      <c r="N443">
        <v>8.6724584666971499E-2</v>
      </c>
      <c r="O443">
        <v>0.42005791800030479</v>
      </c>
      <c r="R443">
        <v>2.5</v>
      </c>
      <c r="S443" s="126">
        <f t="shared" si="71"/>
        <v>2.1728029280451988</v>
      </c>
      <c r="T443" s="126">
        <f t="shared" si="72"/>
        <v>2.725600806931435</v>
      </c>
      <c r="U443" s="126">
        <f t="shared" si="73"/>
        <v>1.714088504307079</v>
      </c>
      <c r="V443" s="126">
        <f t="shared" si="74"/>
        <v>2.0110959720233375</v>
      </c>
      <c r="W443" s="126">
        <f t="shared" si="75"/>
        <v>2.9512773780384198</v>
      </c>
      <c r="X443" s="126">
        <f t="shared" si="76"/>
        <v>2.1443468586296701</v>
      </c>
      <c r="Y443" s="126">
        <f t="shared" si="77"/>
        <v>2.4596499591341772</v>
      </c>
      <c r="Z443" s="126">
        <f t="shared" si="78"/>
        <v>3.6705583284706895</v>
      </c>
      <c r="AA443" s="126">
        <f t="shared" si="79"/>
        <v>1.8838288371149474</v>
      </c>
      <c r="AB443" s="126">
        <f t="shared" si="80"/>
        <v>1.9421402791352929</v>
      </c>
    </row>
    <row r="444" spans="1:28">
      <c r="A444">
        <v>443</v>
      </c>
      <c r="B444" s="119">
        <v>0.72565157750342935</v>
      </c>
      <c r="F444">
        <v>0.75339125133363816</v>
      </c>
      <c r="G444">
        <v>0.1978356957780826</v>
      </c>
      <c r="H444">
        <v>0.53116902911141584</v>
      </c>
      <c r="I444">
        <v>0.8645023624447491</v>
      </c>
      <c r="J444">
        <v>0.30894680688919368</v>
      </c>
      <c r="K444">
        <v>0.642280140222527</v>
      </c>
      <c r="L444">
        <v>0.97561347355586026</v>
      </c>
      <c r="M444">
        <v>2.4996189605243101E-2</v>
      </c>
      <c r="N444">
        <v>0.35832952293857639</v>
      </c>
      <c r="O444">
        <v>0.69166285627190971</v>
      </c>
      <c r="R444">
        <v>2.5</v>
      </c>
      <c r="S444" s="126">
        <f t="shared" si="71"/>
        <v>2.9833806961384473</v>
      </c>
      <c r="T444" s="126">
        <f t="shared" si="72"/>
        <v>1.9606081976212568</v>
      </c>
      <c r="U444" s="126">
        <f t="shared" si="73"/>
        <v>2.2116357594095453</v>
      </c>
      <c r="V444" s="126">
        <f t="shared" si="74"/>
        <v>3.1812135040074314</v>
      </c>
      <c r="W444" s="126">
        <f t="shared" si="75"/>
        <v>2.34916388056382</v>
      </c>
      <c r="X444" s="126">
        <f t="shared" si="76"/>
        <v>2.643106469521912</v>
      </c>
      <c r="Y444" s="126">
        <f t="shared" si="77"/>
        <v>4.1154790894612834</v>
      </c>
      <c r="Z444" s="126">
        <f t="shared" si="78"/>
        <v>1.6135351586768807</v>
      </c>
      <c r="AA444" s="126">
        <f t="shared" si="79"/>
        <v>1.6733476115826662</v>
      </c>
      <c r="AB444" s="126">
        <f t="shared" si="80"/>
        <v>2.4156214912124776</v>
      </c>
    </row>
    <row r="445" spans="1:28">
      <c r="A445">
        <v>444</v>
      </c>
      <c r="B445" s="119">
        <v>0.17009602194787379</v>
      </c>
      <c r="F445">
        <v>0.13610730071635421</v>
      </c>
      <c r="G445">
        <v>0.4694406340496875</v>
      </c>
      <c r="H445">
        <v>0.80277396738302076</v>
      </c>
      <c r="I445">
        <v>0.24721841182746532</v>
      </c>
      <c r="J445">
        <v>0.58055174516079866</v>
      </c>
      <c r="K445">
        <v>0.91388507849413192</v>
      </c>
      <c r="L445">
        <v>6.2033226642280136E-2</v>
      </c>
      <c r="M445">
        <v>0.39536655997561343</v>
      </c>
      <c r="N445">
        <v>0.7286998933089468</v>
      </c>
      <c r="O445">
        <v>0.17314433775339125</v>
      </c>
      <c r="R445">
        <v>2.5</v>
      </c>
      <c r="S445" s="126">
        <f t="shared" si="71"/>
        <v>1.5126161403189338</v>
      </c>
      <c r="T445" s="126">
        <f t="shared" si="72"/>
        <v>1.8587259167949439</v>
      </c>
      <c r="U445" s="126">
        <f t="shared" si="73"/>
        <v>2.7982991076832757</v>
      </c>
      <c r="V445" s="126">
        <f t="shared" si="74"/>
        <v>2.004592228005897</v>
      </c>
      <c r="W445" s="126">
        <f t="shared" si="75"/>
        <v>2.3369216034563625</v>
      </c>
      <c r="X445" s="126">
        <f t="shared" si="76"/>
        <v>3.4621771416129543</v>
      </c>
      <c r="Y445" s="126">
        <f t="shared" si="77"/>
        <v>1.6333354430682863</v>
      </c>
      <c r="Z445" s="126">
        <f t="shared" si="78"/>
        <v>1.763773947227254</v>
      </c>
      <c r="AA445" s="126">
        <f t="shared" si="79"/>
        <v>2.5504091387828756</v>
      </c>
      <c r="AB445" s="126">
        <f t="shared" si="80"/>
        <v>1.666756173435227</v>
      </c>
    </row>
    <row r="446" spans="1:28">
      <c r="A446">
        <v>445</v>
      </c>
      <c r="B446" s="119">
        <v>0.50342935528120702</v>
      </c>
      <c r="F446">
        <v>0.50647767108672459</v>
      </c>
      <c r="G446">
        <v>0.83981100442005774</v>
      </c>
      <c r="H446">
        <v>0.28425544886450232</v>
      </c>
      <c r="I446">
        <v>0.61758878219783564</v>
      </c>
      <c r="J446">
        <v>0.9509221155311689</v>
      </c>
      <c r="K446">
        <v>9.9070263679317178E-2</v>
      </c>
      <c r="L446">
        <v>0.43240359701265046</v>
      </c>
      <c r="M446">
        <v>0.76573693034598378</v>
      </c>
      <c r="N446">
        <v>0.21018137479042828</v>
      </c>
      <c r="O446">
        <v>0.54351470812376157</v>
      </c>
      <c r="R446">
        <v>2.5</v>
      </c>
      <c r="S446" s="126">
        <f t="shared" si="71"/>
        <v>2.431620399738291</v>
      </c>
      <c r="T446" s="126">
        <f t="shared" si="72"/>
        <v>3.2034482880374147</v>
      </c>
      <c r="U446" s="126">
        <f t="shared" si="73"/>
        <v>2.3014416938896676</v>
      </c>
      <c r="V446" s="126">
        <f t="shared" si="74"/>
        <v>2.5651743734861308</v>
      </c>
      <c r="W446" s="126">
        <f t="shared" si="75"/>
        <v>3.8150885899763574</v>
      </c>
      <c r="X446" s="126">
        <f t="shared" si="76"/>
        <v>2.0177827755624045</v>
      </c>
      <c r="Y446" s="126">
        <f t="shared" si="77"/>
        <v>2.0354362162836486</v>
      </c>
      <c r="Z446" s="126">
        <f t="shared" si="78"/>
        <v>2.7826180505312257</v>
      </c>
      <c r="AA446" s="126">
        <f t="shared" si="79"/>
        <v>1.8956539704858797</v>
      </c>
      <c r="AB446" s="126">
        <f t="shared" si="80"/>
        <v>2.2046274873688083</v>
      </c>
    </row>
    <row r="447" spans="1:28">
      <c r="A447">
        <v>446</v>
      </c>
      <c r="B447" s="119">
        <v>0.83676268861454028</v>
      </c>
      <c r="F447">
        <v>0.87684804145709483</v>
      </c>
      <c r="G447">
        <v>0.32129248590153936</v>
      </c>
      <c r="H447">
        <v>0.65462581923487273</v>
      </c>
      <c r="I447">
        <v>0.98795915256820599</v>
      </c>
      <c r="J447">
        <v>4.4200579180003049E-3</v>
      </c>
      <c r="K447">
        <v>0.33775339125133358</v>
      </c>
      <c r="L447">
        <v>0.67108672458466689</v>
      </c>
      <c r="M447">
        <v>0.11553116902911141</v>
      </c>
      <c r="N447">
        <v>0.44886450236244468</v>
      </c>
      <c r="O447">
        <v>0.78219783569577794</v>
      </c>
      <c r="R447">
        <v>2.5</v>
      </c>
      <c r="S447" s="126">
        <f t="shared" si="71"/>
        <v>3.3744788174973586</v>
      </c>
      <c r="T447" s="126">
        <f t="shared" si="72"/>
        <v>2.4749610255192169</v>
      </c>
      <c r="U447" s="126">
        <f t="shared" si="73"/>
        <v>2.7337810244038243</v>
      </c>
      <c r="V447" s="126">
        <f t="shared" si="74"/>
        <v>4.3963289020383947</v>
      </c>
      <c r="W447" s="126">
        <f t="shared" si="75"/>
        <v>1.2118506582913984</v>
      </c>
      <c r="X447" s="126">
        <f t="shared" si="76"/>
        <v>1.4255403746009887</v>
      </c>
      <c r="Y447" s="126">
        <f t="shared" si="77"/>
        <v>2.2435210842371314</v>
      </c>
      <c r="Z447" s="126">
        <f t="shared" si="78"/>
        <v>1.3015185525907915</v>
      </c>
      <c r="AA447" s="126">
        <f t="shared" si="79"/>
        <v>1.7098585432833802</v>
      </c>
      <c r="AB447" s="126">
        <f t="shared" si="80"/>
        <v>2.6641472808312043</v>
      </c>
    </row>
    <row r="448" spans="1:28">
      <c r="A448">
        <v>447</v>
      </c>
      <c r="B448" s="119">
        <v>0.28120713305898493</v>
      </c>
      <c r="F448">
        <v>0.22664228014022253</v>
      </c>
      <c r="G448">
        <v>0.55997561347355584</v>
      </c>
      <c r="H448">
        <v>0.8933089468068891</v>
      </c>
      <c r="I448">
        <v>4.1457094955037341E-2</v>
      </c>
      <c r="J448">
        <v>0.37479042828837061</v>
      </c>
      <c r="K448">
        <v>0.70812376162170398</v>
      </c>
      <c r="L448">
        <v>0.15256820606614846</v>
      </c>
      <c r="M448">
        <v>0.48590153939948172</v>
      </c>
      <c r="N448">
        <v>0.81923487273281492</v>
      </c>
      <c r="O448">
        <v>0.26367931717725951</v>
      </c>
      <c r="R448">
        <v>2.5</v>
      </c>
      <c r="S448" s="126">
        <f t="shared" si="71"/>
        <v>1.7996683256190973</v>
      </c>
      <c r="T448" s="126">
        <f t="shared" si="72"/>
        <v>2.1907091534509826</v>
      </c>
      <c r="U448" s="126">
        <f t="shared" si="73"/>
        <v>3.2890923389112063</v>
      </c>
      <c r="V448" s="126">
        <f t="shared" si="74"/>
        <v>1.3846039511930439</v>
      </c>
      <c r="W448" s="126">
        <f t="shared" si="75"/>
        <v>1.5943597520068411</v>
      </c>
      <c r="X448" s="126">
        <f t="shared" si="76"/>
        <v>2.4149702911438848</v>
      </c>
      <c r="Y448" s="126">
        <f t="shared" si="77"/>
        <v>1.5296750001767911</v>
      </c>
      <c r="Z448" s="126">
        <f t="shared" si="78"/>
        <v>1.9013879232642696</v>
      </c>
      <c r="AA448" s="126">
        <f t="shared" si="79"/>
        <v>2.8699563164261139</v>
      </c>
      <c r="AB448" s="126">
        <f t="shared" si="80"/>
        <v>2.0828582348308164</v>
      </c>
    </row>
    <row r="449" spans="1:28">
      <c r="A449">
        <v>448</v>
      </c>
      <c r="B449" s="119">
        <v>0.61454046639231819</v>
      </c>
      <c r="F449">
        <v>0.59701265051059282</v>
      </c>
      <c r="G449">
        <v>0.93034598384392608</v>
      </c>
      <c r="H449">
        <v>7.8494131992074376E-2</v>
      </c>
      <c r="I449">
        <v>0.41182746532540765</v>
      </c>
      <c r="J449">
        <v>0.74516079865874096</v>
      </c>
      <c r="K449">
        <v>0.18960524310318549</v>
      </c>
      <c r="L449">
        <v>0.52293857643651875</v>
      </c>
      <c r="M449">
        <v>0.85627190976985201</v>
      </c>
      <c r="N449">
        <v>0.30071635421429654</v>
      </c>
      <c r="O449">
        <v>0.63404968754762991</v>
      </c>
      <c r="R449">
        <v>2.5</v>
      </c>
      <c r="S449" s="126">
        <f t="shared" si="71"/>
        <v>2.6208166342979453</v>
      </c>
      <c r="T449" s="126">
        <f t="shared" si="72"/>
        <v>3.6983117329419906</v>
      </c>
      <c r="U449" s="126">
        <f t="shared" si="73"/>
        <v>1.8531811719383393</v>
      </c>
      <c r="V449" s="126">
        <f t="shared" si="74"/>
        <v>1.9093324556643547</v>
      </c>
      <c r="W449" s="126">
        <f t="shared" si="75"/>
        <v>2.6651803554373514</v>
      </c>
      <c r="X449" s="126">
        <f t="shared" si="76"/>
        <v>1.77595761313545</v>
      </c>
      <c r="Y449" s="126">
        <f t="shared" si="77"/>
        <v>2.1017746481086714</v>
      </c>
      <c r="Z449" s="126">
        <f t="shared" si="78"/>
        <v>3.0954345074528362</v>
      </c>
      <c r="AA449" s="126">
        <f t="shared" si="79"/>
        <v>2.2866657072611445</v>
      </c>
      <c r="AB449" s="126">
        <f t="shared" si="80"/>
        <v>2.5935807639775446</v>
      </c>
    </row>
    <row r="450" spans="1:28">
      <c r="A450">
        <v>449</v>
      </c>
      <c r="B450" s="119">
        <v>0.94787379972565144</v>
      </c>
      <c r="F450">
        <v>0.96738302088096317</v>
      </c>
      <c r="G450">
        <v>1.6765736930345984E-2</v>
      </c>
      <c r="H450">
        <v>0.35009907026367926</v>
      </c>
      <c r="I450">
        <v>0.68343240359701252</v>
      </c>
      <c r="J450">
        <v>0.1278768480414571</v>
      </c>
      <c r="K450">
        <v>0.46121018137479036</v>
      </c>
      <c r="L450">
        <v>0.79454351470812368</v>
      </c>
      <c r="M450">
        <v>0.23898795915256821</v>
      </c>
      <c r="N450">
        <v>0.57232129248590158</v>
      </c>
      <c r="O450">
        <v>0.90565462581923484</v>
      </c>
      <c r="R450">
        <v>2.5</v>
      </c>
      <c r="S450" s="126">
        <f t="shared" si="71"/>
        <v>3.9388711248981059</v>
      </c>
      <c r="T450" s="126">
        <f t="shared" si="72"/>
        <v>1.3881586507094794</v>
      </c>
      <c r="U450" s="126">
        <f t="shared" si="73"/>
        <v>1.5418242542476857</v>
      </c>
      <c r="V450" s="126">
        <f t="shared" si="74"/>
        <v>2.3303407787060912</v>
      </c>
      <c r="W450" s="126">
        <f t="shared" si="75"/>
        <v>1.3955839983712186</v>
      </c>
      <c r="X450" s="126">
        <f t="shared" si="76"/>
        <v>1.7828245046119049</v>
      </c>
      <c r="Y450" s="126">
        <f t="shared" si="77"/>
        <v>2.735998227913663</v>
      </c>
      <c r="Z450" s="126">
        <f t="shared" si="78"/>
        <v>1.9515935807305294</v>
      </c>
      <c r="AA450" s="126">
        <f t="shared" si="79"/>
        <v>2.2929487808619391</v>
      </c>
      <c r="AB450" s="126">
        <f t="shared" si="80"/>
        <v>3.3983318272523402</v>
      </c>
    </row>
    <row r="451" spans="1:28">
      <c r="A451">
        <v>450</v>
      </c>
      <c r="B451" s="119">
        <v>9.6021947873799723E-2</v>
      </c>
      <c r="F451">
        <v>5.3802773967383019E-2</v>
      </c>
      <c r="G451">
        <v>0.38713610730071629</v>
      </c>
      <c r="H451">
        <v>0.72046944063404972</v>
      </c>
      <c r="I451">
        <v>0.16491388507849414</v>
      </c>
      <c r="J451">
        <v>0.4982472184118274</v>
      </c>
      <c r="K451">
        <v>0.83158055174516066</v>
      </c>
      <c r="L451">
        <v>0.27602499618960519</v>
      </c>
      <c r="M451">
        <v>0.60935832952293856</v>
      </c>
      <c r="N451">
        <v>0.94269166285627182</v>
      </c>
      <c r="O451">
        <v>9.0839811004420054E-2</v>
      </c>
      <c r="R451">
        <v>2.5</v>
      </c>
      <c r="S451" s="126">
        <f t="shared" si="71"/>
        <v>1.0910835240886629</v>
      </c>
      <c r="T451" s="126">
        <f t="shared" si="72"/>
        <v>1.4735606516439008</v>
      </c>
      <c r="U451" s="126">
        <f t="shared" si="73"/>
        <v>2.3842173978817782</v>
      </c>
      <c r="V451" s="126">
        <f t="shared" si="74"/>
        <v>1.5562997972789137</v>
      </c>
      <c r="W451" s="126">
        <f t="shared" si="75"/>
        <v>1.9402998883602307</v>
      </c>
      <c r="X451" s="126">
        <f t="shared" si="76"/>
        <v>2.929084744208339</v>
      </c>
      <c r="Y451" s="126">
        <f t="shared" si="77"/>
        <v>2.1433842382239146</v>
      </c>
      <c r="Z451" s="126">
        <f t="shared" si="78"/>
        <v>2.4679956126431</v>
      </c>
      <c r="AA451" s="126">
        <f t="shared" si="79"/>
        <v>3.7034931333140335</v>
      </c>
      <c r="AB451" s="126">
        <f t="shared" si="80"/>
        <v>1.9214991289962589</v>
      </c>
    </row>
    <row r="452" spans="1:28">
      <c r="A452">
        <v>451</v>
      </c>
      <c r="B452" s="119">
        <v>0.42935528120713307</v>
      </c>
      <c r="F452">
        <v>0.42417314433775333</v>
      </c>
      <c r="G452">
        <v>0.7575064776710867</v>
      </c>
      <c r="H452">
        <v>0.20195092211553117</v>
      </c>
      <c r="I452">
        <v>0.53528425544886438</v>
      </c>
      <c r="J452">
        <v>0.86861758878219764</v>
      </c>
      <c r="K452">
        <v>0.31306203322664222</v>
      </c>
      <c r="L452">
        <v>0.64639536655997554</v>
      </c>
      <c r="M452">
        <v>0.9797286998933088</v>
      </c>
      <c r="N452">
        <v>2.9111415942691662E-2</v>
      </c>
      <c r="O452">
        <v>0.36244474927602494</v>
      </c>
      <c r="R452">
        <v>2.5</v>
      </c>
      <c r="S452" s="126">
        <f t="shared" si="71"/>
        <v>2.2605018708675955</v>
      </c>
      <c r="T452" s="126">
        <f t="shared" si="72"/>
        <v>2.8738168901935506</v>
      </c>
      <c r="U452" s="126">
        <f t="shared" si="73"/>
        <v>1.9176695134788382</v>
      </c>
      <c r="V452" s="126">
        <f t="shared" si="74"/>
        <v>2.1985925390106118</v>
      </c>
      <c r="W452" s="126">
        <f t="shared" si="75"/>
        <v>3.1904172283112993</v>
      </c>
      <c r="X452" s="126">
        <f t="shared" si="76"/>
        <v>2.3633972636268696</v>
      </c>
      <c r="Y452" s="126">
        <f t="shared" si="77"/>
        <v>2.6593713576210964</v>
      </c>
      <c r="Z452" s="126">
        <f t="shared" si="78"/>
        <v>4.1876643709708432</v>
      </c>
      <c r="AA452" s="126">
        <f t="shared" si="79"/>
        <v>1.7042628187776683</v>
      </c>
      <c r="AB452" s="126">
        <f t="shared" si="80"/>
        <v>1.728016681514807</v>
      </c>
    </row>
    <row r="453" spans="1:28">
      <c r="A453">
        <v>452</v>
      </c>
      <c r="B453" s="119">
        <v>0.76268861454046633</v>
      </c>
      <c r="F453">
        <v>0.69577808260935825</v>
      </c>
      <c r="G453">
        <v>0.14022252705380278</v>
      </c>
      <c r="H453">
        <v>0.47355586038713604</v>
      </c>
      <c r="I453">
        <v>0.8068891937204693</v>
      </c>
      <c r="J453">
        <v>0.25133363816491383</v>
      </c>
      <c r="K453">
        <v>0.5846669714982472</v>
      </c>
      <c r="L453">
        <v>0.91800030483158046</v>
      </c>
      <c r="M453">
        <v>6.6148452979728697E-2</v>
      </c>
      <c r="N453">
        <v>0.39948178631306197</v>
      </c>
      <c r="O453">
        <v>0.73281511964639534</v>
      </c>
      <c r="R453">
        <v>2.5</v>
      </c>
      <c r="S453" s="126">
        <f t="shared" si="71"/>
        <v>2.8407692155948139</v>
      </c>
      <c r="T453" s="126">
        <f t="shared" si="72"/>
        <v>1.6992748265755626</v>
      </c>
      <c r="U453" s="126">
        <f t="shared" si="73"/>
        <v>1.9610704836866217</v>
      </c>
      <c r="V453" s="126">
        <f t="shared" si="74"/>
        <v>2.8620422596448361</v>
      </c>
      <c r="W453" s="126">
        <f t="shared" si="75"/>
        <v>2.0473273574855329</v>
      </c>
      <c r="X453" s="126">
        <f t="shared" si="76"/>
        <v>2.3670955085489984</v>
      </c>
      <c r="Y453" s="126">
        <f t="shared" si="77"/>
        <v>3.4993415718220806</v>
      </c>
      <c r="Z453" s="126">
        <f t="shared" si="78"/>
        <v>1.6790853395634016</v>
      </c>
      <c r="AA453" s="126">
        <f t="shared" si="79"/>
        <v>1.7955685218329938</v>
      </c>
      <c r="AB453" s="126">
        <f t="shared" si="80"/>
        <v>2.5766691596218854</v>
      </c>
    </row>
    <row r="454" spans="1:28">
      <c r="A454">
        <v>453</v>
      </c>
      <c r="B454" s="119">
        <v>0.20713305898491083</v>
      </c>
      <c r="F454">
        <v>0.17725956409083982</v>
      </c>
      <c r="G454">
        <v>0.51059289742417313</v>
      </c>
      <c r="H454">
        <v>0.84392623075750628</v>
      </c>
      <c r="I454">
        <v>0.28837067520195087</v>
      </c>
      <c r="J454">
        <v>0.62170400853528418</v>
      </c>
      <c r="K454">
        <v>0.95503734186861744</v>
      </c>
      <c r="L454">
        <v>0.10318549001676573</v>
      </c>
      <c r="M454">
        <v>0.43651882335009901</v>
      </c>
      <c r="N454">
        <v>0.76985215668343232</v>
      </c>
      <c r="O454">
        <v>0.21429660112787685</v>
      </c>
      <c r="R454">
        <v>2.5</v>
      </c>
      <c r="S454" s="126">
        <f t="shared" si="71"/>
        <v>1.6545787262789726</v>
      </c>
      <c r="T454" s="126">
        <f t="shared" si="72"/>
        <v>2.015221747756526</v>
      </c>
      <c r="U454" s="126">
        <f t="shared" si="73"/>
        <v>3.0082247828918289</v>
      </c>
      <c r="V454" s="126">
        <f t="shared" si="74"/>
        <v>2.2132983591804951</v>
      </c>
      <c r="W454" s="126">
        <f t="shared" si="75"/>
        <v>2.5297855435852896</v>
      </c>
      <c r="X454" s="126">
        <f t="shared" si="76"/>
        <v>3.8318867295027617</v>
      </c>
      <c r="Y454" s="126">
        <f t="shared" si="77"/>
        <v>2.0454103354839885</v>
      </c>
      <c r="Z454" s="126">
        <f t="shared" si="78"/>
        <v>2.0579466112794624</v>
      </c>
      <c r="AA454" s="126">
        <f t="shared" si="79"/>
        <v>2.805050773090624</v>
      </c>
      <c r="AB454" s="126">
        <f t="shared" si="80"/>
        <v>1.9186332255108989</v>
      </c>
    </row>
    <row r="455" spans="1:28">
      <c r="A455">
        <v>454</v>
      </c>
      <c r="B455" s="119">
        <v>0.540466392318244</v>
      </c>
      <c r="F455">
        <v>0.54762993446121011</v>
      </c>
      <c r="G455">
        <v>0.88096326779454337</v>
      </c>
      <c r="H455">
        <v>0.3254077122389879</v>
      </c>
      <c r="I455">
        <v>0.65874104557232127</v>
      </c>
      <c r="J455">
        <v>0.99207437890565453</v>
      </c>
      <c r="K455">
        <v>8.5352842554488658E-3</v>
      </c>
      <c r="L455">
        <v>0.34186861758878218</v>
      </c>
      <c r="M455">
        <v>0.67520195092211543</v>
      </c>
      <c r="N455">
        <v>0.11964639536655998</v>
      </c>
      <c r="O455">
        <v>0.45297972869989328</v>
      </c>
      <c r="R455">
        <v>2.5</v>
      </c>
      <c r="S455" s="126">
        <f t="shared" si="71"/>
        <v>2.5169358735473315</v>
      </c>
      <c r="T455" s="126">
        <f t="shared" si="72"/>
        <v>3.3998515225942736</v>
      </c>
      <c r="U455" s="126">
        <f t="shared" si="73"/>
        <v>2.4971638567281511</v>
      </c>
      <c r="V455" s="126">
        <f t="shared" si="74"/>
        <v>2.7541696422528941</v>
      </c>
      <c r="W455" s="126">
        <f t="shared" si="75"/>
        <v>4.5356569164784686</v>
      </c>
      <c r="X455" s="126">
        <f t="shared" si="76"/>
        <v>1.4740486225761282</v>
      </c>
      <c r="Y455" s="126">
        <f t="shared" si="77"/>
        <v>1.5665865999093518</v>
      </c>
      <c r="Z455" s="126">
        <f t="shared" si="78"/>
        <v>2.3238197803514877</v>
      </c>
      <c r="AA455" s="126">
        <f t="shared" si="79"/>
        <v>1.3590906681690855</v>
      </c>
      <c r="AB455" s="126">
        <f t="shared" si="80"/>
        <v>1.7473673770294749</v>
      </c>
    </row>
    <row r="456" spans="1:28">
      <c r="A456">
        <v>455</v>
      </c>
      <c r="B456" s="119">
        <v>0.87379972565157726</v>
      </c>
      <c r="F456">
        <v>0.78631306203322648</v>
      </c>
      <c r="G456">
        <v>0.23075750647767107</v>
      </c>
      <c r="H456">
        <v>0.56409083981100439</v>
      </c>
      <c r="I456">
        <v>0.89742417314433764</v>
      </c>
      <c r="J456">
        <v>4.5572321292485903E-2</v>
      </c>
      <c r="K456">
        <v>0.37890565462581921</v>
      </c>
      <c r="L456">
        <v>0.71223898795915253</v>
      </c>
      <c r="M456">
        <v>0.156683432403597</v>
      </c>
      <c r="N456">
        <v>0.49001676573693032</v>
      </c>
      <c r="O456">
        <v>0.82335009907026346</v>
      </c>
      <c r="R456">
        <v>2.5</v>
      </c>
      <c r="S456" s="126">
        <f t="shared" si="71"/>
        <v>3.0728658519352283</v>
      </c>
      <c r="T456" s="126">
        <f t="shared" si="72"/>
        <v>2.0988046607542161</v>
      </c>
      <c r="U456" s="126">
        <f t="shared" si="73"/>
        <v>2.3496675397132116</v>
      </c>
      <c r="V456" s="126">
        <f t="shared" si="74"/>
        <v>3.3877003331201645</v>
      </c>
      <c r="W456" s="126">
        <f t="shared" si="75"/>
        <v>1.4709764388046116</v>
      </c>
      <c r="X456" s="126">
        <f t="shared" si="76"/>
        <v>1.6467080073604852</v>
      </c>
      <c r="Y456" s="126">
        <f t="shared" si="77"/>
        <v>2.4511993890163941</v>
      </c>
      <c r="Z456" s="126">
        <f t="shared" si="78"/>
        <v>1.5621513394493425</v>
      </c>
      <c r="AA456" s="126">
        <f t="shared" si="79"/>
        <v>1.9262225411586158</v>
      </c>
      <c r="AB456" s="126">
        <f t="shared" si="80"/>
        <v>2.8954326624417499</v>
      </c>
    </row>
    <row r="457" spans="1:28">
      <c r="A457">
        <v>456</v>
      </c>
      <c r="B457" s="119">
        <v>0.31824417009602196</v>
      </c>
      <c r="F457">
        <v>0.26779454351470811</v>
      </c>
      <c r="G457">
        <v>0.60112787684804136</v>
      </c>
      <c r="H457">
        <v>0.93446121018137462</v>
      </c>
      <c r="I457">
        <v>8.2609358329522944E-2</v>
      </c>
      <c r="J457">
        <v>0.41594269166285625</v>
      </c>
      <c r="K457">
        <v>0.7492760249961895</v>
      </c>
      <c r="L457">
        <v>0.19372046944063404</v>
      </c>
      <c r="M457">
        <v>0.52705380277396729</v>
      </c>
      <c r="N457">
        <v>0.86038713610730055</v>
      </c>
      <c r="O457">
        <v>0.30483158055174514</v>
      </c>
      <c r="R457">
        <v>2.5</v>
      </c>
      <c r="S457" s="126">
        <f t="shared" si="71"/>
        <v>1.9072664263623005</v>
      </c>
      <c r="T457" s="126">
        <f t="shared" si="72"/>
        <v>2.3316890273513415</v>
      </c>
      <c r="U457" s="126">
        <f t="shared" si="73"/>
        <v>3.5789719519624628</v>
      </c>
      <c r="V457" s="126">
        <f t="shared" si="74"/>
        <v>1.8159175212255625</v>
      </c>
      <c r="W457" s="126">
        <f t="shared" si="75"/>
        <v>1.8993156437912291</v>
      </c>
      <c r="X457" s="126">
        <f t="shared" si="76"/>
        <v>2.6707649672325298</v>
      </c>
      <c r="Y457" s="126">
        <f t="shared" si="77"/>
        <v>1.7912060478294409</v>
      </c>
      <c r="Z457" s="126">
        <f t="shared" si="78"/>
        <v>2.1179633831318028</v>
      </c>
      <c r="AA457" s="126">
        <f t="shared" si="79"/>
        <v>3.118699184822991</v>
      </c>
      <c r="AB457" s="126">
        <f t="shared" si="80"/>
        <v>2.3080804377213573</v>
      </c>
    </row>
    <row r="458" spans="1:28">
      <c r="A458">
        <v>457</v>
      </c>
      <c r="B458" s="119">
        <v>0.65157750342935516</v>
      </c>
      <c r="F458">
        <v>0.63816491388507846</v>
      </c>
      <c r="G458">
        <v>0.97149824721841171</v>
      </c>
      <c r="H458">
        <v>2.0880963267794542E-2</v>
      </c>
      <c r="I458">
        <v>0.35421429660112785</v>
      </c>
      <c r="J458">
        <v>0.68754762993446106</v>
      </c>
      <c r="K458">
        <v>0.13199207437890564</v>
      </c>
      <c r="L458">
        <v>0.46532540771223896</v>
      </c>
      <c r="M458">
        <v>0.79865874104557222</v>
      </c>
      <c r="N458">
        <v>0.24310318549001675</v>
      </c>
      <c r="O458">
        <v>0.57643651882335012</v>
      </c>
      <c r="R458">
        <v>2.5</v>
      </c>
      <c r="S458" s="126">
        <f t="shared" si="71"/>
        <v>2.7098420593138695</v>
      </c>
      <c r="T458" s="126">
        <f t="shared" si="72"/>
        <v>4.093522650982611</v>
      </c>
      <c r="U458" s="126">
        <f t="shared" si="73"/>
        <v>1.5399341581828994</v>
      </c>
      <c r="V458" s="126">
        <f t="shared" si="74"/>
        <v>1.6272500617026608</v>
      </c>
      <c r="W458" s="126">
        <f t="shared" si="75"/>
        <v>2.3828370759871826</v>
      </c>
      <c r="X458" s="126">
        <f t="shared" si="76"/>
        <v>1.4380201234079522</v>
      </c>
      <c r="Y458" s="126">
        <f t="shared" si="77"/>
        <v>1.8126972780225761</v>
      </c>
      <c r="Z458" s="126">
        <f t="shared" si="78"/>
        <v>2.7630147123743072</v>
      </c>
      <c r="AA458" s="126">
        <f t="shared" si="79"/>
        <v>1.9760648116370141</v>
      </c>
      <c r="AB458" s="126">
        <f t="shared" si="80"/>
        <v>2.3139070920289284</v>
      </c>
    </row>
    <row r="459" spans="1:28">
      <c r="A459">
        <v>458</v>
      </c>
      <c r="B459" s="119">
        <v>0.98491083676268842</v>
      </c>
      <c r="F459">
        <v>0.90976985215668338</v>
      </c>
      <c r="G459">
        <v>5.7918000304831581E-2</v>
      </c>
      <c r="H459">
        <v>0.39125133363816489</v>
      </c>
      <c r="I459">
        <v>0.72458466697149826</v>
      </c>
      <c r="J459">
        <v>0.16902911141594268</v>
      </c>
      <c r="K459">
        <v>0.50236244474927594</v>
      </c>
      <c r="L459">
        <v>0.8356957780826092</v>
      </c>
      <c r="M459">
        <v>0.28014022252705378</v>
      </c>
      <c r="N459">
        <v>0.6134735558603871</v>
      </c>
      <c r="O459">
        <v>0.94680688919372036</v>
      </c>
      <c r="R459">
        <v>2.5</v>
      </c>
      <c r="S459" s="126">
        <f t="shared" si="71"/>
        <v>3.5229143541901795</v>
      </c>
      <c r="T459" s="126">
        <f t="shared" si="72"/>
        <v>1.6353510401424498</v>
      </c>
      <c r="U459" s="126">
        <f t="shared" si="73"/>
        <v>1.7559613199922093</v>
      </c>
      <c r="V459" s="126">
        <f t="shared" si="74"/>
        <v>2.5362798755939457</v>
      </c>
      <c r="W459" s="126">
        <f t="shared" si="75"/>
        <v>1.646295886440464</v>
      </c>
      <c r="X459" s="126">
        <f t="shared" si="76"/>
        <v>1.9940400576323971</v>
      </c>
      <c r="Y459" s="126">
        <f t="shared" si="77"/>
        <v>2.9696961148738459</v>
      </c>
      <c r="Z459" s="126">
        <f t="shared" si="78"/>
        <v>2.1739125659658911</v>
      </c>
      <c r="AA459" s="126">
        <f t="shared" si="79"/>
        <v>2.4921949386890381</v>
      </c>
      <c r="AB459" s="126">
        <f t="shared" si="80"/>
        <v>3.7460690380083852</v>
      </c>
    </row>
    <row r="460" spans="1:28">
      <c r="A460">
        <v>459</v>
      </c>
      <c r="B460" s="119">
        <v>3.4293552812071332E-2</v>
      </c>
      <c r="F460">
        <v>9.4955037341868623E-2</v>
      </c>
      <c r="G460">
        <v>0.42828837067520192</v>
      </c>
      <c r="H460">
        <v>0.76162170400853524</v>
      </c>
      <c r="I460">
        <v>0.20606614845297971</v>
      </c>
      <c r="J460">
        <v>0.53939948178631292</v>
      </c>
      <c r="K460">
        <v>0.87273281511964618</v>
      </c>
      <c r="L460">
        <v>0.31717725956409082</v>
      </c>
      <c r="M460">
        <v>0.65051059289742408</v>
      </c>
      <c r="N460">
        <v>0.98384392623075734</v>
      </c>
      <c r="O460">
        <v>3.3226642280140224E-2</v>
      </c>
      <c r="R460">
        <v>2.5</v>
      </c>
      <c r="S460" s="126">
        <f t="shared" si="71"/>
        <v>1.3370423349348783</v>
      </c>
      <c r="T460" s="126">
        <f t="shared" si="72"/>
        <v>1.6846559044345832</v>
      </c>
      <c r="U460" s="126">
        <f t="shared" si="73"/>
        <v>2.5953044765446291</v>
      </c>
      <c r="V460" s="126">
        <f t="shared" si="74"/>
        <v>1.7896702031458989</v>
      </c>
      <c r="W460" s="126">
        <f t="shared" si="75"/>
        <v>2.1428056819635271</v>
      </c>
      <c r="X460" s="126">
        <f t="shared" si="76"/>
        <v>3.178482625296029</v>
      </c>
      <c r="Y460" s="126">
        <f t="shared" si="77"/>
        <v>2.366952306270905</v>
      </c>
      <c r="Z460" s="126">
        <f t="shared" si="78"/>
        <v>2.6703072743096019</v>
      </c>
      <c r="AA460" s="126">
        <f t="shared" si="79"/>
        <v>4.2693310938673568</v>
      </c>
      <c r="AB460" s="126">
        <f t="shared" si="80"/>
        <v>1.7936934344955824</v>
      </c>
    </row>
    <row r="461" spans="1:28">
      <c r="A461">
        <v>460</v>
      </c>
      <c r="B461" s="119">
        <v>0.36762688614540467</v>
      </c>
      <c r="F461">
        <v>0.36655997561347353</v>
      </c>
      <c r="G461">
        <v>0.69989330894680679</v>
      </c>
      <c r="H461">
        <v>0.14433775339125132</v>
      </c>
      <c r="I461">
        <v>0.47767108672458464</v>
      </c>
      <c r="J461">
        <v>0.81100442005791784</v>
      </c>
      <c r="K461">
        <v>0.25544886450236243</v>
      </c>
      <c r="L461">
        <v>0.58878219783569574</v>
      </c>
      <c r="M461">
        <v>0.922115531169029</v>
      </c>
      <c r="N461">
        <v>7.0263679317177266E-2</v>
      </c>
      <c r="O461">
        <v>0.40359701265051057</v>
      </c>
      <c r="R461">
        <v>2.5</v>
      </c>
      <c r="S461" s="126">
        <f t="shared" si="71"/>
        <v>2.136988574620986</v>
      </c>
      <c r="T461" s="126">
        <f t="shared" si="72"/>
        <v>2.668050367228076</v>
      </c>
      <c r="U461" s="126">
        <f t="shared" si="73"/>
        <v>1.6275506295671687</v>
      </c>
      <c r="V461" s="126">
        <f t="shared" si="74"/>
        <v>1.9335459656571201</v>
      </c>
      <c r="W461" s="126">
        <f t="shared" si="75"/>
        <v>2.8606743644596411</v>
      </c>
      <c r="X461" s="126">
        <f t="shared" si="76"/>
        <v>2.0572454659975756</v>
      </c>
      <c r="Y461" s="126">
        <f t="shared" si="77"/>
        <v>2.3807952265200183</v>
      </c>
      <c r="Z461" s="126">
        <f t="shared" si="78"/>
        <v>3.5290744417948394</v>
      </c>
      <c r="AA461" s="126">
        <f t="shared" si="79"/>
        <v>1.7198252394883988</v>
      </c>
      <c r="AB461" s="126">
        <f t="shared" si="80"/>
        <v>1.8248212200398848</v>
      </c>
    </row>
    <row r="462" spans="1:28">
      <c r="A462">
        <v>461</v>
      </c>
      <c r="B462" s="119">
        <v>0.70096021947873788</v>
      </c>
      <c r="F462">
        <v>0.73693034598384388</v>
      </c>
      <c r="G462">
        <v>0.18137479042828836</v>
      </c>
      <c r="H462">
        <v>0.51470812376162167</v>
      </c>
      <c r="I462">
        <v>0.84804145709495482</v>
      </c>
      <c r="J462">
        <v>0.29248590153939946</v>
      </c>
      <c r="K462">
        <v>0.62581923487273272</v>
      </c>
      <c r="L462">
        <v>0.95915256820606598</v>
      </c>
      <c r="M462">
        <v>0.1073007163542143</v>
      </c>
      <c r="N462">
        <v>0.4406340496875476</v>
      </c>
      <c r="O462">
        <v>0.77396738302088086</v>
      </c>
      <c r="R462">
        <v>2.5</v>
      </c>
      <c r="S462" s="126">
        <f t="shared" si="71"/>
        <v>2.9410767252333589</v>
      </c>
      <c r="T462" s="126">
        <f t="shared" si="72"/>
        <v>1.8892305363225121</v>
      </c>
      <c r="U462" s="126">
        <f t="shared" si="73"/>
        <v>2.1416701600852521</v>
      </c>
      <c r="V462" s="126">
        <f t="shared" si="74"/>
        <v>3.0860826748290826</v>
      </c>
      <c r="W462" s="126">
        <f t="shared" si="75"/>
        <v>2.2623388369660318</v>
      </c>
      <c r="X462" s="126">
        <f t="shared" si="76"/>
        <v>2.5633752465004562</v>
      </c>
      <c r="Y462" s="126">
        <f t="shared" si="77"/>
        <v>3.8860035407620277</v>
      </c>
      <c r="Z462" s="126">
        <f t="shared" si="78"/>
        <v>2.0912463827523382</v>
      </c>
      <c r="AA462" s="126">
        <f t="shared" si="79"/>
        <v>2.0895942035424957</v>
      </c>
      <c r="AB462" s="126">
        <f t="shared" si="80"/>
        <v>2.8321876451606816</v>
      </c>
    </row>
    <row r="463" spans="1:28">
      <c r="A463">
        <v>462</v>
      </c>
      <c r="B463" s="119">
        <v>0.14540466392318244</v>
      </c>
      <c r="F463">
        <v>0.21841182746532539</v>
      </c>
      <c r="G463">
        <v>0.55174516079865865</v>
      </c>
      <c r="H463">
        <v>0.88507849413199191</v>
      </c>
      <c r="I463">
        <v>0.3295229385764365</v>
      </c>
      <c r="J463">
        <v>0.66285627190976981</v>
      </c>
      <c r="K463">
        <v>0.99618960524310307</v>
      </c>
      <c r="L463">
        <v>1.6765736930345982E-3</v>
      </c>
      <c r="M463">
        <v>0.3350099070263679</v>
      </c>
      <c r="N463">
        <v>0.66834324035970116</v>
      </c>
      <c r="O463">
        <v>0.11278768480414571</v>
      </c>
      <c r="R463">
        <v>2.5</v>
      </c>
      <c r="S463" s="126">
        <f t="shared" si="71"/>
        <v>1.7768892457662873</v>
      </c>
      <c r="T463" s="126">
        <f t="shared" si="72"/>
        <v>2.1620751356038754</v>
      </c>
      <c r="U463" s="126">
        <f t="shared" si="73"/>
        <v>3.2387760155694085</v>
      </c>
      <c r="V463" s="126">
        <f t="shared" si="74"/>
        <v>2.425609055437131</v>
      </c>
      <c r="W463" s="126">
        <f t="shared" si="75"/>
        <v>2.7274781131829773</v>
      </c>
      <c r="X463" s="126">
        <f t="shared" si="76"/>
        <v>4.7334745003519165</v>
      </c>
      <c r="Y463" s="126">
        <f t="shared" si="77"/>
        <v>1.1213363176970352</v>
      </c>
      <c r="Z463" s="126">
        <f t="shared" si="78"/>
        <v>1.3738466256073409</v>
      </c>
      <c r="AA463" s="126">
        <f t="shared" si="79"/>
        <v>2.211293612905096</v>
      </c>
      <c r="AB463" s="126">
        <f t="shared" si="80"/>
        <v>1.2736017183179527</v>
      </c>
    </row>
    <row r="464" spans="1:28">
      <c r="A464">
        <v>463</v>
      </c>
      <c r="B464" s="119">
        <v>0.47873799725651578</v>
      </c>
      <c r="F464">
        <v>0.44612101813747901</v>
      </c>
      <c r="G464">
        <v>0.77945435147081221</v>
      </c>
      <c r="H464">
        <v>0.22389879591525683</v>
      </c>
      <c r="I464">
        <v>0.55723212924859011</v>
      </c>
      <c r="J464">
        <v>0.89056546258192337</v>
      </c>
      <c r="K464">
        <v>3.8713610730071631E-2</v>
      </c>
      <c r="L464">
        <v>0.37204694406340494</v>
      </c>
      <c r="M464">
        <v>0.70538027739673825</v>
      </c>
      <c r="N464">
        <v>0.14982472184118276</v>
      </c>
      <c r="O464">
        <v>0.48315805517451604</v>
      </c>
      <c r="R464">
        <v>2.5</v>
      </c>
      <c r="S464" s="126">
        <f t="shared" si="71"/>
        <v>2.3064936140573491</v>
      </c>
      <c r="T464" s="126">
        <f t="shared" si="72"/>
        <v>2.9563572113706726</v>
      </c>
      <c r="U464" s="126">
        <f t="shared" si="73"/>
        <v>2.021493585809703</v>
      </c>
      <c r="V464" s="126">
        <f t="shared" si="74"/>
        <v>2.2964644746350169</v>
      </c>
      <c r="W464" s="126">
        <f t="shared" si="75"/>
        <v>3.3300558151334472</v>
      </c>
      <c r="X464" s="126">
        <f t="shared" si="76"/>
        <v>1.3789709041151224</v>
      </c>
      <c r="Y464" s="126">
        <f t="shared" si="77"/>
        <v>1.5855531322496379</v>
      </c>
      <c r="Z464" s="126">
        <f t="shared" si="78"/>
        <v>2.4039677197184202</v>
      </c>
      <c r="AA464" s="126">
        <f t="shared" si="79"/>
        <v>1.514491067426466</v>
      </c>
      <c r="AB464" s="126">
        <f t="shared" si="80"/>
        <v>1.8880801359358159</v>
      </c>
    </row>
    <row r="465" spans="1:28">
      <c r="A465">
        <v>464</v>
      </c>
      <c r="B465" s="119">
        <v>0.81207133058984893</v>
      </c>
      <c r="F465">
        <v>0.81649138850784919</v>
      </c>
      <c r="G465">
        <v>0.26093583295229383</v>
      </c>
      <c r="H465">
        <v>0.59426916628562709</v>
      </c>
      <c r="I465">
        <v>0.92760249961896035</v>
      </c>
      <c r="J465">
        <v>7.5750647767108673E-2</v>
      </c>
      <c r="K465">
        <v>0.40908398110044197</v>
      </c>
      <c r="L465">
        <v>0.74241731443377523</v>
      </c>
      <c r="M465">
        <v>0.18686175887821979</v>
      </c>
      <c r="N465">
        <v>0.52019509221155302</v>
      </c>
      <c r="O465">
        <v>0.85352842554488628</v>
      </c>
      <c r="R465">
        <v>2.5</v>
      </c>
      <c r="S465" s="126">
        <f t="shared" si="71"/>
        <v>3.1622585974702178</v>
      </c>
      <c r="T465" s="126">
        <f t="shared" si="72"/>
        <v>2.2228247662167604</v>
      </c>
      <c r="U465" s="126">
        <f t="shared" si="73"/>
        <v>2.4756676270067555</v>
      </c>
      <c r="V465" s="126">
        <f t="shared" si="74"/>
        <v>3.6086926841114093</v>
      </c>
      <c r="W465" s="126">
        <f t="shared" si="75"/>
        <v>1.7924880307028992</v>
      </c>
      <c r="X465" s="126">
        <f t="shared" si="76"/>
        <v>1.8730087971134808</v>
      </c>
      <c r="Y465" s="126">
        <f t="shared" si="77"/>
        <v>2.6398945697143588</v>
      </c>
      <c r="Z465" s="126">
        <f t="shared" si="78"/>
        <v>1.7548621065011867</v>
      </c>
      <c r="AA465" s="126">
        <f t="shared" si="79"/>
        <v>2.0854916696583565</v>
      </c>
      <c r="AB465" s="126">
        <f t="shared" si="80"/>
        <v>3.0773270418275569</v>
      </c>
    </row>
    <row r="466" spans="1:28">
      <c r="A466">
        <v>465</v>
      </c>
      <c r="B466" s="119">
        <v>0.25651577503429357</v>
      </c>
      <c r="F466">
        <v>0.29797286998933087</v>
      </c>
      <c r="G466">
        <v>0.63130620332266418</v>
      </c>
      <c r="H466">
        <v>0.96463953665599744</v>
      </c>
      <c r="I466">
        <v>1.4022252705380277E-2</v>
      </c>
      <c r="J466">
        <v>0.34735558603871358</v>
      </c>
      <c r="K466">
        <v>0.68068891937204679</v>
      </c>
      <c r="L466">
        <v>0.12513336381649137</v>
      </c>
      <c r="M466">
        <v>0.45846669714982469</v>
      </c>
      <c r="N466">
        <v>0.79180003048315795</v>
      </c>
      <c r="O466">
        <v>0.2362444749276025</v>
      </c>
      <c r="R466">
        <v>2.5</v>
      </c>
      <c r="S466" s="126">
        <f t="shared" si="71"/>
        <v>1.980885724894824</v>
      </c>
      <c r="T466" s="126">
        <f t="shared" si="72"/>
        <v>2.4338882930520169</v>
      </c>
      <c r="U466" s="126">
        <f t="shared" si="73"/>
        <v>3.8756320996565936</v>
      </c>
      <c r="V466" s="126">
        <f t="shared" si="74"/>
        <v>1.2978122854339404</v>
      </c>
      <c r="W466" s="126">
        <f t="shared" si="75"/>
        <v>1.490298860421073</v>
      </c>
      <c r="X466" s="126">
        <f t="shared" si="76"/>
        <v>2.2980992693881572</v>
      </c>
      <c r="Y466" s="126">
        <f t="shared" si="77"/>
        <v>1.3684781179985013</v>
      </c>
      <c r="Z466" s="126">
        <f t="shared" si="78"/>
        <v>1.7635001018162977</v>
      </c>
      <c r="AA466" s="126">
        <f t="shared" si="79"/>
        <v>2.7183633734196939</v>
      </c>
      <c r="AB466" s="126">
        <f t="shared" si="80"/>
        <v>1.9354114655887626</v>
      </c>
    </row>
    <row r="467" spans="1:28">
      <c r="A467">
        <v>466</v>
      </c>
      <c r="B467" s="119">
        <v>0.58984910836762683</v>
      </c>
      <c r="F467">
        <v>0.56957780826093585</v>
      </c>
      <c r="G467">
        <v>0.90291114159426911</v>
      </c>
      <c r="H467">
        <v>5.1059289742417309E-2</v>
      </c>
      <c r="I467">
        <v>0.38439262307575062</v>
      </c>
      <c r="J467">
        <v>0.71772595640908399</v>
      </c>
      <c r="K467">
        <v>0.16217040085352843</v>
      </c>
      <c r="L467">
        <v>0.49550373418686172</v>
      </c>
      <c r="M467">
        <v>0.82883706752019493</v>
      </c>
      <c r="N467">
        <v>0.27328151196463951</v>
      </c>
      <c r="O467">
        <v>0.60661484529797283</v>
      </c>
      <c r="R467">
        <v>2.5</v>
      </c>
      <c r="S467" s="126">
        <f t="shared" si="71"/>
        <v>2.5628143848296498</v>
      </c>
      <c r="T467" s="126">
        <f t="shared" si="72"/>
        <v>3.5206515169021451</v>
      </c>
      <c r="U467" s="126">
        <f t="shared" si="73"/>
        <v>1.5829323929172467</v>
      </c>
      <c r="V467" s="126">
        <f t="shared" si="74"/>
        <v>1.7148475740168083</v>
      </c>
      <c r="W467" s="126">
        <f t="shared" si="75"/>
        <v>2.4987765057543498</v>
      </c>
      <c r="X467" s="126">
        <f t="shared" si="76"/>
        <v>1.6047087241947908</v>
      </c>
      <c r="Y467" s="126">
        <f t="shared" si="77"/>
        <v>1.9589579667764294</v>
      </c>
      <c r="Z467" s="126">
        <f t="shared" si="78"/>
        <v>2.929513038225712</v>
      </c>
      <c r="AA467" s="126">
        <f t="shared" si="79"/>
        <v>2.1368136576539021</v>
      </c>
      <c r="AB467" s="126">
        <f t="shared" si="80"/>
        <v>2.4588040753449336</v>
      </c>
    </row>
    <row r="468" spans="1:28">
      <c r="A468">
        <v>467</v>
      </c>
      <c r="B468" s="119">
        <v>0.92318244170096009</v>
      </c>
      <c r="F468">
        <v>0.93994817863130609</v>
      </c>
      <c r="G468">
        <v>8.8096326779454351E-2</v>
      </c>
      <c r="H468">
        <v>0.42142966011278765</v>
      </c>
      <c r="I468">
        <v>0.75476299344612097</v>
      </c>
      <c r="J468">
        <v>0.19920743789056547</v>
      </c>
      <c r="K468">
        <v>0.53254077122389865</v>
      </c>
      <c r="L468">
        <v>0.86587410455723191</v>
      </c>
      <c r="M468">
        <v>0.31031854900167655</v>
      </c>
      <c r="N468">
        <v>0.64365188233500981</v>
      </c>
      <c r="O468">
        <v>0.97698521566834307</v>
      </c>
      <c r="R468">
        <v>2.5</v>
      </c>
      <c r="S468" s="126">
        <f t="shared" si="71"/>
        <v>3.7002460141670204</v>
      </c>
      <c r="T468" s="126">
        <f t="shared" si="72"/>
        <v>1.90587034868547</v>
      </c>
      <c r="U468" s="126">
        <f t="shared" si="73"/>
        <v>1.9561116624648549</v>
      </c>
      <c r="V468" s="126">
        <f t="shared" si="74"/>
        <v>2.7136142060264072</v>
      </c>
      <c r="W468" s="126">
        <f t="shared" si="75"/>
        <v>1.8290829781979909</v>
      </c>
      <c r="X468" s="126">
        <f t="shared" si="76"/>
        <v>2.1483762917991713</v>
      </c>
      <c r="Y468" s="126">
        <f t="shared" si="77"/>
        <v>3.1546353544540926</v>
      </c>
      <c r="Z468" s="126">
        <f t="shared" si="78"/>
        <v>2.3390143754352901</v>
      </c>
      <c r="AA468" s="126">
        <f t="shared" si="79"/>
        <v>2.641038261619435</v>
      </c>
      <c r="AB468" s="126">
        <f t="shared" si="80"/>
        <v>4.1346899472648602</v>
      </c>
    </row>
    <row r="469" spans="1:28">
      <c r="A469">
        <v>468</v>
      </c>
      <c r="B469" s="119">
        <v>7.1330589849108367E-2</v>
      </c>
      <c r="F469">
        <v>2.6367931717725952E-2</v>
      </c>
      <c r="G469">
        <v>0.35970126505105926</v>
      </c>
      <c r="H469">
        <v>0.69303459838439252</v>
      </c>
      <c r="I469">
        <v>0.13747904282883708</v>
      </c>
      <c r="J469">
        <v>0.47081237616217037</v>
      </c>
      <c r="K469">
        <v>0.80414570949550357</v>
      </c>
      <c r="L469">
        <v>0.24859015393994818</v>
      </c>
      <c r="M469">
        <v>0.58192348727328147</v>
      </c>
      <c r="N469">
        <v>0.91525682060661473</v>
      </c>
      <c r="O469">
        <v>6.3404968754762994E-2</v>
      </c>
      <c r="R469">
        <v>2.5</v>
      </c>
      <c r="S469" s="126">
        <f t="shared" si="71"/>
        <v>0.82052587003600452</v>
      </c>
      <c r="T469" s="126">
        <f t="shared" si="72"/>
        <v>1.2778082280879612</v>
      </c>
      <c r="U469" s="126">
        <f t="shared" si="73"/>
        <v>2.2200411051230731</v>
      </c>
      <c r="V469" s="126">
        <f t="shared" si="74"/>
        <v>1.3770729965622102</v>
      </c>
      <c r="W469" s="126">
        <f t="shared" si="75"/>
        <v>1.7934459430209362</v>
      </c>
      <c r="X469" s="126">
        <f t="shared" si="76"/>
        <v>2.7695735046259315</v>
      </c>
      <c r="Y469" s="126">
        <f t="shared" si="77"/>
        <v>1.9937311354956213</v>
      </c>
      <c r="Z469" s="126">
        <f t="shared" si="78"/>
        <v>2.3343591101305265</v>
      </c>
      <c r="AA469" s="126">
        <f t="shared" si="79"/>
        <v>3.4681328451935864</v>
      </c>
      <c r="AB469" s="126">
        <f t="shared" si="80"/>
        <v>1.6455036684966444</v>
      </c>
    </row>
    <row r="470" spans="1:28">
      <c r="A470">
        <v>469</v>
      </c>
      <c r="B470" s="119">
        <v>0.40466392318244171</v>
      </c>
      <c r="F470">
        <v>0.3967383020880963</v>
      </c>
      <c r="G470">
        <v>0.73007163542142961</v>
      </c>
      <c r="H470">
        <v>0.17451607986587411</v>
      </c>
      <c r="I470">
        <v>0.5078494131992074</v>
      </c>
      <c r="J470">
        <v>0.84118274653254055</v>
      </c>
      <c r="K470">
        <v>0.28562719097698519</v>
      </c>
      <c r="L470">
        <v>0.61896052431031845</v>
      </c>
      <c r="M470">
        <v>0.95229385764365171</v>
      </c>
      <c r="N470">
        <v>0.10044200579180003</v>
      </c>
      <c r="O470">
        <v>0.43377533912513333</v>
      </c>
      <c r="R470">
        <v>2.5</v>
      </c>
      <c r="S470" s="126">
        <f t="shared" si="71"/>
        <v>2.2022958324489346</v>
      </c>
      <c r="T470" s="126">
        <f t="shared" si="72"/>
        <v>2.774228187832283</v>
      </c>
      <c r="U470" s="126">
        <f t="shared" si="73"/>
        <v>1.7836555264972349</v>
      </c>
      <c r="V470" s="126">
        <f t="shared" si="74"/>
        <v>2.0744221576027018</v>
      </c>
      <c r="W470" s="126">
        <f t="shared" si="75"/>
        <v>3.0285799970745502</v>
      </c>
      <c r="X470" s="126">
        <f t="shared" si="76"/>
        <v>2.2168858025610572</v>
      </c>
      <c r="Y470" s="126">
        <f t="shared" si="77"/>
        <v>2.5256440015990322</v>
      </c>
      <c r="Z470" s="126">
        <f t="shared" si="78"/>
        <v>3.80648148904588</v>
      </c>
      <c r="AA470" s="126">
        <f t="shared" si="79"/>
        <v>2.0199152830833027</v>
      </c>
      <c r="AB470" s="126">
        <f t="shared" si="80"/>
        <v>2.0393846022266651</v>
      </c>
    </row>
    <row r="471" spans="1:28">
      <c r="A471">
        <v>470</v>
      </c>
      <c r="B471" s="119">
        <v>0.73799725651577497</v>
      </c>
      <c r="F471">
        <v>0.76710867245846659</v>
      </c>
      <c r="G471">
        <v>0.21155311690291115</v>
      </c>
      <c r="H471">
        <v>0.54488645023624438</v>
      </c>
      <c r="I471">
        <v>0.87821978356957764</v>
      </c>
      <c r="J471">
        <v>0.32266422801402223</v>
      </c>
      <c r="K471">
        <v>0.65599756134735554</v>
      </c>
      <c r="L471">
        <v>0.9893308946806888</v>
      </c>
      <c r="M471">
        <v>5.7918000304831583E-3</v>
      </c>
      <c r="N471">
        <v>0.33912513336381644</v>
      </c>
      <c r="O471">
        <v>0.6724584666971497</v>
      </c>
      <c r="R471">
        <v>2.5</v>
      </c>
      <c r="S471" s="126">
        <f t="shared" si="71"/>
        <v>3.0198019818678206</v>
      </c>
      <c r="T471" s="126">
        <f t="shared" si="72"/>
        <v>2.0187789103239959</v>
      </c>
      <c r="U471" s="126">
        <f t="shared" si="73"/>
        <v>2.2693636474331051</v>
      </c>
      <c r="V471" s="126">
        <f t="shared" si="74"/>
        <v>3.2641366040921009</v>
      </c>
      <c r="W471" s="126">
        <f t="shared" si="75"/>
        <v>2.4226587245123445</v>
      </c>
      <c r="X471" s="126">
        <f t="shared" si="76"/>
        <v>2.7105657595101733</v>
      </c>
      <c r="Y471" s="126">
        <f t="shared" si="77"/>
        <v>4.4227029539167813</v>
      </c>
      <c r="Z471" s="126">
        <f t="shared" si="78"/>
        <v>1.3023027693283602</v>
      </c>
      <c r="AA471" s="126">
        <f t="shared" si="79"/>
        <v>1.474094900960162</v>
      </c>
      <c r="AB471" s="126">
        <f t="shared" si="80"/>
        <v>2.2710555374850916</v>
      </c>
    </row>
    <row r="472" spans="1:28">
      <c r="A472">
        <v>471</v>
      </c>
      <c r="B472" s="119">
        <v>0.18244170096021947</v>
      </c>
      <c r="F472">
        <v>0.11690291114159426</v>
      </c>
      <c r="G472">
        <v>0.45023624447492755</v>
      </c>
      <c r="H472">
        <v>0.78356957780826075</v>
      </c>
      <c r="I472">
        <v>0.2280140222527054</v>
      </c>
      <c r="J472">
        <v>0.56134735558603865</v>
      </c>
      <c r="K472">
        <v>0.89468068891937191</v>
      </c>
      <c r="L472">
        <v>4.2828837067520192E-2</v>
      </c>
      <c r="M472">
        <v>0.37616217040085348</v>
      </c>
      <c r="N472">
        <v>0.70949550373418679</v>
      </c>
      <c r="O472">
        <v>0.15393994817863133</v>
      </c>
      <c r="R472">
        <v>2.5</v>
      </c>
      <c r="S472" s="126">
        <f t="shared" si="71"/>
        <v>1.4362104182562467</v>
      </c>
      <c r="T472" s="126">
        <f t="shared" si="72"/>
        <v>1.7804135981427471</v>
      </c>
      <c r="U472" s="126">
        <f t="shared" si="73"/>
        <v>2.703458531063172</v>
      </c>
      <c r="V472" s="126">
        <f t="shared" si="74"/>
        <v>1.905677185488059</v>
      </c>
      <c r="W472" s="126">
        <f t="shared" si="75"/>
        <v>2.246858473841256</v>
      </c>
      <c r="X472" s="126">
        <f t="shared" si="76"/>
        <v>3.3234924905498726</v>
      </c>
      <c r="Y472" s="126">
        <f t="shared" si="77"/>
        <v>1.4144796720410513</v>
      </c>
      <c r="Z472" s="126">
        <f t="shared" si="78"/>
        <v>1.6123578211219531</v>
      </c>
      <c r="AA472" s="126">
        <f t="shared" si="79"/>
        <v>2.4273150817938562</v>
      </c>
      <c r="AB472" s="126">
        <f t="shared" si="80"/>
        <v>1.5406633213488852</v>
      </c>
    </row>
    <row r="473" spans="1:28">
      <c r="A473">
        <v>472</v>
      </c>
      <c r="B473" s="119">
        <v>0.51577503429355276</v>
      </c>
      <c r="F473">
        <v>0.48727328151196458</v>
      </c>
      <c r="G473">
        <v>0.82060661484529773</v>
      </c>
      <c r="H473">
        <v>0.26505105928974237</v>
      </c>
      <c r="I473">
        <v>0.59838439262307563</v>
      </c>
      <c r="J473">
        <v>0.93171772595640889</v>
      </c>
      <c r="K473">
        <v>7.9865874104557227E-2</v>
      </c>
      <c r="L473">
        <v>0.41319920743789051</v>
      </c>
      <c r="M473">
        <v>0.74653254077122377</v>
      </c>
      <c r="N473">
        <v>0.19097698521566836</v>
      </c>
      <c r="O473">
        <v>0.52431031854900156</v>
      </c>
      <c r="R473">
        <v>2.5</v>
      </c>
      <c r="S473" s="126">
        <f t="shared" si="71"/>
        <v>2.3919109050122671</v>
      </c>
      <c r="T473" s="126">
        <f t="shared" si="72"/>
        <v>3.1208037752345956</v>
      </c>
      <c r="U473" s="126">
        <f t="shared" si="73"/>
        <v>2.2123926247988237</v>
      </c>
      <c r="V473" s="126">
        <f t="shared" si="74"/>
        <v>2.4791893306582486</v>
      </c>
      <c r="W473" s="126">
        <f t="shared" si="75"/>
        <v>3.6356535086986232</v>
      </c>
      <c r="X473" s="126">
        <f t="shared" si="76"/>
        <v>1.829359268114231</v>
      </c>
      <c r="Y473" s="126">
        <f t="shared" si="77"/>
        <v>1.9002657641411753</v>
      </c>
      <c r="Z473" s="126">
        <f t="shared" si="78"/>
        <v>2.6641530303418595</v>
      </c>
      <c r="AA473" s="126">
        <f t="shared" si="79"/>
        <v>1.7796067058073519</v>
      </c>
      <c r="AB473" s="126">
        <f t="shared" si="80"/>
        <v>2.1064496978531069</v>
      </c>
    </row>
    <row r="474" spans="1:28">
      <c r="A474">
        <v>473</v>
      </c>
      <c r="B474" s="119">
        <v>0.84910836762688591</v>
      </c>
      <c r="F474">
        <v>0.85764365188233482</v>
      </c>
      <c r="G474">
        <v>0.30208809632677941</v>
      </c>
      <c r="H474">
        <v>0.63542142966011272</v>
      </c>
      <c r="I474">
        <v>0.96875476299344598</v>
      </c>
      <c r="J474">
        <v>1.8137479042828836E-2</v>
      </c>
      <c r="K474">
        <v>0.35147081237616212</v>
      </c>
      <c r="L474">
        <v>0.68480414570949533</v>
      </c>
      <c r="M474">
        <v>0.12924859015393997</v>
      </c>
      <c r="N474">
        <v>0.46258192348727323</v>
      </c>
      <c r="O474">
        <v>0.79591525682060649</v>
      </c>
      <c r="R474">
        <v>2.5</v>
      </c>
      <c r="S474" s="126">
        <f t="shared" si="71"/>
        <v>3.3005923356198674</v>
      </c>
      <c r="T474" s="126">
        <f t="shared" si="72"/>
        <v>2.3930252546100874</v>
      </c>
      <c r="U474" s="126">
        <f t="shared" si="73"/>
        <v>2.6500464092269751</v>
      </c>
      <c r="V474" s="126">
        <f t="shared" si="74"/>
        <v>4.0300778304391169</v>
      </c>
      <c r="W474" s="126">
        <f t="shared" si="75"/>
        <v>1.4602520128059906</v>
      </c>
      <c r="X474" s="126">
        <f t="shared" si="76"/>
        <v>1.5811104735761632</v>
      </c>
      <c r="Y474" s="126">
        <f t="shared" si="77"/>
        <v>2.3532671900446709</v>
      </c>
      <c r="Z474" s="126">
        <f t="shared" si="78"/>
        <v>1.4124965479092459</v>
      </c>
      <c r="AA474" s="126">
        <f t="shared" si="79"/>
        <v>1.7941737902505441</v>
      </c>
      <c r="AB474" s="126">
        <f t="shared" si="80"/>
        <v>2.7456871269650946</v>
      </c>
    </row>
    <row r="475" spans="1:28">
      <c r="A475">
        <v>474</v>
      </c>
      <c r="B475" s="119">
        <v>0.2935528120713306</v>
      </c>
      <c r="F475">
        <v>0.24035970126505107</v>
      </c>
      <c r="G475">
        <v>0.57369303459838439</v>
      </c>
      <c r="H475">
        <v>0.90702636793171765</v>
      </c>
      <c r="I475">
        <v>5.5174516079865871E-2</v>
      </c>
      <c r="J475">
        <v>0.38850784941319916</v>
      </c>
      <c r="K475">
        <v>0.72184118274653253</v>
      </c>
      <c r="L475">
        <v>0.166285627190977</v>
      </c>
      <c r="M475">
        <v>0.49961896052431026</v>
      </c>
      <c r="N475">
        <v>0.83295229385764347</v>
      </c>
      <c r="O475">
        <v>0.27739673830208805</v>
      </c>
      <c r="R475">
        <v>2.5</v>
      </c>
      <c r="S475" s="126">
        <f t="shared" si="71"/>
        <v>1.8366230458928334</v>
      </c>
      <c r="T475" s="126">
        <f t="shared" si="72"/>
        <v>2.2380490589581292</v>
      </c>
      <c r="U475" s="126">
        <f t="shared" si="73"/>
        <v>3.3775038577154373</v>
      </c>
      <c r="V475" s="126">
        <f t="shared" si="74"/>
        <v>1.5423635041758956</v>
      </c>
      <c r="W475" s="126">
        <f t="shared" si="75"/>
        <v>1.7033275523825602</v>
      </c>
      <c r="X475" s="126">
        <f t="shared" si="76"/>
        <v>2.5030660676578282</v>
      </c>
      <c r="Y475" s="126">
        <f t="shared" si="77"/>
        <v>1.6205803331268673</v>
      </c>
      <c r="Z475" s="126">
        <f t="shared" si="78"/>
        <v>1.9754433287677506</v>
      </c>
      <c r="AA475" s="126">
        <f t="shared" si="79"/>
        <v>2.9512576158545225</v>
      </c>
      <c r="AB475" s="126">
        <f t="shared" si="80"/>
        <v>2.1579088056287747</v>
      </c>
    </row>
    <row r="476" spans="1:28">
      <c r="A476">
        <v>475</v>
      </c>
      <c r="B476" s="119">
        <v>0.62688614540466381</v>
      </c>
      <c r="F476">
        <v>0.61073007163542137</v>
      </c>
      <c r="G476">
        <v>0.94406340496875463</v>
      </c>
      <c r="H476">
        <v>9.2211553116902906E-2</v>
      </c>
      <c r="I476">
        <v>0.42554488645023619</v>
      </c>
      <c r="J476">
        <v>0.75887821978356951</v>
      </c>
      <c r="K476">
        <v>0.20332266422801404</v>
      </c>
      <c r="L476">
        <v>0.53665599756134719</v>
      </c>
      <c r="M476">
        <v>0.86998933089468045</v>
      </c>
      <c r="N476">
        <v>0.31443377533912509</v>
      </c>
      <c r="O476">
        <v>0.64776710867245835</v>
      </c>
      <c r="R476">
        <v>2.5</v>
      </c>
      <c r="S476" s="126">
        <f t="shared" si="71"/>
        <v>2.6501796413317602</v>
      </c>
      <c r="T476" s="126">
        <f t="shared" si="72"/>
        <v>3.8049992907295027</v>
      </c>
      <c r="U476" s="126">
        <f t="shared" si="73"/>
        <v>1.9793970718338381</v>
      </c>
      <c r="V476" s="126">
        <f t="shared" si="74"/>
        <v>2.0017342415800172</v>
      </c>
      <c r="W476" s="126">
        <f t="shared" si="75"/>
        <v>2.7473849279009039</v>
      </c>
      <c r="X476" s="126">
        <f t="shared" si="76"/>
        <v>1.8581345221575274</v>
      </c>
      <c r="Y476" s="126">
        <f t="shared" si="77"/>
        <v>2.1715178680566005</v>
      </c>
      <c r="Z476" s="126">
        <f t="shared" si="78"/>
        <v>3.1821381267815942</v>
      </c>
      <c r="AA476" s="126">
        <f t="shared" si="79"/>
        <v>2.3624265754809515</v>
      </c>
      <c r="AB476" s="126">
        <f t="shared" si="80"/>
        <v>2.6619289181373667</v>
      </c>
    </row>
    <row r="477" spans="1:28">
      <c r="A477">
        <v>476</v>
      </c>
      <c r="B477" s="119">
        <v>0.96021947873799707</v>
      </c>
      <c r="F477">
        <v>0.98110044200579161</v>
      </c>
      <c r="G477">
        <v>3.0483158055174514E-2</v>
      </c>
      <c r="H477">
        <v>0.3638164913885078</v>
      </c>
      <c r="I477">
        <v>0.69714982472184106</v>
      </c>
      <c r="J477">
        <v>0.14159426916628565</v>
      </c>
      <c r="K477">
        <v>0.47492760249961891</v>
      </c>
      <c r="L477">
        <v>0.80826093583295211</v>
      </c>
      <c r="M477">
        <v>0.2527053802773967</v>
      </c>
      <c r="N477">
        <v>0.58603871361073001</v>
      </c>
      <c r="O477">
        <v>0.91937204694406327</v>
      </c>
      <c r="R477">
        <v>2.5</v>
      </c>
      <c r="S477" s="126">
        <f t="shared" si="71"/>
        <v>4.1313588744905747</v>
      </c>
      <c r="T477" s="126">
        <f t="shared" si="72"/>
        <v>1.6926879351892534</v>
      </c>
      <c r="U477" s="126">
        <f t="shared" si="73"/>
        <v>1.7252144246066621</v>
      </c>
      <c r="V477" s="126">
        <f t="shared" si="74"/>
        <v>2.4545989531586834</v>
      </c>
      <c r="W477" s="126">
        <f t="shared" si="75"/>
        <v>1.5102466560571832</v>
      </c>
      <c r="X477" s="126">
        <f t="shared" si="76"/>
        <v>1.8689068840182146</v>
      </c>
      <c r="Y477" s="126">
        <f t="shared" si="77"/>
        <v>2.8198578908193794</v>
      </c>
      <c r="Z477" s="126">
        <f t="shared" si="78"/>
        <v>2.0296707773862139</v>
      </c>
      <c r="AA477" s="126">
        <f t="shared" si="79"/>
        <v>2.3611240348714153</v>
      </c>
      <c r="AB477" s="126">
        <f t="shared" si="80"/>
        <v>3.5038578075277025</v>
      </c>
    </row>
    <row r="478" spans="1:28">
      <c r="A478">
        <v>477</v>
      </c>
      <c r="B478" s="119">
        <v>0.1083676268861454</v>
      </c>
      <c r="F478">
        <v>6.7520195092211549E-2</v>
      </c>
      <c r="G478">
        <v>0.40085352842554484</v>
      </c>
      <c r="H478">
        <v>0.73418686175887815</v>
      </c>
      <c r="I478">
        <v>0.17863130620332268</v>
      </c>
      <c r="J478">
        <v>0.51196463953665594</v>
      </c>
      <c r="K478">
        <v>0.84529797286998909</v>
      </c>
      <c r="L478">
        <v>0.28974241731443373</v>
      </c>
      <c r="M478">
        <v>0.62307575064776699</v>
      </c>
      <c r="N478">
        <v>0.95640908398110025</v>
      </c>
      <c r="O478">
        <v>0.10455723212924858</v>
      </c>
      <c r="R478">
        <v>2.5</v>
      </c>
      <c r="S478" s="126">
        <f t="shared" si="71"/>
        <v>1.1855493390672467</v>
      </c>
      <c r="T478" s="126">
        <f t="shared" si="72"/>
        <v>1.550445530798729</v>
      </c>
      <c r="U478" s="126">
        <f t="shared" si="73"/>
        <v>2.4569147221171947</v>
      </c>
      <c r="V478" s="126">
        <f t="shared" si="74"/>
        <v>1.6372671268427532</v>
      </c>
      <c r="W478" s="126">
        <f t="shared" si="75"/>
        <v>2.0093581047637534</v>
      </c>
      <c r="X478" s="126">
        <f t="shared" si="76"/>
        <v>3.0100180038456048</v>
      </c>
      <c r="Y478" s="126">
        <f t="shared" si="77"/>
        <v>2.2175099834285366</v>
      </c>
      <c r="Z478" s="126">
        <f t="shared" si="78"/>
        <v>2.5348795695582043</v>
      </c>
      <c r="AA478" s="126">
        <f t="shared" si="79"/>
        <v>3.8465409096406966</v>
      </c>
      <c r="AB478" s="126">
        <f t="shared" si="80"/>
        <v>2.0590466755406855</v>
      </c>
    </row>
    <row r="479" spans="1:28">
      <c r="A479">
        <v>478</v>
      </c>
      <c r="B479" s="119">
        <v>0.44170096021947874</v>
      </c>
      <c r="F479">
        <v>0.43789056546258187</v>
      </c>
      <c r="G479">
        <v>0.77122389879591513</v>
      </c>
      <c r="H479">
        <v>0.21566834324035972</v>
      </c>
      <c r="I479">
        <v>0.54900167657369292</v>
      </c>
      <c r="J479">
        <v>0.88233500990702618</v>
      </c>
      <c r="K479">
        <v>0.32677945435147077</v>
      </c>
      <c r="L479">
        <v>0.66011278768480408</v>
      </c>
      <c r="M479">
        <v>0.99344612101813734</v>
      </c>
      <c r="N479">
        <v>9.9070263679317191E-3</v>
      </c>
      <c r="O479">
        <v>0.34324035970126504</v>
      </c>
      <c r="R479">
        <v>2.5</v>
      </c>
      <c r="S479" s="126">
        <f t="shared" si="71"/>
        <v>2.2892950582386327</v>
      </c>
      <c r="T479" s="126">
        <f t="shared" si="72"/>
        <v>2.9250574657389548</v>
      </c>
      <c r="U479" s="126">
        <f t="shared" si="73"/>
        <v>1.9828209598201187</v>
      </c>
      <c r="V479" s="126">
        <f t="shared" si="74"/>
        <v>2.259858699377066</v>
      </c>
      <c r="W479" s="126">
        <f t="shared" si="75"/>
        <v>3.2763560170898929</v>
      </c>
      <c r="X479" s="126">
        <f t="shared" si="76"/>
        <v>2.4382342642484764</v>
      </c>
      <c r="Y479" s="126">
        <f t="shared" si="77"/>
        <v>2.7276374747598413</v>
      </c>
      <c r="Z479" s="126">
        <f t="shared" si="78"/>
        <v>4.5788250277851548</v>
      </c>
      <c r="AA479" s="126">
        <f t="shared" si="79"/>
        <v>1.541384186628683</v>
      </c>
      <c r="AB479" s="126">
        <f t="shared" si="80"/>
        <v>1.6035085077803233</v>
      </c>
    </row>
    <row r="480" spans="1:28">
      <c r="A480">
        <v>479</v>
      </c>
      <c r="B480" s="119">
        <v>0.77503429355281195</v>
      </c>
      <c r="F480">
        <v>0.67657369303459824</v>
      </c>
      <c r="G480">
        <v>0.12101813747904283</v>
      </c>
      <c r="H480">
        <v>0.45435147081237615</v>
      </c>
      <c r="I480">
        <v>0.78768480414570929</v>
      </c>
      <c r="J480">
        <v>0.23212924859015394</v>
      </c>
      <c r="K480">
        <v>0.5654625819234872</v>
      </c>
      <c r="L480">
        <v>0.89879591525682045</v>
      </c>
      <c r="M480">
        <v>4.6944063404968754E-2</v>
      </c>
      <c r="N480">
        <v>0.38027739673830208</v>
      </c>
      <c r="O480">
        <v>0.71361073007163534</v>
      </c>
      <c r="R480">
        <v>2.5</v>
      </c>
      <c r="S480" s="126">
        <f t="shared" si="71"/>
        <v>2.7961004497516777</v>
      </c>
      <c r="T480" s="126">
        <f t="shared" si="72"/>
        <v>1.6021038844701971</v>
      </c>
      <c r="U480" s="126">
        <f t="shared" si="73"/>
        <v>1.8723611322406337</v>
      </c>
      <c r="V480" s="126">
        <f t="shared" si="74"/>
        <v>2.7613078556917596</v>
      </c>
      <c r="W480" s="126">
        <f t="shared" si="75"/>
        <v>1.9459286859885974</v>
      </c>
      <c r="X480" s="126">
        <f t="shared" si="76"/>
        <v>2.2757060772653603</v>
      </c>
      <c r="Y480" s="126">
        <f t="shared" si="77"/>
        <v>3.3568868264851508</v>
      </c>
      <c r="Z480" s="126">
        <f t="shared" si="78"/>
        <v>1.4671649051399882</v>
      </c>
      <c r="AA480" s="126">
        <f t="shared" si="79"/>
        <v>1.6477648026949212</v>
      </c>
      <c r="AB480" s="126">
        <f t="shared" si="80"/>
        <v>2.4550516493705885</v>
      </c>
    </row>
    <row r="481" spans="1:28">
      <c r="A481">
        <v>480</v>
      </c>
      <c r="B481" s="119">
        <v>0.21947873799725651</v>
      </c>
      <c r="F481">
        <v>0.15805517451607987</v>
      </c>
      <c r="G481">
        <v>0.49138850784941318</v>
      </c>
      <c r="H481">
        <v>0.82472184118274627</v>
      </c>
      <c r="I481">
        <v>0.26916628562719097</v>
      </c>
      <c r="J481">
        <v>0.60249961896052417</v>
      </c>
      <c r="K481">
        <v>0.93583295229385743</v>
      </c>
      <c r="L481">
        <v>8.3981100442005796E-2</v>
      </c>
      <c r="M481">
        <v>0.41731443377533911</v>
      </c>
      <c r="N481">
        <v>0.75064776710867231</v>
      </c>
      <c r="O481">
        <v>0.1950922115531169</v>
      </c>
      <c r="R481">
        <v>2.5</v>
      </c>
      <c r="S481" s="126">
        <f t="shared" si="71"/>
        <v>1.5913794205415945</v>
      </c>
      <c r="T481" s="126">
        <f t="shared" si="72"/>
        <v>1.9437493780699722</v>
      </c>
      <c r="U481" s="126">
        <f t="shared" si="73"/>
        <v>2.908615552067717</v>
      </c>
      <c r="V481" s="126">
        <f t="shared" si="74"/>
        <v>2.1160681383525413</v>
      </c>
      <c r="W481" s="126">
        <f t="shared" si="75"/>
        <v>2.4395648119200639</v>
      </c>
      <c r="X481" s="126">
        <f t="shared" si="76"/>
        <v>3.642129502011783</v>
      </c>
      <c r="Y481" s="126">
        <f t="shared" si="77"/>
        <v>1.855042929872716</v>
      </c>
      <c r="Z481" s="126">
        <f t="shared" si="78"/>
        <v>1.9218796570872474</v>
      </c>
      <c r="AA481" s="126">
        <f t="shared" si="79"/>
        <v>2.6856657614166295</v>
      </c>
      <c r="AB481" s="126">
        <f t="shared" si="80"/>
        <v>1.8028064664692924</v>
      </c>
    </row>
    <row r="482" spans="1:28">
      <c r="A482">
        <v>481</v>
      </c>
      <c r="B482" s="119">
        <v>0.55281207133058974</v>
      </c>
      <c r="F482">
        <v>0.5284255448864501</v>
      </c>
      <c r="G482">
        <v>0.86175887821978336</v>
      </c>
      <c r="H482">
        <v>0.30620332266422801</v>
      </c>
      <c r="I482">
        <v>0.63953665599756127</v>
      </c>
      <c r="J482">
        <v>0.97286998933089452</v>
      </c>
      <c r="K482">
        <v>2.2252705380277394E-2</v>
      </c>
      <c r="L482">
        <v>0.35558603871361072</v>
      </c>
      <c r="M482">
        <v>0.68891937204694387</v>
      </c>
      <c r="N482">
        <v>0.13336381649138851</v>
      </c>
      <c r="O482">
        <v>0.46669714982472182</v>
      </c>
      <c r="R482">
        <v>2.5</v>
      </c>
      <c r="S482" s="126">
        <f t="shared" si="71"/>
        <v>2.4770461317441921</v>
      </c>
      <c r="T482" s="126">
        <f t="shared" si="72"/>
        <v>3.3042841231456928</v>
      </c>
      <c r="U482" s="126">
        <f t="shared" si="73"/>
        <v>2.4045830380674733</v>
      </c>
      <c r="V482" s="126">
        <f t="shared" si="74"/>
        <v>2.6649064008617551</v>
      </c>
      <c r="W482" s="126">
        <f t="shared" si="75"/>
        <v>4.0886472867977854</v>
      </c>
      <c r="X482" s="126">
        <f t="shared" si="76"/>
        <v>1.5594115710431593</v>
      </c>
      <c r="Y482" s="126">
        <f t="shared" si="77"/>
        <v>1.6400787624809157</v>
      </c>
      <c r="Z482" s="126">
        <f t="shared" si="78"/>
        <v>2.3924838927969687</v>
      </c>
      <c r="AA482" s="126">
        <f t="shared" si="79"/>
        <v>1.4481421991884331</v>
      </c>
      <c r="AB482" s="126">
        <f t="shared" si="80"/>
        <v>1.8206310027973052</v>
      </c>
    </row>
    <row r="483" spans="1:28">
      <c r="A483">
        <v>482</v>
      </c>
      <c r="B483" s="119">
        <v>0.886145404663923</v>
      </c>
      <c r="F483">
        <v>0.80003048315805503</v>
      </c>
      <c r="G483">
        <v>0.24447492760249961</v>
      </c>
      <c r="H483">
        <v>0.57780826093583293</v>
      </c>
      <c r="I483">
        <v>0.91114159426916619</v>
      </c>
      <c r="J483">
        <v>5.9289742417314432E-2</v>
      </c>
      <c r="K483">
        <v>0.39262307575064775</v>
      </c>
      <c r="L483">
        <v>0.72595640908398107</v>
      </c>
      <c r="M483">
        <v>0.17040085352842554</v>
      </c>
      <c r="N483">
        <v>0.50373418686175875</v>
      </c>
      <c r="O483">
        <v>0.83706752019509201</v>
      </c>
      <c r="R483">
        <v>2.5</v>
      </c>
      <c r="S483" s="126">
        <f t="shared" si="71"/>
        <v>3.1124864444540119</v>
      </c>
      <c r="T483" s="126">
        <f t="shared" si="72"/>
        <v>2.1553179786316399</v>
      </c>
      <c r="U483" s="126">
        <f t="shared" si="73"/>
        <v>2.4068899422980543</v>
      </c>
      <c r="V483" s="126">
        <f t="shared" si="74"/>
        <v>3.4831109077123683</v>
      </c>
      <c r="W483" s="126">
        <f t="shared" si="75"/>
        <v>1.6250209762856895</v>
      </c>
      <c r="X483" s="126">
        <f t="shared" si="76"/>
        <v>1.7537141663849387</v>
      </c>
      <c r="Y483" s="126">
        <f t="shared" si="77"/>
        <v>2.5385429002828666</v>
      </c>
      <c r="Z483" s="126">
        <f t="shared" si="78"/>
        <v>1.6519091527443392</v>
      </c>
      <c r="AA483" s="126">
        <f t="shared" si="79"/>
        <v>1.9996974010188118</v>
      </c>
      <c r="AB483" s="126">
        <f t="shared" si="80"/>
        <v>2.9771222977565506</v>
      </c>
    </row>
    <row r="484" spans="1:28">
      <c r="A484">
        <v>483</v>
      </c>
      <c r="B484" s="119">
        <v>0.33058984910836764</v>
      </c>
      <c r="F484">
        <v>0.28151196463953665</v>
      </c>
      <c r="G484">
        <v>0.61484529797286991</v>
      </c>
      <c r="H484">
        <v>0.94817863130620317</v>
      </c>
      <c r="I484">
        <v>9.6326779454351474E-2</v>
      </c>
      <c r="J484">
        <v>0.42966011278768479</v>
      </c>
      <c r="K484">
        <v>0.76299344612101805</v>
      </c>
      <c r="L484">
        <v>0.20743789056546258</v>
      </c>
      <c r="M484">
        <v>0.54077122389879573</v>
      </c>
      <c r="N484">
        <v>0.87410455723212899</v>
      </c>
      <c r="O484">
        <v>0.31854900167657368</v>
      </c>
      <c r="R484">
        <v>2.5</v>
      </c>
      <c r="S484" s="126">
        <f t="shared" si="71"/>
        <v>1.9411995768919921</v>
      </c>
      <c r="T484" s="126">
        <f t="shared" si="72"/>
        <v>2.3781913732887539</v>
      </c>
      <c r="U484" s="126">
        <f t="shared" si="73"/>
        <v>3.699322607082931</v>
      </c>
      <c r="V484" s="126">
        <f t="shared" si="74"/>
        <v>1.9464829220345405</v>
      </c>
      <c r="W484" s="126">
        <f t="shared" si="75"/>
        <v>1.9938425700767248</v>
      </c>
      <c r="X484" s="126">
        <f t="shared" si="76"/>
        <v>2.7543604513606388</v>
      </c>
      <c r="Y484" s="126">
        <f t="shared" si="77"/>
        <v>1.8735737785404845</v>
      </c>
      <c r="Z484" s="126">
        <f t="shared" si="78"/>
        <v>2.1878260531390308</v>
      </c>
      <c r="AA484" s="126">
        <f t="shared" si="79"/>
        <v>3.2065581191897756</v>
      </c>
      <c r="AB484" s="126">
        <f t="shared" si="80"/>
        <v>2.3842357852608584</v>
      </c>
    </row>
    <row r="485" spans="1:28">
      <c r="A485">
        <v>484</v>
      </c>
      <c r="B485" s="119">
        <v>0.6639231824417009</v>
      </c>
      <c r="F485">
        <v>0.65188233500990689</v>
      </c>
      <c r="G485">
        <v>0.98521566834324015</v>
      </c>
      <c r="H485">
        <v>3.4598384392623076E-2</v>
      </c>
      <c r="I485">
        <v>0.3679317177259564</v>
      </c>
      <c r="J485">
        <v>0.7012650510592896</v>
      </c>
      <c r="K485">
        <v>0.14570949550373419</v>
      </c>
      <c r="L485">
        <v>0.4790428288370675</v>
      </c>
      <c r="M485">
        <v>0.81237616217040065</v>
      </c>
      <c r="N485">
        <v>0.25682060661484529</v>
      </c>
      <c r="O485">
        <v>0.59015393994817855</v>
      </c>
      <c r="R485">
        <v>2.5</v>
      </c>
      <c r="S485" s="126">
        <f t="shared" si="71"/>
        <v>2.7402354487611871</v>
      </c>
      <c r="T485" s="126">
        <f t="shared" si="72"/>
        <v>4.3335867661530791</v>
      </c>
      <c r="U485" s="126">
        <f t="shared" si="73"/>
        <v>1.8410169466480468</v>
      </c>
      <c r="V485" s="126">
        <f t="shared" si="74"/>
        <v>1.8087876178393738</v>
      </c>
      <c r="W485" s="126">
        <f t="shared" si="75"/>
        <v>2.5063534799534284</v>
      </c>
      <c r="X485" s="126">
        <f t="shared" si="76"/>
        <v>1.551245276498209</v>
      </c>
      <c r="Y485" s="126">
        <f t="shared" si="77"/>
        <v>1.8980351088179352</v>
      </c>
      <c r="Z485" s="126">
        <f t="shared" si="78"/>
        <v>2.847018961307699</v>
      </c>
      <c r="AA485" s="126">
        <f t="shared" si="79"/>
        <v>2.0538975482740636</v>
      </c>
      <c r="AB485" s="126">
        <f t="shared" si="80"/>
        <v>2.3820220719397769</v>
      </c>
    </row>
    <row r="486" spans="1:28">
      <c r="A486">
        <v>485</v>
      </c>
      <c r="B486" s="119">
        <v>0.99725651577503416</v>
      </c>
      <c r="F486">
        <v>0.92348727328151181</v>
      </c>
      <c r="G486">
        <v>7.1635421429660118E-2</v>
      </c>
      <c r="H486">
        <v>0.40496875476299343</v>
      </c>
      <c r="I486">
        <v>0.73830208809632669</v>
      </c>
      <c r="J486">
        <v>0.18274653254077122</v>
      </c>
      <c r="K486">
        <v>0.51607986587410448</v>
      </c>
      <c r="L486">
        <v>0.84941319920743763</v>
      </c>
      <c r="M486">
        <v>0.29385764365188233</v>
      </c>
      <c r="N486">
        <v>0.62719097698521553</v>
      </c>
      <c r="O486">
        <v>0.96052431031854879</v>
      </c>
      <c r="R486">
        <v>2.5</v>
      </c>
      <c r="S486" s="126">
        <f t="shared" si="71"/>
        <v>3.5968057487834897</v>
      </c>
      <c r="T486" s="126">
        <f t="shared" si="72"/>
        <v>1.7622068827070401</v>
      </c>
      <c r="U486" s="126">
        <f t="shared" si="73"/>
        <v>1.8490427353310197</v>
      </c>
      <c r="V486" s="126">
        <f t="shared" si="74"/>
        <v>2.6173773710971071</v>
      </c>
      <c r="W486" s="126">
        <f t="shared" si="75"/>
        <v>1.7308203970927225</v>
      </c>
      <c r="X486" s="126">
        <f t="shared" si="76"/>
        <v>2.0648913702659577</v>
      </c>
      <c r="Y486" s="126">
        <f t="shared" si="77"/>
        <v>3.0523189928805508</v>
      </c>
      <c r="Z486" s="126">
        <f t="shared" si="78"/>
        <v>2.2486577784355282</v>
      </c>
      <c r="AA486" s="126">
        <f t="shared" si="79"/>
        <v>2.5594866716893292</v>
      </c>
      <c r="AB486" s="126">
        <f t="shared" si="80"/>
        <v>3.8971366243452108</v>
      </c>
    </row>
    <row r="487" spans="1:28">
      <c r="A487">
        <v>486</v>
      </c>
      <c r="B487" s="119">
        <v>2.7434842249657062E-3</v>
      </c>
      <c r="F487">
        <v>0.10867245846669715</v>
      </c>
      <c r="G487">
        <v>0.44200579180003047</v>
      </c>
      <c r="H487">
        <v>0.77533912513336367</v>
      </c>
      <c r="I487">
        <v>0.21978356957780826</v>
      </c>
      <c r="J487">
        <v>0.55311690291114146</v>
      </c>
      <c r="K487">
        <v>0.88645023624447472</v>
      </c>
      <c r="L487">
        <v>0.33089468068891936</v>
      </c>
      <c r="M487">
        <v>0.66422801402225262</v>
      </c>
      <c r="N487">
        <v>0.99756134735558588</v>
      </c>
      <c r="O487">
        <v>3.0483158055174516E-3</v>
      </c>
      <c r="R487">
        <v>2.5</v>
      </c>
      <c r="S487" s="126">
        <f t="shared" si="71"/>
        <v>1.4007385049294461</v>
      </c>
      <c r="T487" s="126">
        <f t="shared" si="72"/>
        <v>1.7454120486061198</v>
      </c>
      <c r="U487" s="126">
        <f t="shared" si="73"/>
        <v>2.6629708881276208</v>
      </c>
      <c r="V487" s="126">
        <f t="shared" si="74"/>
        <v>1.8626285852095246</v>
      </c>
      <c r="W487" s="126">
        <f t="shared" si="75"/>
        <v>2.2080285027901141</v>
      </c>
      <c r="X487" s="126">
        <f t="shared" si="76"/>
        <v>3.2677289029726277</v>
      </c>
      <c r="Y487" s="126">
        <f t="shared" si="77"/>
        <v>2.4432841540248891</v>
      </c>
      <c r="Z487" s="126">
        <f t="shared" si="78"/>
        <v>2.7394619575994135</v>
      </c>
      <c r="AA487" s="126">
        <f t="shared" si="79"/>
        <v>4.860415741004668</v>
      </c>
      <c r="AB487" s="126">
        <f t="shared" si="80"/>
        <v>1.3425266970085943</v>
      </c>
    </row>
    <row r="488" spans="1:28">
      <c r="A488">
        <v>487</v>
      </c>
      <c r="B488" s="119">
        <v>0.33607681755829905</v>
      </c>
      <c r="F488">
        <v>0.33638164913885077</v>
      </c>
      <c r="G488">
        <v>0.66971498247218408</v>
      </c>
      <c r="H488">
        <v>0.11415942691662856</v>
      </c>
      <c r="I488">
        <v>0.44749276024996187</v>
      </c>
      <c r="J488">
        <v>0.78082609358329513</v>
      </c>
      <c r="K488">
        <v>0.22527053802773966</v>
      </c>
      <c r="L488">
        <v>0.55860387136107303</v>
      </c>
      <c r="M488">
        <v>0.89193720469440629</v>
      </c>
      <c r="N488">
        <v>4.0085352842554482E-2</v>
      </c>
      <c r="O488">
        <v>0.3734186861758878</v>
      </c>
      <c r="R488">
        <v>2.5</v>
      </c>
      <c r="S488" s="126">
        <f t="shared" si="71"/>
        <v>2.0698660745466682</v>
      </c>
      <c r="T488" s="126">
        <f t="shared" si="72"/>
        <v>2.5642334880179991</v>
      </c>
      <c r="U488" s="126">
        <f t="shared" si="73"/>
        <v>1.4568740283509125</v>
      </c>
      <c r="V488" s="126">
        <f t="shared" si="74"/>
        <v>1.7850800079645663</v>
      </c>
      <c r="W488" s="126">
        <f t="shared" si="75"/>
        <v>2.698117271514306</v>
      </c>
      <c r="X488" s="126">
        <f t="shared" si="76"/>
        <v>1.8954786298261375</v>
      </c>
      <c r="Y488" s="126">
        <f t="shared" si="77"/>
        <v>2.2359956504132907</v>
      </c>
      <c r="Z488" s="126">
        <f t="shared" si="78"/>
        <v>3.3057309071532948</v>
      </c>
      <c r="AA488" s="126">
        <f t="shared" si="79"/>
        <v>1.380038157596174</v>
      </c>
      <c r="AB488" s="126">
        <f t="shared" si="80"/>
        <v>1.5890790058409685</v>
      </c>
    </row>
    <row r="489" spans="1:28">
      <c r="A489">
        <v>488</v>
      </c>
      <c r="B489" s="119">
        <v>0.66941015089163236</v>
      </c>
      <c r="F489">
        <v>0.70675201950922117</v>
      </c>
      <c r="G489">
        <v>0.15119646395366559</v>
      </c>
      <c r="H489">
        <v>0.48452979728699891</v>
      </c>
      <c r="I489">
        <v>0.81786313062033211</v>
      </c>
      <c r="J489">
        <v>0.2623075750647767</v>
      </c>
      <c r="K489">
        <v>0.59564090839811001</v>
      </c>
      <c r="L489">
        <v>0.92897424173144327</v>
      </c>
      <c r="M489">
        <v>7.7122389879591524E-2</v>
      </c>
      <c r="N489">
        <v>0.41045572321292484</v>
      </c>
      <c r="O489">
        <v>0.74378905654625815</v>
      </c>
      <c r="R489">
        <v>2.5</v>
      </c>
      <c r="S489" s="126">
        <f t="shared" si="71"/>
        <v>2.8668533325302743</v>
      </c>
      <c r="T489" s="126">
        <f t="shared" si="72"/>
        <v>1.7519789636705592</v>
      </c>
      <c r="U489" s="126">
        <f t="shared" si="73"/>
        <v>2.0102799133585854</v>
      </c>
      <c r="V489" s="126">
        <f t="shared" si="74"/>
        <v>2.9203952811000633</v>
      </c>
      <c r="W489" s="126">
        <f t="shared" si="75"/>
        <v>2.1047412112607851</v>
      </c>
      <c r="X489" s="126">
        <f t="shared" si="76"/>
        <v>2.4192379481077446</v>
      </c>
      <c r="Y489" s="126">
        <f t="shared" si="77"/>
        <v>3.5886028957637777</v>
      </c>
      <c r="Z489" s="126">
        <f t="shared" si="78"/>
        <v>1.7902690929834666</v>
      </c>
      <c r="AA489" s="126">
        <f t="shared" si="79"/>
        <v>1.874804363685266</v>
      </c>
      <c r="AB489" s="126">
        <f t="shared" si="80"/>
        <v>2.6443068732293429</v>
      </c>
    </row>
    <row r="490" spans="1:28">
      <c r="A490">
        <v>489</v>
      </c>
      <c r="B490" s="119">
        <v>0.11385459533607681</v>
      </c>
      <c r="F490">
        <v>0.18823350099070263</v>
      </c>
      <c r="G490">
        <v>0.52156683432403594</v>
      </c>
      <c r="H490">
        <v>0.8549001676573692</v>
      </c>
      <c r="I490">
        <v>0.29934461210181373</v>
      </c>
      <c r="J490">
        <v>0.6326779454351471</v>
      </c>
      <c r="K490">
        <v>0.96601127876848036</v>
      </c>
      <c r="L490">
        <v>1.5393994817863131E-2</v>
      </c>
      <c r="M490">
        <v>0.34872732815119645</v>
      </c>
      <c r="N490">
        <v>0.68206066148452971</v>
      </c>
      <c r="O490">
        <v>0.12650510592897424</v>
      </c>
      <c r="R490">
        <v>2.5</v>
      </c>
      <c r="S490" s="126">
        <f t="shared" si="71"/>
        <v>1.6887539592120115</v>
      </c>
      <c r="T490" s="126">
        <f t="shared" si="72"/>
        <v>2.0551056387513915</v>
      </c>
      <c r="U490" s="126">
        <f t="shared" si="73"/>
        <v>3.0670010574530369</v>
      </c>
      <c r="V490" s="126">
        <f t="shared" si="74"/>
        <v>2.2691211408433727</v>
      </c>
      <c r="W490" s="126">
        <f t="shared" si="75"/>
        <v>2.5817572851095303</v>
      </c>
      <c r="X490" s="126">
        <f t="shared" si="76"/>
        <v>3.9647075883312599</v>
      </c>
      <c r="Y490" s="126">
        <f t="shared" si="77"/>
        <v>1.3729846658126341</v>
      </c>
      <c r="Z490" s="126">
        <f t="shared" si="78"/>
        <v>1.5311413588920182</v>
      </c>
      <c r="AA490" s="126">
        <f t="shared" si="79"/>
        <v>2.321796243650069</v>
      </c>
      <c r="AB490" s="126">
        <f t="shared" si="80"/>
        <v>1.3858594530395454</v>
      </c>
    </row>
    <row r="491" spans="1:28">
      <c r="A491">
        <v>490</v>
      </c>
      <c r="B491" s="119">
        <v>0.44718792866941015</v>
      </c>
      <c r="F491">
        <v>0.45983843926230755</v>
      </c>
      <c r="G491">
        <v>0.79317177259564087</v>
      </c>
      <c r="H491">
        <v>0.23761621704008534</v>
      </c>
      <c r="I491">
        <v>0.57094955037341877</v>
      </c>
      <c r="J491">
        <v>0.90428288370675203</v>
      </c>
      <c r="K491">
        <v>5.2431031854900161E-2</v>
      </c>
      <c r="L491">
        <v>0.38576436518823348</v>
      </c>
      <c r="M491">
        <v>0.71909769852156691</v>
      </c>
      <c r="N491">
        <v>0.16354214296601127</v>
      </c>
      <c r="O491">
        <v>0.49687547629934459</v>
      </c>
      <c r="R491">
        <v>2.5</v>
      </c>
      <c r="S491" s="126">
        <f t="shared" ref="S491:S554" si="81">NORMINV(F491,0,1)*0.8248+0.4974*(2.3356-R491)+R491</f>
        <v>2.3350539900757687</v>
      </c>
      <c r="T491" s="126">
        <f t="shared" ref="T491:T554" si="82">NORMINV(G491,0,1)*0.8248+0.4974*(2.3356-S491)+S491</f>
        <v>3.0095797865531337</v>
      </c>
      <c r="U491" s="126">
        <f t="shared" ref="U491:U554" si="83">NORMINV(H491,0,1)*0.8248+0.4974*(2.3356-T491)+T491</f>
        <v>2.08544204962126</v>
      </c>
      <c r="V491" s="126">
        <f t="shared" ref="V491:V554" si="84">NORMINV(I491,0,1)*0.8248+0.4974*(2.3356-U491)+U491</f>
        <v>2.3573383900741867</v>
      </c>
      <c r="W491" s="126">
        <f t="shared" ref="W491:W554" si="85">NORMINV(J491,0,1)*0.8248+0.4974*(2.3356-V491)+V491</f>
        <v>3.4240015650844025</v>
      </c>
      <c r="X491" s="126">
        <f t="shared" ref="X491:X554" si="86">NORMINV(K491,0,1)*0.8248+0.4974*(2.3356-W491)+W491</f>
        <v>1.5450311547225666</v>
      </c>
      <c r="Y491" s="126">
        <f t="shared" ref="Y491:Y554" si="87">NORMINV(L491,0,1)*0.8248+0.4974*(2.3356-X491)+X491</f>
        <v>1.6987581116248536</v>
      </c>
      <c r="Z491" s="126">
        <f t="shared" ref="Z491:Z554" si="88">NORMINV(M491,0,1)*0.8248+0.4974*(2.3356-Y491)+Y491</f>
        <v>2.4940418308581158</v>
      </c>
      <c r="AA491" s="126">
        <f t="shared" ref="AA491:AA554" si="89">NORMINV(N491,0,1)*0.8248+0.4974*(2.3356-Z491)+Z491</f>
        <v>1.6069258018415331</v>
      </c>
      <c r="AB491" s="126">
        <f t="shared" ref="AB491:AB554" si="90">NORMINV(O491,0,1)*0.8248+0.4974*(2.3356-AA491)+AA491</f>
        <v>1.9629084323176871</v>
      </c>
    </row>
    <row r="492" spans="1:28">
      <c r="A492">
        <v>491</v>
      </c>
      <c r="B492" s="119">
        <v>0.78052126200274341</v>
      </c>
      <c r="F492">
        <v>0.83020880963267785</v>
      </c>
      <c r="G492">
        <v>0.27465325407712238</v>
      </c>
      <c r="H492">
        <v>0.60798658741045575</v>
      </c>
      <c r="I492">
        <v>0.94131992074378901</v>
      </c>
      <c r="J492">
        <v>8.9468068891937202E-2</v>
      </c>
      <c r="K492">
        <v>0.42280140222527052</v>
      </c>
      <c r="L492">
        <v>0.75613473555860389</v>
      </c>
      <c r="M492">
        <v>0.20057918000304831</v>
      </c>
      <c r="N492">
        <v>0.53391251333638157</v>
      </c>
      <c r="O492">
        <v>0.86724584666971483</v>
      </c>
      <c r="R492">
        <v>2.5</v>
      </c>
      <c r="S492" s="126">
        <f t="shared" si="81"/>
        <v>3.2059038008275316</v>
      </c>
      <c r="T492" s="126">
        <f t="shared" si="82"/>
        <v>2.2791247543098638</v>
      </c>
      <c r="U492" s="126">
        <f t="shared" si="83"/>
        <v>2.5332727736885232</v>
      </c>
      <c r="V492" s="126">
        <f t="shared" si="84"/>
        <v>3.7265464757119968</v>
      </c>
      <c r="W492" s="126">
        <f t="shared" si="85"/>
        <v>1.9261272547827855</v>
      </c>
      <c r="X492" s="126">
        <f t="shared" si="86"/>
        <v>1.969184092467132</v>
      </c>
      <c r="Y492" s="126">
        <f t="shared" si="87"/>
        <v>2.7237870157606254</v>
      </c>
      <c r="Z492" s="126">
        <f t="shared" si="88"/>
        <v>1.8382384490010986</v>
      </c>
      <c r="AA492" s="126">
        <f t="shared" si="89"/>
        <v>2.1558237407240908</v>
      </c>
      <c r="AB492" s="126">
        <f t="shared" si="90"/>
        <v>3.1636312784395693</v>
      </c>
    </row>
    <row r="493" spans="1:28">
      <c r="A493">
        <v>492</v>
      </c>
      <c r="B493" s="119">
        <v>0.22496570644718791</v>
      </c>
      <c r="F493">
        <v>0.31169029111415941</v>
      </c>
      <c r="G493">
        <v>0.64502362444749273</v>
      </c>
      <c r="H493">
        <v>0.97835695778082599</v>
      </c>
      <c r="I493">
        <v>2.7739673830208807E-2</v>
      </c>
      <c r="J493">
        <v>0.36107300716354213</v>
      </c>
      <c r="K493">
        <v>0.69440634049687544</v>
      </c>
      <c r="L493">
        <v>0.13885078494131992</v>
      </c>
      <c r="M493">
        <v>0.47218411827465323</v>
      </c>
      <c r="N493">
        <v>0.80551745160798649</v>
      </c>
      <c r="O493">
        <v>0.24996189605243102</v>
      </c>
      <c r="R493">
        <v>2.5</v>
      </c>
      <c r="S493" s="126">
        <f t="shared" si="81"/>
        <v>2.0131971527787029</v>
      </c>
      <c r="T493" s="126">
        <f t="shared" si="82"/>
        <v>2.480319571283768</v>
      </c>
      <c r="U493" s="126">
        <f t="shared" si="83"/>
        <v>4.075206508903408</v>
      </c>
      <c r="V493" s="126">
        <f t="shared" si="84"/>
        <v>1.6303491368722263</v>
      </c>
      <c r="W493" s="126">
        <f t="shared" si="85"/>
        <v>1.6878485009916857</v>
      </c>
      <c r="X493" s="126">
        <f t="shared" si="86"/>
        <v>2.4293513994286782</v>
      </c>
      <c r="Y493" s="126">
        <f t="shared" si="87"/>
        <v>1.4874014871311743</v>
      </c>
      <c r="Z493" s="126">
        <f t="shared" si="88"/>
        <v>1.851740334729199</v>
      </c>
      <c r="AA493" s="126">
        <f t="shared" si="89"/>
        <v>2.8029737730742328</v>
      </c>
      <c r="AB493" s="126">
        <f t="shared" si="90"/>
        <v>2.0140840082819875</v>
      </c>
    </row>
    <row r="494" spans="1:28">
      <c r="A494">
        <v>493</v>
      </c>
      <c r="B494" s="119">
        <v>0.55829903978052131</v>
      </c>
      <c r="F494">
        <v>0.58329522938576439</v>
      </c>
      <c r="G494">
        <v>0.91662856271909765</v>
      </c>
      <c r="H494">
        <v>6.4776710867245846E-2</v>
      </c>
      <c r="I494">
        <v>0.39811004420057916</v>
      </c>
      <c r="J494">
        <v>0.73144337753391253</v>
      </c>
      <c r="K494">
        <v>0.17588782197835695</v>
      </c>
      <c r="L494">
        <v>0.50922115531169032</v>
      </c>
      <c r="M494">
        <v>0.84255448864502347</v>
      </c>
      <c r="N494">
        <v>0.28699893308946806</v>
      </c>
      <c r="O494">
        <v>0.62033226642280137</v>
      </c>
      <c r="R494">
        <v>2.5</v>
      </c>
      <c r="S494" s="126">
        <f t="shared" si="81"/>
        <v>2.5917082381339291</v>
      </c>
      <c r="T494" s="126">
        <f t="shared" si="82"/>
        <v>3.6048085982022164</v>
      </c>
      <c r="U494" s="126">
        <f t="shared" si="83"/>
        <v>1.7232185603121846</v>
      </c>
      <c r="V494" s="126">
        <f t="shared" si="84"/>
        <v>1.8148190256950727</v>
      </c>
      <c r="W494" s="126">
        <f t="shared" si="85"/>
        <v>2.582908999337608</v>
      </c>
      <c r="X494" s="126">
        <f t="shared" si="86"/>
        <v>1.6918844509131679</v>
      </c>
      <c r="Y494" s="126">
        <f t="shared" si="87"/>
        <v>2.031134697216197</v>
      </c>
      <c r="Z494" s="126">
        <f t="shared" si="88"/>
        <v>3.0115097202246242</v>
      </c>
      <c r="AA494" s="126">
        <f t="shared" si="89"/>
        <v>2.2116315849214025</v>
      </c>
      <c r="AB494" s="126">
        <f t="shared" si="90"/>
        <v>2.5259738866265247</v>
      </c>
    </row>
    <row r="495" spans="1:28">
      <c r="A495">
        <v>494</v>
      </c>
      <c r="B495" s="119">
        <v>0.89163237311385457</v>
      </c>
      <c r="F495">
        <v>0.95366559975613463</v>
      </c>
      <c r="G495">
        <v>0.10181374790428288</v>
      </c>
      <c r="H495">
        <v>0.4351470812376162</v>
      </c>
      <c r="I495">
        <v>0.76848041457094951</v>
      </c>
      <c r="J495">
        <v>0.21292485901539399</v>
      </c>
      <c r="K495">
        <v>0.5462581923487273</v>
      </c>
      <c r="L495">
        <v>0.87959152568206056</v>
      </c>
      <c r="M495">
        <v>0.32403597012650509</v>
      </c>
      <c r="N495">
        <v>0.65736930345983846</v>
      </c>
      <c r="O495">
        <v>0.99070263679317172</v>
      </c>
      <c r="R495">
        <v>2.5</v>
      </c>
      <c r="S495" s="126">
        <f t="shared" si="81"/>
        <v>3.805116043251155</v>
      </c>
      <c r="T495" s="126">
        <f t="shared" si="82"/>
        <v>2.0256234035143361</v>
      </c>
      <c r="U495" s="126">
        <f t="shared" si="83"/>
        <v>2.045128419071311</v>
      </c>
      <c r="V495" s="126">
        <f t="shared" si="84"/>
        <v>2.7948898063192615</v>
      </c>
      <c r="W495" s="126">
        <f t="shared" si="85"/>
        <v>1.9096395075587389</v>
      </c>
      <c r="X495" s="126">
        <f t="shared" si="86"/>
        <v>2.2173648624873192</v>
      </c>
      <c r="Y495" s="126">
        <f t="shared" si="87"/>
        <v>3.2436219348562947</v>
      </c>
      <c r="Z495" s="126">
        <f t="shared" si="88"/>
        <v>2.4154981998769318</v>
      </c>
      <c r="AA495" s="126">
        <f t="shared" si="89"/>
        <v>2.7100433525445204</v>
      </c>
      <c r="AB495" s="126">
        <f t="shared" si="90"/>
        <v>4.4650095428911349</v>
      </c>
    </row>
    <row r="496" spans="1:28">
      <c r="A496">
        <v>495</v>
      </c>
      <c r="B496" s="119">
        <v>3.9780521262002738E-2</v>
      </c>
      <c r="F496">
        <v>7.1635421429660116E-3</v>
      </c>
      <c r="G496">
        <v>0.34049687547629931</v>
      </c>
      <c r="H496">
        <v>0.67383020880963262</v>
      </c>
      <c r="I496">
        <v>0.11827465325407711</v>
      </c>
      <c r="J496">
        <v>0.45160798658741041</v>
      </c>
      <c r="K496">
        <v>0.78494131992074367</v>
      </c>
      <c r="L496">
        <v>0.22938576436518823</v>
      </c>
      <c r="M496">
        <v>0.56271909769852158</v>
      </c>
      <c r="N496">
        <v>0.89605243103185483</v>
      </c>
      <c r="O496">
        <v>4.4200579180003044E-2</v>
      </c>
      <c r="R496">
        <v>2.5</v>
      </c>
      <c r="S496" s="126">
        <f t="shared" si="81"/>
        <v>0.39832831158986215</v>
      </c>
      <c r="T496" s="126">
        <f t="shared" si="82"/>
        <v>1.022845828627758</v>
      </c>
      <c r="U496" s="126">
        <f t="shared" si="83"/>
        <v>2.0473940202890581</v>
      </c>
      <c r="V496" s="126">
        <f t="shared" si="84"/>
        <v>1.2144682963546169</v>
      </c>
      <c r="W496" s="126">
        <f t="shared" si="85"/>
        <v>1.6718236920444758</v>
      </c>
      <c r="X496" s="126">
        <f t="shared" si="86"/>
        <v>2.6527456726339937</v>
      </c>
      <c r="Y496" s="126">
        <f t="shared" si="87"/>
        <v>1.8839268349685676</v>
      </c>
      <c r="Z496" s="126">
        <f t="shared" si="88"/>
        <v>2.2387975569196801</v>
      </c>
      <c r="AA496" s="126">
        <f t="shared" si="89"/>
        <v>3.3256790827465821</v>
      </c>
      <c r="AB496" s="126">
        <f t="shared" si="90"/>
        <v>1.4278431508481302</v>
      </c>
    </row>
    <row r="497" spans="1:28">
      <c r="A497">
        <v>496</v>
      </c>
      <c r="B497" s="119">
        <v>0.37311385459533608</v>
      </c>
      <c r="F497">
        <v>0.37753391251333634</v>
      </c>
      <c r="G497">
        <v>0.71086724584666972</v>
      </c>
      <c r="H497">
        <v>0.15531169029111416</v>
      </c>
      <c r="I497">
        <v>0.48864502362444745</v>
      </c>
      <c r="J497">
        <v>0.82197835695778065</v>
      </c>
      <c r="K497">
        <v>0.26642280140222524</v>
      </c>
      <c r="L497">
        <v>0.59975613473555855</v>
      </c>
      <c r="M497">
        <v>0.93308946806889181</v>
      </c>
      <c r="N497">
        <v>8.1237616217040079E-2</v>
      </c>
      <c r="O497">
        <v>0.41457094955037338</v>
      </c>
      <c r="R497">
        <v>2.5</v>
      </c>
      <c r="S497" s="126">
        <f t="shared" si="81"/>
        <v>2.1609194701409091</v>
      </c>
      <c r="T497" s="126">
        <f t="shared" si="82"/>
        <v>2.7063284262580787</v>
      </c>
      <c r="U497" s="126">
        <f t="shared" si="83"/>
        <v>1.6856511314796228</v>
      </c>
      <c r="V497" s="126">
        <f t="shared" si="84"/>
        <v>1.9854564890733861</v>
      </c>
      <c r="W497" s="126">
        <f t="shared" si="85"/>
        <v>2.9208511675351305</v>
      </c>
      <c r="X497" s="126">
        <f t="shared" si="86"/>
        <v>2.1153458203653832</v>
      </c>
      <c r="Y497" s="126">
        <f t="shared" si="87"/>
        <v>2.4333403553067168</v>
      </c>
      <c r="Z497" s="126">
        <f t="shared" si="88"/>
        <v>3.6212666607868518</v>
      </c>
      <c r="AA497" s="126">
        <f t="shared" si="89"/>
        <v>1.8296995645210958</v>
      </c>
      <c r="AB497" s="126">
        <f t="shared" si="90"/>
        <v>1.9033407503050914</v>
      </c>
    </row>
    <row r="498" spans="1:28">
      <c r="A498">
        <v>497</v>
      </c>
      <c r="B498" s="119">
        <v>0.70644718792866945</v>
      </c>
      <c r="F498">
        <v>0.74790428288370669</v>
      </c>
      <c r="G498">
        <v>0.1923487273281512</v>
      </c>
      <c r="H498">
        <v>0.52568206066148448</v>
      </c>
      <c r="I498">
        <v>0.85901539399481774</v>
      </c>
      <c r="J498">
        <v>0.30345983843926227</v>
      </c>
      <c r="K498">
        <v>0.63679317177259565</v>
      </c>
      <c r="L498">
        <v>0.9701265051059289</v>
      </c>
      <c r="M498">
        <v>1.9509221155311691E-2</v>
      </c>
      <c r="N498">
        <v>0.35284255448864499</v>
      </c>
      <c r="O498">
        <v>0.68617588782197825</v>
      </c>
      <c r="R498">
        <v>2.5</v>
      </c>
      <c r="S498" s="126">
        <f t="shared" si="81"/>
        <v>2.9691191034373206</v>
      </c>
      <c r="T498" s="126">
        <f t="shared" si="82"/>
        <v>1.9370297690058704</v>
      </c>
      <c r="U498" s="126">
        <f t="shared" si="83"/>
        <v>2.1884121420006597</v>
      </c>
      <c r="V498" s="126">
        <f t="shared" si="84"/>
        <v>3.1490308104363782</v>
      </c>
      <c r="W498" s="126">
        <f t="shared" si="85"/>
        <v>2.3200910410207753</v>
      </c>
      <c r="X498" s="126">
        <f t="shared" si="86"/>
        <v>2.6164028167598294</v>
      </c>
      <c r="Y498" s="126">
        <f t="shared" si="87"/>
        <v>4.0295462384825464</v>
      </c>
      <c r="Z498" s="126">
        <f t="shared" si="88"/>
        <v>1.4845964943129486</v>
      </c>
      <c r="AA498" s="126">
        <f t="shared" si="89"/>
        <v>1.5963938045797761</v>
      </c>
      <c r="AB498" s="126">
        <f t="shared" si="90"/>
        <v>2.3641356644252385</v>
      </c>
    </row>
    <row r="499" spans="1:28">
      <c r="A499">
        <v>498</v>
      </c>
      <c r="B499" s="119">
        <v>0.15089163237311384</v>
      </c>
      <c r="F499">
        <v>0.13062033226642281</v>
      </c>
      <c r="G499">
        <v>0.46395366559975609</v>
      </c>
      <c r="H499">
        <v>0.79728699893308941</v>
      </c>
      <c r="I499">
        <v>0.24173144337753391</v>
      </c>
      <c r="J499">
        <v>0.57506477671086731</v>
      </c>
      <c r="K499">
        <v>0.90839811004420057</v>
      </c>
      <c r="L499">
        <v>5.6546258192348722E-2</v>
      </c>
      <c r="M499">
        <v>0.38987959152568202</v>
      </c>
      <c r="N499">
        <v>0.72321292485901545</v>
      </c>
      <c r="O499">
        <v>0.16765736930345984</v>
      </c>
      <c r="R499">
        <v>2.5</v>
      </c>
      <c r="S499" s="126">
        <f t="shared" si="81"/>
        <v>1.4915946879343032</v>
      </c>
      <c r="T499" s="126">
        <f t="shared" si="82"/>
        <v>1.8367766295700989</v>
      </c>
      <c r="U499" s="126">
        <f t="shared" si="83"/>
        <v>2.771100048959108</v>
      </c>
      <c r="V499" s="126">
        <f t="shared" si="84"/>
        <v>1.9765087991378771</v>
      </c>
      <c r="W499" s="126">
        <f t="shared" si="85"/>
        <v>2.3112419827658321</v>
      </c>
      <c r="X499" s="126">
        <f t="shared" si="86"/>
        <v>3.4211294405981274</v>
      </c>
      <c r="Y499" s="126">
        <f t="shared" si="87"/>
        <v>1.5743369625039434</v>
      </c>
      <c r="Z499" s="126">
        <f t="shared" si="88"/>
        <v>1.7223480028843503</v>
      </c>
      <c r="AA499" s="126">
        <f t="shared" si="89"/>
        <v>2.5160016813524075</v>
      </c>
      <c r="AB499" s="126">
        <f t="shared" si="90"/>
        <v>1.6316048051894714</v>
      </c>
    </row>
    <row r="500" spans="1:28">
      <c r="A500">
        <v>499</v>
      </c>
      <c r="B500" s="119">
        <v>0.48422496570644719</v>
      </c>
      <c r="F500">
        <v>0.50099070263679313</v>
      </c>
      <c r="G500">
        <v>0.83432403597012639</v>
      </c>
      <c r="H500">
        <v>0.27876848041457092</v>
      </c>
      <c r="I500">
        <v>0.61210181374790429</v>
      </c>
      <c r="J500">
        <v>0.94543514708123755</v>
      </c>
      <c r="K500">
        <v>9.3583295229385757E-2</v>
      </c>
      <c r="L500">
        <v>0.42691662856271906</v>
      </c>
      <c r="M500">
        <v>0.76024996189605243</v>
      </c>
      <c r="N500">
        <v>0.20469440634049688</v>
      </c>
      <c r="O500">
        <v>0.53802773967383011</v>
      </c>
      <c r="R500">
        <v>2.5</v>
      </c>
      <c r="S500" s="126">
        <f t="shared" si="81"/>
        <v>2.4202756871145126</v>
      </c>
      <c r="T500" s="126">
        <f t="shared" si="82"/>
        <v>3.1793640816660842</v>
      </c>
      <c r="U500" s="126">
        <f t="shared" si="83"/>
        <v>2.27592743448304</v>
      </c>
      <c r="V500" s="126">
        <f t="shared" si="84"/>
        <v>2.5405126847878265</v>
      </c>
      <c r="W500" s="126">
        <f t="shared" si="85"/>
        <v>3.7600153422493934</v>
      </c>
      <c r="X500" s="126">
        <f t="shared" si="86"/>
        <v>1.9635937288451681</v>
      </c>
      <c r="Y500" s="126">
        <f t="shared" si="87"/>
        <v>1.9966769874837569</v>
      </c>
      <c r="Z500" s="126">
        <f t="shared" si="88"/>
        <v>2.7484790280618494</v>
      </c>
      <c r="AA500" s="126">
        <f t="shared" si="89"/>
        <v>1.862678019212161</v>
      </c>
      <c r="AB500" s="126">
        <f t="shared" si="90"/>
        <v>2.1766499502608405</v>
      </c>
    </row>
    <row r="501" spans="1:28">
      <c r="A501">
        <v>500</v>
      </c>
      <c r="B501" s="119">
        <v>0.81755829903978039</v>
      </c>
      <c r="F501">
        <v>0.87136107300716337</v>
      </c>
      <c r="G501">
        <v>0.31580551745160795</v>
      </c>
      <c r="H501">
        <v>0.64913885078494127</v>
      </c>
      <c r="I501">
        <v>0.98247218411827453</v>
      </c>
      <c r="J501">
        <v>3.1854900167657366E-2</v>
      </c>
      <c r="K501">
        <v>0.36518823350099067</v>
      </c>
      <c r="L501">
        <v>0.69852156683432398</v>
      </c>
      <c r="M501">
        <v>0.14296601127876848</v>
      </c>
      <c r="N501">
        <v>0.47629934461210177</v>
      </c>
      <c r="O501">
        <v>0.80963267794543503</v>
      </c>
      <c r="R501">
        <v>2.5</v>
      </c>
      <c r="S501" s="126">
        <f t="shared" si="81"/>
        <v>3.3526009342125356</v>
      </c>
      <c r="T501" s="126">
        <f t="shared" si="82"/>
        <v>2.451285617379102</v>
      </c>
      <c r="U501" s="126">
        <f t="shared" si="83"/>
        <v>2.7096391720775932</v>
      </c>
      <c r="V501" s="126">
        <f t="shared" si="84"/>
        <v>4.2620355844408175</v>
      </c>
      <c r="W501" s="126">
        <f t="shared" si="85"/>
        <v>1.774478029046906</v>
      </c>
      <c r="X501" s="126">
        <f t="shared" si="86"/>
        <v>1.7693335711266884</v>
      </c>
      <c r="Y501" s="126">
        <f t="shared" si="87"/>
        <v>2.480016775175951</v>
      </c>
      <c r="Z501" s="126">
        <f t="shared" si="88"/>
        <v>1.5280495471872162</v>
      </c>
      <c r="AA501" s="126">
        <f t="shared" si="89"/>
        <v>1.880695960238628</v>
      </c>
      <c r="AB501" s="126">
        <f t="shared" si="90"/>
        <v>2.8299383008533612</v>
      </c>
    </row>
    <row r="502" spans="1:28">
      <c r="A502">
        <v>501</v>
      </c>
      <c r="B502" s="119">
        <v>0.26200274348422498</v>
      </c>
      <c r="F502">
        <v>0.25407712238987956</v>
      </c>
      <c r="G502">
        <v>0.58741045572321293</v>
      </c>
      <c r="H502">
        <v>0.92074378905654619</v>
      </c>
      <c r="I502">
        <v>6.8891937204694401E-2</v>
      </c>
      <c r="J502">
        <v>0.4022252705380277</v>
      </c>
      <c r="K502">
        <v>0.73555860387136107</v>
      </c>
      <c r="L502">
        <v>0.18000304831580552</v>
      </c>
      <c r="M502">
        <v>0.51333638164913886</v>
      </c>
      <c r="N502">
        <v>0.84666971498247201</v>
      </c>
      <c r="O502">
        <v>0.2911141594269166</v>
      </c>
      <c r="R502">
        <v>2.5</v>
      </c>
      <c r="S502" s="126">
        <f t="shared" si="81"/>
        <v>1.8724453649416715</v>
      </c>
      <c r="T502" s="126">
        <f t="shared" si="82"/>
        <v>2.2850074882893057</v>
      </c>
      <c r="U502" s="126">
        <f t="shared" si="83"/>
        <v>3.4732163570302639</v>
      </c>
      <c r="V502" s="126">
        <f t="shared" si="84"/>
        <v>1.6832849067074207</v>
      </c>
      <c r="W502" s="126">
        <f t="shared" si="85"/>
        <v>1.8035330214674057</v>
      </c>
      <c r="X502" s="126">
        <f t="shared" si="86"/>
        <v>2.5875698937430545</v>
      </c>
      <c r="Y502" s="126">
        <f t="shared" si="87"/>
        <v>1.707256525839689</v>
      </c>
      <c r="Z502" s="126">
        <f t="shared" si="88"/>
        <v>2.0473722363503235</v>
      </c>
      <c r="AA502" s="126">
        <f t="shared" si="89"/>
        <v>3.0338920494963224</v>
      </c>
      <c r="AB502" s="126">
        <f t="shared" si="90"/>
        <v>2.2328120841157739</v>
      </c>
    </row>
    <row r="503" spans="1:28">
      <c r="A503">
        <v>502</v>
      </c>
      <c r="B503" s="119">
        <v>0.59533607681755829</v>
      </c>
      <c r="F503">
        <v>0.62444749276024991</v>
      </c>
      <c r="G503">
        <v>0.95778082609358317</v>
      </c>
      <c r="H503">
        <v>0.10592897424173144</v>
      </c>
      <c r="I503">
        <v>0.43926230757506474</v>
      </c>
      <c r="J503">
        <v>0.77259564090839805</v>
      </c>
      <c r="K503">
        <v>0.21704008535284255</v>
      </c>
      <c r="L503">
        <v>0.55037341868617584</v>
      </c>
      <c r="M503">
        <v>0.8837067520195091</v>
      </c>
      <c r="N503">
        <v>0.32815119646395363</v>
      </c>
      <c r="O503">
        <v>0.661484529797287</v>
      </c>
      <c r="R503">
        <v>2.5</v>
      </c>
      <c r="S503" s="126">
        <f t="shared" si="81"/>
        <v>2.6798396892574399</v>
      </c>
      <c r="T503" s="126">
        <f t="shared" si="82"/>
        <v>3.9318029435598056</v>
      </c>
      <c r="U503" s="126">
        <f t="shared" si="83"/>
        <v>2.1081112005541853</v>
      </c>
      <c r="V503" s="126">
        <f t="shared" si="84"/>
        <v>2.0952018671341306</v>
      </c>
      <c r="W503" s="126">
        <f t="shared" si="85"/>
        <v>2.831249771035091</v>
      </c>
      <c r="X503" s="126">
        <f t="shared" si="86"/>
        <v>1.9395313292821388</v>
      </c>
      <c r="Y503" s="126">
        <f t="shared" si="87"/>
        <v>2.2409595616486486</v>
      </c>
      <c r="Z503" s="126">
        <f t="shared" si="88"/>
        <v>3.2726161183151437</v>
      </c>
      <c r="AA503" s="126">
        <f t="shared" si="89"/>
        <v>2.4394884861979769</v>
      </c>
      <c r="AB503" s="126">
        <f t="shared" si="90"/>
        <v>2.7313584652920744</v>
      </c>
    </row>
    <row r="504" spans="1:28">
      <c r="A504">
        <v>503</v>
      </c>
      <c r="B504" s="119">
        <v>0.92866941015089155</v>
      </c>
      <c r="F504">
        <v>0.99481786313062026</v>
      </c>
      <c r="G504">
        <v>1.1278768480414572E-2</v>
      </c>
      <c r="H504">
        <v>0.34461210181374791</v>
      </c>
      <c r="I504">
        <v>0.67794543514708117</v>
      </c>
      <c r="J504">
        <v>0.12238987959152568</v>
      </c>
      <c r="K504">
        <v>0.45572321292485901</v>
      </c>
      <c r="L504">
        <v>0.78905654625819222</v>
      </c>
      <c r="M504">
        <v>0.23350099070263677</v>
      </c>
      <c r="N504">
        <v>0.56683432403597012</v>
      </c>
      <c r="O504">
        <v>0.90016765736930338</v>
      </c>
      <c r="R504">
        <v>2.5</v>
      </c>
      <c r="S504" s="126">
        <f t="shared" si="81"/>
        <v>4.5325468816451995</v>
      </c>
      <c r="T504" s="126">
        <f t="shared" si="82"/>
        <v>1.5585433829801545</v>
      </c>
      <c r="U504" s="126">
        <f t="shared" si="83"/>
        <v>1.6152071406649517</v>
      </c>
      <c r="V504" s="126">
        <f t="shared" si="84"/>
        <v>2.3545561641552117</v>
      </c>
      <c r="W504" s="126">
        <f t="shared" si="85"/>
        <v>1.3857838380486958</v>
      </c>
      <c r="X504" s="126">
        <f t="shared" si="86"/>
        <v>1.7664928565409777</v>
      </c>
      <c r="Y504" s="126">
        <f t="shared" si="87"/>
        <v>2.7120064874873435</v>
      </c>
      <c r="Z504" s="126">
        <f t="shared" si="88"/>
        <v>1.9248506993136631</v>
      </c>
      <c r="AA504" s="126">
        <f t="shared" si="89"/>
        <v>2.2679879352993528</v>
      </c>
      <c r="AB504" s="126">
        <f t="shared" si="90"/>
        <v>3.3594303397569369</v>
      </c>
    </row>
    <row r="505" spans="1:28">
      <c r="A505">
        <v>504</v>
      </c>
      <c r="B505" s="119">
        <v>7.6817558299039773E-2</v>
      </c>
      <c r="F505">
        <v>4.8315805517451606E-2</v>
      </c>
      <c r="G505">
        <v>0.38164913885078494</v>
      </c>
      <c r="H505">
        <v>0.71498247218411826</v>
      </c>
      <c r="I505">
        <v>0.1594269166285627</v>
      </c>
      <c r="J505">
        <v>0.49276024996189605</v>
      </c>
      <c r="K505">
        <v>0.82609358329522919</v>
      </c>
      <c r="L505">
        <v>0.27053802773967384</v>
      </c>
      <c r="M505">
        <v>0.6038713610730071</v>
      </c>
      <c r="N505">
        <v>0.93720469440634036</v>
      </c>
      <c r="O505">
        <v>8.5352842554488648E-2</v>
      </c>
      <c r="R505">
        <v>2.5</v>
      </c>
      <c r="S505" s="126">
        <f t="shared" si="81"/>
        <v>1.0478984456819169</v>
      </c>
      <c r="T505" s="126">
        <f t="shared" si="82"/>
        <v>1.4400106912662509</v>
      </c>
      <c r="U505" s="126">
        <f t="shared" si="83"/>
        <v>2.353963106909303</v>
      </c>
      <c r="V505" s="126">
        <f t="shared" si="84"/>
        <v>1.5226554654221007</v>
      </c>
      <c r="W505" s="126">
        <f t="shared" si="85"/>
        <v>1.9120453109703646</v>
      </c>
      <c r="X505" s="126">
        <f t="shared" si="86"/>
        <v>2.8970767497891039</v>
      </c>
      <c r="Y505" s="126">
        <f t="shared" si="87"/>
        <v>2.1136915092548088</v>
      </c>
      <c r="Z505" s="126">
        <f t="shared" si="88"/>
        <v>2.4413050728969532</v>
      </c>
      <c r="AA505" s="126">
        <f t="shared" si="89"/>
        <v>3.6520931449638461</v>
      </c>
      <c r="AB505" s="126">
        <f t="shared" si="90"/>
        <v>1.8673430830341851</v>
      </c>
    </row>
    <row r="506" spans="1:28">
      <c r="A506">
        <v>505</v>
      </c>
      <c r="B506" s="119">
        <v>0.41015089163237312</v>
      </c>
      <c r="F506">
        <v>0.41868617588782198</v>
      </c>
      <c r="G506">
        <v>0.75201950922115524</v>
      </c>
      <c r="H506">
        <v>0.19646395366559974</v>
      </c>
      <c r="I506">
        <v>0.52979728699893303</v>
      </c>
      <c r="J506">
        <v>0.86313062033226629</v>
      </c>
      <c r="K506">
        <v>0.30757506477671087</v>
      </c>
      <c r="L506">
        <v>0.64090839811004419</v>
      </c>
      <c r="M506">
        <v>0.97424173144337745</v>
      </c>
      <c r="N506">
        <v>2.3624447492760249E-2</v>
      </c>
      <c r="O506">
        <v>0.35695778082609358</v>
      </c>
      <c r="R506">
        <v>2.5</v>
      </c>
      <c r="S506" s="126">
        <f t="shared" si="81"/>
        <v>2.2489325369187725</v>
      </c>
      <c r="T506" s="126">
        <f t="shared" si="82"/>
        <v>2.8536130864583975</v>
      </c>
      <c r="U506" s="126">
        <f t="shared" si="83"/>
        <v>1.8913105372073962</v>
      </c>
      <c r="V506" s="126">
        <f t="shared" si="84"/>
        <v>2.1739624149552532</v>
      </c>
      <c r="W506" s="126">
        <f t="shared" si="85"/>
        <v>3.1570988823629711</v>
      </c>
      <c r="X506" s="126">
        <f t="shared" si="86"/>
        <v>2.3338289600026574</v>
      </c>
      <c r="Y506" s="126">
        <f t="shared" si="87"/>
        <v>2.6323702654471544</v>
      </c>
      <c r="Z506" s="126">
        <f t="shared" si="88"/>
        <v>4.0907675484609465</v>
      </c>
      <c r="AA506" s="126">
        <f t="shared" si="89"/>
        <v>1.5812926230723168</v>
      </c>
      <c r="AB506" s="126">
        <f t="shared" si="90"/>
        <v>1.6541113908204195</v>
      </c>
    </row>
    <row r="507" spans="1:28">
      <c r="A507">
        <v>506</v>
      </c>
      <c r="B507" s="119">
        <v>0.74348422496570643</v>
      </c>
      <c r="F507">
        <v>0.69029111415942679</v>
      </c>
      <c r="G507">
        <v>0.13473555860387135</v>
      </c>
      <c r="H507">
        <v>0.46806889193720469</v>
      </c>
      <c r="I507">
        <v>0.80140222527053795</v>
      </c>
      <c r="J507">
        <v>0.24584666971498245</v>
      </c>
      <c r="K507">
        <v>0.57918000304831585</v>
      </c>
      <c r="L507">
        <v>0.91251333638164911</v>
      </c>
      <c r="M507">
        <v>6.0661484529797284E-2</v>
      </c>
      <c r="N507">
        <v>0.39399481786313062</v>
      </c>
      <c r="O507">
        <v>0.72732815119646399</v>
      </c>
      <c r="R507">
        <v>2.5</v>
      </c>
      <c r="S507" s="126">
        <f t="shared" si="81"/>
        <v>2.8278855449590403</v>
      </c>
      <c r="T507" s="126">
        <f t="shared" si="82"/>
        <v>1.6722114703815623</v>
      </c>
      <c r="U507" s="126">
        <f t="shared" si="83"/>
        <v>1.9360937672822756</v>
      </c>
      <c r="V507" s="126">
        <f t="shared" si="84"/>
        <v>2.8331172267606686</v>
      </c>
      <c r="W507" s="126">
        <f t="shared" si="85"/>
        <v>2.0185047917127741</v>
      </c>
      <c r="X507" s="126">
        <f t="shared" si="86"/>
        <v>2.341019832422107</v>
      </c>
      <c r="Y507" s="126">
        <f t="shared" si="87"/>
        <v>3.4570791122701769</v>
      </c>
      <c r="Z507" s="126">
        <f t="shared" si="88"/>
        <v>1.6214385837340832</v>
      </c>
      <c r="AA507" s="126">
        <f t="shared" si="89"/>
        <v>1.7548555303593543</v>
      </c>
      <c r="AB507" s="126">
        <f t="shared" si="90"/>
        <v>2.5425173954552767</v>
      </c>
    </row>
    <row r="508" spans="1:28">
      <c r="A508">
        <v>507</v>
      </c>
      <c r="B508" s="119">
        <v>0.18792866941015088</v>
      </c>
      <c r="F508">
        <v>0.17177259564090838</v>
      </c>
      <c r="G508">
        <v>0.50510592897424167</v>
      </c>
      <c r="H508">
        <v>0.83843926230757493</v>
      </c>
      <c r="I508">
        <v>0.28288370675201951</v>
      </c>
      <c r="J508">
        <v>0.61621704008535283</v>
      </c>
      <c r="K508">
        <v>0.94955037341868609</v>
      </c>
      <c r="L508">
        <v>9.7698521566834326E-2</v>
      </c>
      <c r="M508">
        <v>0.43103185490016765</v>
      </c>
      <c r="N508">
        <v>0.76436518823350097</v>
      </c>
      <c r="O508">
        <v>0.20880963267794542</v>
      </c>
      <c r="R508">
        <v>2.5</v>
      </c>
      <c r="S508" s="126">
        <f t="shared" si="81"/>
        <v>1.6369903428308235</v>
      </c>
      <c r="T508" s="126">
        <f t="shared" si="82"/>
        <v>1.9950354141849242</v>
      </c>
      <c r="U508" s="126">
        <f t="shared" si="83"/>
        <v>2.9793871398836558</v>
      </c>
      <c r="V508" s="126">
        <f t="shared" si="84"/>
        <v>2.1854879513462961</v>
      </c>
      <c r="W508" s="126">
        <f t="shared" si="85"/>
        <v>2.5039317937398171</v>
      </c>
      <c r="X508" s="126">
        <f t="shared" si="86"/>
        <v>3.7732958812106094</v>
      </c>
      <c r="Y508" s="126">
        <f t="shared" si="87"/>
        <v>1.9902535807895512</v>
      </c>
      <c r="Z508" s="126">
        <f t="shared" si="88"/>
        <v>2.0187217462039082</v>
      </c>
      <c r="AA508" s="126">
        <f t="shared" si="89"/>
        <v>2.7705351391416011</v>
      </c>
      <c r="AB508" s="126">
        <f t="shared" si="90"/>
        <v>1.8856497617033678</v>
      </c>
    </row>
    <row r="509" spans="1:28">
      <c r="A509">
        <v>508</v>
      </c>
      <c r="B509" s="119">
        <v>0.52126200274348422</v>
      </c>
      <c r="F509">
        <v>0.54214296601127865</v>
      </c>
      <c r="G509">
        <v>0.87547629934461191</v>
      </c>
      <c r="H509">
        <v>0.31992074378905655</v>
      </c>
      <c r="I509">
        <v>0.65325407712238981</v>
      </c>
      <c r="J509">
        <v>0.98658741045572307</v>
      </c>
      <c r="K509">
        <v>3.5970126505105927E-2</v>
      </c>
      <c r="L509">
        <v>0.36930345983843926</v>
      </c>
      <c r="M509">
        <v>0.70263679317177252</v>
      </c>
      <c r="N509">
        <v>0.14708123761621703</v>
      </c>
      <c r="O509">
        <v>0.48041457094955037</v>
      </c>
      <c r="R509">
        <v>2.5</v>
      </c>
      <c r="S509" s="126">
        <f t="shared" si="81"/>
        <v>2.5055193150850465</v>
      </c>
      <c r="T509" s="126">
        <f t="shared" si="82"/>
        <v>3.371720566672189</v>
      </c>
      <c r="U509" s="126">
        <f t="shared" si="83"/>
        <v>2.4704134199455652</v>
      </c>
      <c r="V509" s="126">
        <f t="shared" si="84"/>
        <v>2.7284280711479503</v>
      </c>
      <c r="W509" s="126">
        <f t="shared" si="85"/>
        <v>4.3591857532961455</v>
      </c>
      <c r="X509" s="126">
        <f t="shared" si="86"/>
        <v>1.8684298827272703</v>
      </c>
      <c r="Y509" s="126">
        <f t="shared" si="87"/>
        <v>1.8255655992975361</v>
      </c>
      <c r="Z509" s="126">
        <f t="shared" si="88"/>
        <v>2.5180498122394788</v>
      </c>
      <c r="AA509" s="126">
        <f t="shared" si="89"/>
        <v>1.5620560412777675</v>
      </c>
      <c r="AB509" s="126">
        <f t="shared" si="90"/>
        <v>1.9063082988858384</v>
      </c>
    </row>
    <row r="510" spans="1:28">
      <c r="A510">
        <v>509</v>
      </c>
      <c r="B510" s="119">
        <v>0.85459533607681748</v>
      </c>
      <c r="F510">
        <v>0.81374790428288357</v>
      </c>
      <c r="G510">
        <v>0.25819234872732816</v>
      </c>
      <c r="H510">
        <v>0.59152568206066147</v>
      </c>
      <c r="I510">
        <v>0.92485901539399473</v>
      </c>
      <c r="J510">
        <v>7.3007163542142969E-2</v>
      </c>
      <c r="K510">
        <v>0.4063404968754763</v>
      </c>
      <c r="L510">
        <v>0.73967383020880961</v>
      </c>
      <c r="M510">
        <v>0.18411827465325406</v>
      </c>
      <c r="N510">
        <v>0.5174516079865874</v>
      </c>
      <c r="O510">
        <v>0.85078494131992055</v>
      </c>
      <c r="R510">
        <v>2.5</v>
      </c>
      <c r="S510" s="126">
        <f t="shared" si="81"/>
        <v>3.1537778493900746</v>
      </c>
      <c r="T510" s="126">
        <f t="shared" si="82"/>
        <v>2.2115800944458277</v>
      </c>
      <c r="U510" s="126">
        <f t="shared" si="83"/>
        <v>2.4641851698499231</v>
      </c>
      <c r="V510" s="126">
        <f t="shared" si="84"/>
        <v>3.5867315777551836</v>
      </c>
      <c r="W510" s="126">
        <f t="shared" si="85"/>
        <v>1.7653618552181496</v>
      </c>
      <c r="X510" s="126">
        <f t="shared" si="86"/>
        <v>1.8535464409326798</v>
      </c>
      <c r="Y510" s="126">
        <f t="shared" si="87"/>
        <v>2.623122050904469</v>
      </c>
      <c r="Z510" s="126">
        <f t="shared" si="88"/>
        <v>1.7379688138662059</v>
      </c>
      <c r="AA510" s="126">
        <f t="shared" si="89"/>
        <v>2.0713227044909073</v>
      </c>
      <c r="AB510" s="126">
        <f t="shared" si="90"/>
        <v>3.0604060845275818</v>
      </c>
    </row>
    <row r="511" spans="1:28">
      <c r="A511">
        <v>510</v>
      </c>
      <c r="B511" s="119">
        <v>0.29903978052126201</v>
      </c>
      <c r="F511">
        <v>0.29522938576436519</v>
      </c>
      <c r="G511">
        <v>0.62856271909769845</v>
      </c>
      <c r="H511">
        <v>0.96189605243103171</v>
      </c>
      <c r="I511">
        <v>0.11004420057918</v>
      </c>
      <c r="J511">
        <v>0.44337753391251333</v>
      </c>
      <c r="K511">
        <v>0.77671086724584659</v>
      </c>
      <c r="L511">
        <v>0.2211553116902911</v>
      </c>
      <c r="M511">
        <v>0.55448864502362438</v>
      </c>
      <c r="N511">
        <v>0.88782197835695764</v>
      </c>
      <c r="O511">
        <v>0.33226642280140223</v>
      </c>
      <c r="R511">
        <v>2.5</v>
      </c>
      <c r="S511" s="126">
        <f t="shared" si="81"/>
        <v>1.9743437273283884</v>
      </c>
      <c r="T511" s="126">
        <f t="shared" si="82"/>
        <v>2.4246074695866864</v>
      </c>
      <c r="U511" s="126">
        <f t="shared" si="83"/>
        <v>3.8428091575763768</v>
      </c>
      <c r="V511" s="126">
        <f t="shared" si="84"/>
        <v>2.0816767828554239</v>
      </c>
      <c r="W511" s="126">
        <f t="shared" si="85"/>
        <v>2.090517278325732</v>
      </c>
      <c r="X511" s="126">
        <f t="shared" si="86"/>
        <v>2.8402030470957991</v>
      </c>
      <c r="Y511" s="126">
        <f t="shared" si="87"/>
        <v>1.9555219409259155</v>
      </c>
      <c r="Z511" s="126">
        <f t="shared" si="88"/>
        <v>2.25757880421863</v>
      </c>
      <c r="AA511" s="126">
        <f t="shared" si="89"/>
        <v>3.2985402768885796</v>
      </c>
      <c r="AB511" s="126">
        <f t="shared" si="90"/>
        <v>2.4618881625146027</v>
      </c>
    </row>
    <row r="512" spans="1:28">
      <c r="A512">
        <v>511</v>
      </c>
      <c r="B512" s="119">
        <v>0.63237311385459538</v>
      </c>
      <c r="F512">
        <v>0.66559975613473554</v>
      </c>
      <c r="G512">
        <v>0.9989330894680688</v>
      </c>
      <c r="H512">
        <v>7.6207895137936289E-4</v>
      </c>
      <c r="I512">
        <v>0.33409541228471268</v>
      </c>
      <c r="J512">
        <v>0.66742874561804599</v>
      </c>
      <c r="K512">
        <v>0.11187319006249047</v>
      </c>
      <c r="L512">
        <v>0.44520652339582378</v>
      </c>
      <c r="M512">
        <v>0.77853985672915704</v>
      </c>
      <c r="N512">
        <v>0.22298430117360157</v>
      </c>
      <c r="O512">
        <v>0.55631763450693494</v>
      </c>
      <c r="R512">
        <v>2.5</v>
      </c>
      <c r="S512" s="126">
        <f t="shared" si="81"/>
        <v>2.7710726311477116</v>
      </c>
      <c r="T512" s="126">
        <f t="shared" si="82"/>
        <v>5.0873843803766237</v>
      </c>
      <c r="U512" s="126">
        <f t="shared" si="83"/>
        <v>1.1039944354826789</v>
      </c>
      <c r="V512" s="126">
        <f t="shared" si="84"/>
        <v>1.3630591096466957</v>
      </c>
      <c r="W512" s="126">
        <f t="shared" si="85"/>
        <v>2.2037943284476849</v>
      </c>
      <c r="X512" s="126">
        <f t="shared" si="86"/>
        <v>1.2658809858055853</v>
      </c>
      <c r="Y512" s="126">
        <f t="shared" si="87"/>
        <v>1.6843169807266802</v>
      </c>
      <c r="Z512" s="126">
        <f t="shared" si="88"/>
        <v>2.6411104422715734</v>
      </c>
      <c r="AA512" s="126">
        <f t="shared" si="89"/>
        <v>1.8605256277419695</v>
      </c>
      <c r="AB512" s="126">
        <f t="shared" si="90"/>
        <v>2.213651915579717</v>
      </c>
    </row>
    <row r="513" spans="1:28">
      <c r="A513">
        <v>512</v>
      </c>
      <c r="B513" s="119">
        <v>0.96570644718792864</v>
      </c>
      <c r="F513">
        <v>0.8896509678402682</v>
      </c>
      <c r="G513">
        <v>3.7799115988416399E-2</v>
      </c>
      <c r="H513">
        <v>0.37113244932174971</v>
      </c>
      <c r="I513">
        <v>0.70446578265508308</v>
      </c>
      <c r="J513">
        <v>0.1489102270995275</v>
      </c>
      <c r="K513">
        <v>0.48224356043286082</v>
      </c>
      <c r="L513">
        <v>0.81557689376619402</v>
      </c>
      <c r="M513">
        <v>0.26002133821063861</v>
      </c>
      <c r="N513">
        <v>0.59335467154397192</v>
      </c>
      <c r="O513">
        <v>0.92668800487730518</v>
      </c>
      <c r="R513">
        <v>2.5</v>
      </c>
      <c r="S513" s="126">
        <f t="shared" si="81"/>
        <v>3.4283385765580499</v>
      </c>
      <c r="T513" s="126">
        <f t="shared" si="82"/>
        <v>1.4192911359072089</v>
      </c>
      <c r="U513" s="126">
        <f t="shared" si="83"/>
        <v>1.6038231350159744</v>
      </c>
      <c r="V513" s="126">
        <f t="shared" si="84"/>
        <v>2.4109643987221103</v>
      </c>
      <c r="W513" s="126">
        <f t="shared" si="85"/>
        <v>1.5147634297400994</v>
      </c>
      <c r="X513" s="126">
        <f t="shared" si="86"/>
        <v>1.8863245576172247</v>
      </c>
      <c r="Y513" s="126">
        <f t="shared" si="87"/>
        <v>2.8509896993722457</v>
      </c>
      <c r="Z513" s="126">
        <f t="shared" si="88"/>
        <v>2.0640578304619446</v>
      </c>
      <c r="AA513" s="126">
        <f t="shared" si="89"/>
        <v>2.3939266583680969</v>
      </c>
      <c r="AB513" s="126">
        <f t="shared" si="90"/>
        <v>3.5621616588576277</v>
      </c>
    </row>
    <row r="514" spans="1:28">
      <c r="A514">
        <v>513</v>
      </c>
      <c r="B514" s="119">
        <v>1.5089163237311385E-2</v>
      </c>
      <c r="F514">
        <v>7.4836153025453434E-2</v>
      </c>
      <c r="G514">
        <v>0.40816948635878675</v>
      </c>
      <c r="H514">
        <v>0.74150281969212006</v>
      </c>
      <c r="I514">
        <v>0.18594726413656454</v>
      </c>
      <c r="J514">
        <v>0.51928059746989785</v>
      </c>
      <c r="K514">
        <v>0.85261393080323111</v>
      </c>
      <c r="L514">
        <v>0.29705837524767564</v>
      </c>
      <c r="M514">
        <v>0.63039170858100901</v>
      </c>
      <c r="N514">
        <v>0.96372504191434227</v>
      </c>
      <c r="O514">
        <v>1.3107757963725042E-2</v>
      </c>
      <c r="R514">
        <v>2.5</v>
      </c>
      <c r="S514" s="126">
        <f t="shared" si="81"/>
        <v>1.2299464002788585</v>
      </c>
      <c r="T514" s="126">
        <f t="shared" si="82"/>
        <v>1.5883335265844005</v>
      </c>
      <c r="U514" s="126">
        <f t="shared" si="83"/>
        <v>2.4944822701465523</v>
      </c>
      <c r="V514" s="126">
        <f t="shared" si="84"/>
        <v>1.6789653616696401</v>
      </c>
      <c r="W514" s="126">
        <f t="shared" si="85"/>
        <v>2.0454529602477463</v>
      </c>
      <c r="X514" s="126">
        <f t="shared" si="86"/>
        <v>3.0539234856043893</v>
      </c>
      <c r="Y514" s="126">
        <f t="shared" si="87"/>
        <v>2.2571100788127212</v>
      </c>
      <c r="Z514" s="126">
        <f t="shared" si="88"/>
        <v>2.570719441094929</v>
      </c>
      <c r="AA514" s="126">
        <f t="shared" si="89"/>
        <v>3.934824614564064</v>
      </c>
      <c r="AB514" s="126">
        <f t="shared" si="90"/>
        <v>1.3058364168687939</v>
      </c>
    </row>
    <row r="515" spans="1:28">
      <c r="A515">
        <v>514</v>
      </c>
      <c r="B515" s="119">
        <v>0.34842249657064472</v>
      </c>
      <c r="F515">
        <v>0.34644109129705836</v>
      </c>
      <c r="G515">
        <v>0.67977442463039162</v>
      </c>
      <c r="H515">
        <v>0.12421886907483615</v>
      </c>
      <c r="I515">
        <v>0.45755220240816946</v>
      </c>
      <c r="J515">
        <v>0.79088553574150278</v>
      </c>
      <c r="K515">
        <v>0.23532998018594725</v>
      </c>
      <c r="L515">
        <v>0.56866331351928068</v>
      </c>
      <c r="M515">
        <v>0.90199664685261394</v>
      </c>
      <c r="N515">
        <v>5.0144795000762077E-2</v>
      </c>
      <c r="O515">
        <v>0.38347812833409539</v>
      </c>
      <c r="R515">
        <v>2.5</v>
      </c>
      <c r="S515" s="126">
        <f t="shared" si="81"/>
        <v>2.0924753554697459</v>
      </c>
      <c r="T515" s="126">
        <f t="shared" si="82"/>
        <v>2.5986433289795787</v>
      </c>
      <c r="U515" s="126">
        <f t="shared" si="83"/>
        <v>1.5158607672222835</v>
      </c>
      <c r="V515" s="126">
        <f t="shared" si="84"/>
        <v>1.8356733920055606</v>
      </c>
      <c r="W515" s="126">
        <f t="shared" si="85"/>
        <v>2.7520105851123238</v>
      </c>
      <c r="X515" s="126">
        <f t="shared" si="86"/>
        <v>1.9498725651686781</v>
      </c>
      <c r="Y515" s="126">
        <f t="shared" si="87"/>
        <v>2.2844007636455066</v>
      </c>
      <c r="Z515" s="126">
        <f t="shared" si="88"/>
        <v>3.3763440443194934</v>
      </c>
      <c r="AA515" s="126">
        <f t="shared" si="89"/>
        <v>1.5031593103003744</v>
      </c>
      <c r="AB515" s="126">
        <f t="shared" si="90"/>
        <v>1.6727787558621838</v>
      </c>
    </row>
    <row r="516" spans="1:28">
      <c r="A516">
        <v>515</v>
      </c>
      <c r="B516" s="119">
        <v>0.68175582990397798</v>
      </c>
      <c r="F516">
        <v>0.71681146166742882</v>
      </c>
      <c r="G516">
        <v>0.16125590611187318</v>
      </c>
      <c r="H516">
        <v>0.4945892394452065</v>
      </c>
      <c r="I516">
        <v>0.82792257277853976</v>
      </c>
      <c r="J516">
        <v>0.27236701722298429</v>
      </c>
      <c r="K516">
        <v>0.60570035055631766</v>
      </c>
      <c r="L516">
        <v>0.93903368388965092</v>
      </c>
      <c r="M516">
        <v>8.7181832037799112E-2</v>
      </c>
      <c r="N516">
        <v>0.42051516537113243</v>
      </c>
      <c r="O516">
        <v>0.7538484987044658</v>
      </c>
      <c r="R516">
        <v>2.5</v>
      </c>
      <c r="S516" s="126">
        <f t="shared" si="81"/>
        <v>2.891163877630333</v>
      </c>
      <c r="T516" s="126">
        <f t="shared" si="82"/>
        <v>1.7988440553830487</v>
      </c>
      <c r="U516" s="126">
        <f t="shared" si="83"/>
        <v>2.0546395503575887</v>
      </c>
      <c r="V516" s="126">
        <f t="shared" si="84"/>
        <v>2.9746399417309561</v>
      </c>
      <c r="W516" s="126">
        <f t="shared" si="85"/>
        <v>2.1572250143753275</v>
      </c>
      <c r="X516" s="126">
        <f t="shared" si="86"/>
        <v>2.4671023085149533</v>
      </c>
      <c r="Y516" s="126">
        <f t="shared" si="87"/>
        <v>3.677421377535147</v>
      </c>
      <c r="Z516" s="126">
        <f t="shared" si="88"/>
        <v>1.8896609821125796</v>
      </c>
      <c r="AA516" s="126">
        <f t="shared" si="89"/>
        <v>1.9460361808541855</v>
      </c>
      <c r="AB516" s="126">
        <f t="shared" si="90"/>
        <v>2.7061545496236348</v>
      </c>
    </row>
    <row r="517" spans="1:28">
      <c r="A517">
        <v>516</v>
      </c>
      <c r="B517" s="119">
        <v>0.12620027434842249</v>
      </c>
      <c r="F517">
        <v>0.19829294314891022</v>
      </c>
      <c r="G517">
        <v>0.53162627648224348</v>
      </c>
      <c r="H517">
        <v>0.86495960981557674</v>
      </c>
      <c r="I517">
        <v>0.30940405426002132</v>
      </c>
      <c r="J517">
        <v>0.64273738759335464</v>
      </c>
      <c r="K517">
        <v>0.9760707209266879</v>
      </c>
      <c r="L517">
        <v>2.5453436976070717E-2</v>
      </c>
      <c r="M517">
        <v>0.35878677030940404</v>
      </c>
      <c r="N517">
        <v>0.69212010364273735</v>
      </c>
      <c r="O517">
        <v>0.13656454808718183</v>
      </c>
      <c r="R517">
        <v>2.5</v>
      </c>
      <c r="S517" s="126">
        <f t="shared" si="81"/>
        <v>1.7190160808022532</v>
      </c>
      <c r="T517" s="126">
        <f t="shared" si="82"/>
        <v>2.0911598437682821</v>
      </c>
      <c r="U517" s="126">
        <f t="shared" si="83"/>
        <v>3.122396953426402</v>
      </c>
      <c r="V517" s="126">
        <f t="shared" si="84"/>
        <v>2.3206729294649899</v>
      </c>
      <c r="W517" s="126">
        <f t="shared" si="85"/>
        <v>2.6297974415785168</v>
      </c>
      <c r="X517" s="126">
        <f t="shared" si="86"/>
        <v>4.1154312255818253</v>
      </c>
      <c r="Y517" s="126">
        <f t="shared" si="87"/>
        <v>1.6199158596425276</v>
      </c>
      <c r="Z517" s="126">
        <f t="shared" si="88"/>
        <v>1.6775640262651548</v>
      </c>
      <c r="AA517" s="126">
        <f t="shared" si="89"/>
        <v>2.4188125301402392</v>
      </c>
      <c r="AB517" s="126">
        <f t="shared" si="90"/>
        <v>1.4735366545317556</v>
      </c>
    </row>
    <row r="518" spans="1:28">
      <c r="A518">
        <v>517</v>
      </c>
      <c r="B518" s="119">
        <v>0.45953360768175583</v>
      </c>
      <c r="F518">
        <v>0.46989788142051514</v>
      </c>
      <c r="G518">
        <v>0.8032312147538484</v>
      </c>
      <c r="H518">
        <v>0.24767565919829293</v>
      </c>
      <c r="I518">
        <v>0.5810089925316263</v>
      </c>
      <c r="J518">
        <v>0.91434232586495956</v>
      </c>
      <c r="K518">
        <v>6.2490474013107755E-2</v>
      </c>
      <c r="L518">
        <v>0.39582380734644107</v>
      </c>
      <c r="M518">
        <v>0.72915714067977444</v>
      </c>
      <c r="N518">
        <v>0.17360158512421886</v>
      </c>
      <c r="O518">
        <v>0.50693491845755223</v>
      </c>
      <c r="R518">
        <v>2.5</v>
      </c>
      <c r="S518" s="126">
        <f t="shared" si="81"/>
        <v>2.355933129976155</v>
      </c>
      <c r="T518" s="126">
        <f t="shared" si="82"/>
        <v>3.0495549060899507</v>
      </c>
      <c r="U518" s="126">
        <f t="shared" si="83"/>
        <v>2.1320666985228023</v>
      </c>
      <c r="V518" s="126">
        <f t="shared" si="84"/>
        <v>2.4019554714403668</v>
      </c>
      <c r="W518" s="126">
        <f t="shared" si="85"/>
        <v>3.4972680378091261</v>
      </c>
      <c r="X518" s="126">
        <f t="shared" si="86"/>
        <v>1.6540478403609247</v>
      </c>
      <c r="Y518" s="126">
        <f t="shared" si="87"/>
        <v>1.7751630641395046</v>
      </c>
      <c r="Z518" s="126">
        <f t="shared" si="88"/>
        <v>2.5572716645846816</v>
      </c>
      <c r="AA518" s="126">
        <f t="shared" si="89"/>
        <v>1.6716770388333728</v>
      </c>
      <c r="AB518" s="126">
        <f t="shared" si="90"/>
        <v>2.0162507569489807</v>
      </c>
    </row>
    <row r="519" spans="1:28">
      <c r="A519">
        <v>518</v>
      </c>
      <c r="B519" s="119">
        <v>0.79286694101508914</v>
      </c>
      <c r="F519">
        <v>0.84026825179088538</v>
      </c>
      <c r="G519">
        <v>0.28471269623532997</v>
      </c>
      <c r="H519">
        <v>0.61804602956866328</v>
      </c>
      <c r="I519">
        <v>0.95137936290199654</v>
      </c>
      <c r="J519">
        <v>9.952751105014479E-2</v>
      </c>
      <c r="K519">
        <v>0.4328608443834781</v>
      </c>
      <c r="L519">
        <v>0.76619417771681142</v>
      </c>
      <c r="M519">
        <v>0.2106386221612559</v>
      </c>
      <c r="N519">
        <v>0.54397195549458921</v>
      </c>
      <c r="O519">
        <v>0.87730528882792247</v>
      </c>
      <c r="R519">
        <v>2.5</v>
      </c>
      <c r="S519" s="126">
        <f t="shared" si="81"/>
        <v>3.2393661451421609</v>
      </c>
      <c r="T519" s="126">
        <f t="shared" si="82"/>
        <v>2.3206058303021906</v>
      </c>
      <c r="U519" s="126">
        <f t="shared" si="83"/>
        <v>2.5757950514279426</v>
      </c>
      <c r="V519" s="126">
        <f t="shared" si="84"/>
        <v>3.824151880358913</v>
      </c>
      <c r="W519" s="126">
        <f t="shared" si="85"/>
        <v>2.0244980168930371</v>
      </c>
      <c r="X519" s="126">
        <f t="shared" si="86"/>
        <v>2.0397703472043616</v>
      </c>
      <c r="Y519" s="126">
        <f t="shared" si="87"/>
        <v>2.7860264401428556</v>
      </c>
      <c r="Z519" s="126">
        <f t="shared" si="88"/>
        <v>1.8986741203080975</v>
      </c>
      <c r="AA519" s="126">
        <f t="shared" si="89"/>
        <v>2.2070964815342613</v>
      </c>
      <c r="AB519" s="126">
        <f t="shared" si="90"/>
        <v>3.2291191846135794</v>
      </c>
    </row>
    <row r="520" spans="1:28">
      <c r="A520">
        <v>519</v>
      </c>
      <c r="B520" s="119">
        <v>0.23731138545953359</v>
      </c>
      <c r="F520">
        <v>0.321749733272367</v>
      </c>
      <c r="G520">
        <v>0.65508306660570037</v>
      </c>
      <c r="H520">
        <v>0.98841639993903363</v>
      </c>
      <c r="I520">
        <v>4.8773052888279227E-3</v>
      </c>
      <c r="J520">
        <v>0.33821063862216122</v>
      </c>
      <c r="K520">
        <v>0.67154397195549453</v>
      </c>
      <c r="L520">
        <v>0.11598841639993902</v>
      </c>
      <c r="M520">
        <v>0.44932174973327232</v>
      </c>
      <c r="N520">
        <v>0.78265508306660558</v>
      </c>
      <c r="O520">
        <v>0.22709952751105014</v>
      </c>
      <c r="R520">
        <v>2.5</v>
      </c>
      <c r="S520" s="126">
        <f t="shared" si="81"/>
        <v>2.0365004907542086</v>
      </c>
      <c r="T520" s="126">
        <f t="shared" si="82"/>
        <v>2.5144342090735448</v>
      </c>
      <c r="U520" s="126">
        <f t="shared" si="83"/>
        <v>4.2983274532505797</v>
      </c>
      <c r="V520" s="126">
        <f t="shared" si="84"/>
        <v>1.1904464605930363</v>
      </c>
      <c r="W520" s="126">
        <f t="shared" si="85"/>
        <v>1.415814260809612</v>
      </c>
      <c r="X520" s="126">
        <f t="shared" si="86"/>
        <v>2.2396758018611527</v>
      </c>
      <c r="Y520" s="126">
        <f t="shared" si="87"/>
        <v>1.3015198258124705</v>
      </c>
      <c r="Z520" s="126">
        <f t="shared" si="88"/>
        <v>1.710812297428006</v>
      </c>
      <c r="AA520" s="126">
        <f t="shared" si="89"/>
        <v>2.6659085037188346</v>
      </c>
      <c r="AB520" s="126">
        <f t="shared" si="90"/>
        <v>1.8843055581720116</v>
      </c>
    </row>
    <row r="521" spans="1:28">
      <c r="A521">
        <v>520</v>
      </c>
      <c r="B521" s="119">
        <v>0.57064471879286705</v>
      </c>
      <c r="F521">
        <v>0.56043286084438348</v>
      </c>
      <c r="G521">
        <v>0.89376619417771674</v>
      </c>
      <c r="H521">
        <v>4.191434232586496E-2</v>
      </c>
      <c r="I521">
        <v>0.37524767565919825</v>
      </c>
      <c r="J521">
        <v>0.70858100899253162</v>
      </c>
      <c r="K521">
        <v>0.15302545343697607</v>
      </c>
      <c r="L521">
        <v>0.48635878677030936</v>
      </c>
      <c r="M521">
        <v>0.81969212010364256</v>
      </c>
      <c r="N521">
        <v>0.26413656454808715</v>
      </c>
      <c r="O521">
        <v>0.59746989788142046</v>
      </c>
      <c r="R521">
        <v>2.5</v>
      </c>
      <c r="S521" s="126">
        <f t="shared" si="81"/>
        <v>2.5436521063998287</v>
      </c>
      <c r="T521" s="126">
        <f t="shared" si="82"/>
        <v>3.468534890041028</v>
      </c>
      <c r="U521" s="126">
        <f t="shared" si="83"/>
        <v>1.4790241452956234</v>
      </c>
      <c r="V521" s="126">
        <f t="shared" si="84"/>
        <v>1.6428098994571823</v>
      </c>
      <c r="W521" s="126">
        <f t="shared" si="85"/>
        <v>2.4404201832553962</v>
      </c>
      <c r="X521" s="126">
        <f t="shared" si="86"/>
        <v>1.5440638813317602</v>
      </c>
      <c r="Y521" s="126">
        <f t="shared" si="87"/>
        <v>1.9095656905621778</v>
      </c>
      <c r="Z521" s="126">
        <f t="shared" si="88"/>
        <v>2.875501043069248</v>
      </c>
      <c r="AA521" s="126">
        <f t="shared" si="89"/>
        <v>2.0867988491974581</v>
      </c>
      <c r="AB521" s="126">
        <f t="shared" si="90"/>
        <v>2.414116172232549</v>
      </c>
    </row>
    <row r="522" spans="1:28">
      <c r="A522">
        <v>521</v>
      </c>
      <c r="B522" s="119">
        <v>0.9039780521262003</v>
      </c>
      <c r="F522">
        <v>0.93080323121475372</v>
      </c>
      <c r="G522">
        <v>7.8951379362901988E-2</v>
      </c>
      <c r="H522">
        <v>0.41228471269623529</v>
      </c>
      <c r="I522">
        <v>0.7456180460295686</v>
      </c>
      <c r="J522">
        <v>0.19006249047401311</v>
      </c>
      <c r="K522">
        <v>0.52339582380734639</v>
      </c>
      <c r="L522">
        <v>0.85672915714067965</v>
      </c>
      <c r="M522">
        <v>0.30117360158512418</v>
      </c>
      <c r="N522">
        <v>0.63450693491845755</v>
      </c>
      <c r="O522">
        <v>0.96784026825179081</v>
      </c>
      <c r="R522">
        <v>2.5</v>
      </c>
      <c r="S522" s="126">
        <f t="shared" si="81"/>
        <v>3.6404160228007365</v>
      </c>
      <c r="T522" s="126">
        <f t="shared" si="82"/>
        <v>1.8266506944237748</v>
      </c>
      <c r="U522" s="126">
        <f t="shared" si="83"/>
        <v>1.8969672219024472</v>
      </c>
      <c r="V522" s="126">
        <f t="shared" si="84"/>
        <v>2.6601410109224934</v>
      </c>
      <c r="W522" s="126">
        <f t="shared" si="85"/>
        <v>1.7748153651345415</v>
      </c>
      <c r="X522" s="126">
        <f t="shared" si="86"/>
        <v>2.1021474953026398</v>
      </c>
      <c r="Y522" s="126">
        <f t="shared" si="87"/>
        <v>3.0972882196134095</v>
      </c>
      <c r="Z522" s="126">
        <f t="shared" si="88"/>
        <v>2.2886805302844264</v>
      </c>
      <c r="AA522" s="126">
        <f t="shared" si="89"/>
        <v>2.5955961063993631</v>
      </c>
      <c r="AB522" s="126">
        <f t="shared" si="90"/>
        <v>3.9921202013196817</v>
      </c>
    </row>
    <row r="523" spans="1:28">
      <c r="A523">
        <v>522</v>
      </c>
      <c r="B523" s="119">
        <v>5.2126200274348417E-2</v>
      </c>
      <c r="F523">
        <v>1.72229843011736E-2</v>
      </c>
      <c r="G523">
        <v>0.3505563176345069</v>
      </c>
      <c r="H523">
        <v>0.68388965096784016</v>
      </c>
      <c r="I523">
        <v>0.12833409541228472</v>
      </c>
      <c r="J523">
        <v>0.461667428745618</v>
      </c>
      <c r="K523">
        <v>0.79500076207895132</v>
      </c>
      <c r="L523">
        <v>0.23944520652339582</v>
      </c>
      <c r="M523">
        <v>0.57277853985672922</v>
      </c>
      <c r="N523">
        <v>0.90611187319006248</v>
      </c>
      <c r="O523">
        <v>5.4260021338210639E-2</v>
      </c>
      <c r="R523">
        <v>2.5</v>
      </c>
      <c r="S523" s="126">
        <f t="shared" si="81"/>
        <v>0.67393045301222254</v>
      </c>
      <c r="T523" s="126">
        <f t="shared" si="82"/>
        <v>1.1838710084747837</v>
      </c>
      <c r="U523" s="126">
        <f t="shared" si="83"/>
        <v>2.1514932103029225</v>
      </c>
      <c r="V523" s="126">
        <f t="shared" si="84"/>
        <v>1.3074962285713481</v>
      </c>
      <c r="W523" s="126">
        <f t="shared" si="85"/>
        <v>1.7395013757368014</v>
      </c>
      <c r="X523" s="126">
        <f t="shared" si="86"/>
        <v>2.7155505100216404</v>
      </c>
      <c r="Y523" s="126">
        <f t="shared" si="87"/>
        <v>1.942531880822419</v>
      </c>
      <c r="Z523" s="126">
        <f t="shared" si="88"/>
        <v>2.2893556540828461</v>
      </c>
      <c r="AA523" s="126">
        <f t="shared" si="89"/>
        <v>3.3987726829924565</v>
      </c>
      <c r="AB523" s="126">
        <f t="shared" si="90"/>
        <v>1.5462449178748012</v>
      </c>
    </row>
    <row r="524" spans="1:28">
      <c r="A524">
        <v>523</v>
      </c>
      <c r="B524" s="119">
        <v>0.38545953360768176</v>
      </c>
      <c r="F524">
        <v>0.38759335467154393</v>
      </c>
      <c r="G524">
        <v>0.72092668800487736</v>
      </c>
      <c r="H524">
        <v>0.16537113244932175</v>
      </c>
      <c r="I524">
        <v>0.49870446578265504</v>
      </c>
      <c r="J524">
        <v>0.8320377991159883</v>
      </c>
      <c r="K524">
        <v>0.27648224356043283</v>
      </c>
      <c r="L524">
        <v>0.6098155768937662</v>
      </c>
      <c r="M524">
        <v>0.94314891022709946</v>
      </c>
      <c r="N524">
        <v>9.1297058375247667E-2</v>
      </c>
      <c r="O524">
        <v>0.42463039170858097</v>
      </c>
      <c r="R524">
        <v>2.5</v>
      </c>
      <c r="S524" s="126">
        <f t="shared" si="81"/>
        <v>2.1826669352200048</v>
      </c>
      <c r="T524" s="126">
        <f t="shared" si="82"/>
        <v>2.7417359292796553</v>
      </c>
      <c r="U524" s="126">
        <f t="shared" si="83"/>
        <v>1.7375070517275359</v>
      </c>
      <c r="V524" s="126">
        <f t="shared" si="84"/>
        <v>2.032320005247569</v>
      </c>
      <c r="W524" s="126">
        <f t="shared" si="85"/>
        <v>2.9768346779585855</v>
      </c>
      <c r="X524" s="126">
        <f t="shared" si="86"/>
        <v>2.1685110952380526</v>
      </c>
      <c r="Y524" s="126">
        <f t="shared" si="87"/>
        <v>2.4816070261629219</v>
      </c>
      <c r="Z524" s="126">
        <f t="shared" si="88"/>
        <v>3.7136266893559373</v>
      </c>
      <c r="AA524" s="126">
        <f t="shared" si="89"/>
        <v>1.9288944092860263</v>
      </c>
      <c r="AB524" s="126">
        <f t="shared" si="90"/>
        <v>1.9744268814840942</v>
      </c>
    </row>
    <row r="525" spans="1:28">
      <c r="A525">
        <v>524</v>
      </c>
      <c r="B525" s="119">
        <v>0.71879286694101518</v>
      </c>
      <c r="F525">
        <v>0.75796372504191434</v>
      </c>
      <c r="G525">
        <v>0.20240816948635879</v>
      </c>
      <c r="H525">
        <v>0.53574150281969202</v>
      </c>
      <c r="I525">
        <v>0.86907483615302528</v>
      </c>
      <c r="J525">
        <v>0.31351928059746986</v>
      </c>
      <c r="K525">
        <v>0.64685261393080318</v>
      </c>
      <c r="L525">
        <v>0.98018594726413644</v>
      </c>
      <c r="M525">
        <v>2.9568663313519278E-2</v>
      </c>
      <c r="N525">
        <v>0.36290199664685258</v>
      </c>
      <c r="O525">
        <v>0.69623532998018589</v>
      </c>
      <c r="R525">
        <v>2.5</v>
      </c>
      <c r="S525" s="126">
        <f t="shared" si="81"/>
        <v>2.995395627021471</v>
      </c>
      <c r="T525" s="126">
        <f t="shared" si="82"/>
        <v>1.9801133615178077</v>
      </c>
      <c r="U525" s="126">
        <f t="shared" si="83"/>
        <v>2.2309259238494663</v>
      </c>
      <c r="V525" s="126">
        <f t="shared" si="84"/>
        <v>3.2084399057673716</v>
      </c>
      <c r="W525" s="126">
        <f t="shared" si="85"/>
        <v>2.3735195898849302</v>
      </c>
      <c r="X525" s="126">
        <f t="shared" si="86"/>
        <v>2.6654735103266951</v>
      </c>
      <c r="Y525" s="126">
        <f t="shared" si="87"/>
        <v>4.1985066940137568</v>
      </c>
      <c r="Z525" s="126">
        <f t="shared" si="88"/>
        <v>1.7153582459226677</v>
      </c>
      <c r="AA525" s="126">
        <f t="shared" si="89"/>
        <v>1.7345987655077777</v>
      </c>
      <c r="AB525" s="126">
        <f t="shared" si="90"/>
        <v>2.4571568189788668</v>
      </c>
    </row>
    <row r="526" spans="1:28">
      <c r="A526">
        <v>525</v>
      </c>
      <c r="B526" s="119">
        <v>0.16323731138545952</v>
      </c>
      <c r="F526">
        <v>0.14067977442463039</v>
      </c>
      <c r="G526">
        <v>0.47401310775796368</v>
      </c>
      <c r="H526">
        <v>0.80734644109129694</v>
      </c>
      <c r="I526">
        <v>0.25179088553574147</v>
      </c>
      <c r="J526">
        <v>0.58512421886907484</v>
      </c>
      <c r="K526">
        <v>0.9184575522024081</v>
      </c>
      <c r="L526">
        <v>6.660570035055631E-2</v>
      </c>
      <c r="M526">
        <v>0.39993903368388961</v>
      </c>
      <c r="N526">
        <v>0.73327236701722298</v>
      </c>
      <c r="O526">
        <v>0.17771681146166743</v>
      </c>
      <c r="R526">
        <v>2.5</v>
      </c>
      <c r="S526" s="126">
        <f t="shared" si="81"/>
        <v>1.5296949374434681</v>
      </c>
      <c r="T526" s="126">
        <f t="shared" si="82"/>
        <v>1.8767870215299274</v>
      </c>
      <c r="U526" s="126">
        <f t="shared" si="83"/>
        <v>2.8210584083734838</v>
      </c>
      <c r="V526" s="126">
        <f t="shared" si="84"/>
        <v>2.0279117671425402</v>
      </c>
      <c r="W526" s="126">
        <f t="shared" si="85"/>
        <v>2.3583045628510493</v>
      </c>
      <c r="X526" s="126">
        <f t="shared" si="86"/>
        <v>3.497418464233792</v>
      </c>
      <c r="Y526" s="126">
        <f t="shared" si="87"/>
        <v>1.6810452524226784</v>
      </c>
      <c r="Z526" s="126">
        <f t="shared" si="88"/>
        <v>1.7975299340326711</v>
      </c>
      <c r="AA526" s="126">
        <f t="shared" si="89"/>
        <v>2.5788020956071689</v>
      </c>
      <c r="AB526" s="126">
        <f t="shared" si="90"/>
        <v>1.6956346945101621</v>
      </c>
    </row>
    <row r="527" spans="1:28">
      <c r="A527">
        <v>526</v>
      </c>
      <c r="B527" s="119">
        <v>0.49657064471879286</v>
      </c>
      <c r="F527">
        <v>0.51105014479500077</v>
      </c>
      <c r="G527">
        <v>0.84438347812833392</v>
      </c>
      <c r="H527">
        <v>0.28882792257277851</v>
      </c>
      <c r="I527">
        <v>0.62216125590611182</v>
      </c>
      <c r="J527">
        <v>0.95549458923944508</v>
      </c>
      <c r="K527">
        <v>0.10364273738759334</v>
      </c>
      <c r="L527">
        <v>0.43697607072092665</v>
      </c>
      <c r="M527">
        <v>0.77030940405425996</v>
      </c>
      <c r="N527">
        <v>0.21475384849870446</v>
      </c>
      <c r="O527">
        <v>0.54808718183203775</v>
      </c>
      <c r="R527">
        <v>2.5</v>
      </c>
      <c r="S527" s="126">
        <f t="shared" si="81"/>
        <v>2.4410761717697409</v>
      </c>
      <c r="T527" s="126">
        <f t="shared" si="82"/>
        <v>3.2238362471271467</v>
      </c>
      <c r="U527" s="126">
        <f t="shared" si="83"/>
        <v>2.3227689531051112</v>
      </c>
      <c r="V527" s="126">
        <f t="shared" si="84"/>
        <v>2.5857975133068951</v>
      </c>
      <c r="W527" s="126">
        <f t="shared" si="85"/>
        <v>3.8640362056408906</v>
      </c>
      <c r="X527" s="126">
        <f t="shared" si="86"/>
        <v>2.0636657288518503</v>
      </c>
      <c r="Y527" s="126">
        <f t="shared" si="87"/>
        <v>2.0680791749947138</v>
      </c>
      <c r="Z527" s="126">
        <f t="shared" si="88"/>
        <v>2.8113856661819736</v>
      </c>
      <c r="AA527" s="126">
        <f t="shared" si="89"/>
        <v>1.9231095284885722</v>
      </c>
      <c r="AB527" s="126">
        <f t="shared" si="90"/>
        <v>2.2279429264258499</v>
      </c>
    </row>
    <row r="528" spans="1:28">
      <c r="A528">
        <v>527</v>
      </c>
      <c r="B528" s="119">
        <v>0.82990397805212612</v>
      </c>
      <c r="F528">
        <v>0.88142051516537101</v>
      </c>
      <c r="G528">
        <v>0.32586495960981554</v>
      </c>
      <c r="H528">
        <v>0.65919829294314891</v>
      </c>
      <c r="I528">
        <v>0.99253162627648217</v>
      </c>
      <c r="J528">
        <v>8.9925316262764836E-3</v>
      </c>
      <c r="K528">
        <v>0.34232586495960982</v>
      </c>
      <c r="L528">
        <v>0.67565919829294308</v>
      </c>
      <c r="M528">
        <v>0.12010364273738759</v>
      </c>
      <c r="N528">
        <v>0.45343697607072092</v>
      </c>
      <c r="O528">
        <v>0.78677030940405412</v>
      </c>
      <c r="R528">
        <v>2.5</v>
      </c>
      <c r="S528" s="126">
        <f t="shared" si="81"/>
        <v>3.3932381865259762</v>
      </c>
      <c r="T528" s="126">
        <f t="shared" si="82"/>
        <v>2.4948870089852129</v>
      </c>
      <c r="U528" s="126">
        <f t="shared" si="83"/>
        <v>2.7540533870625703</v>
      </c>
      <c r="V528" s="126">
        <f t="shared" si="84"/>
        <v>4.5534028617759708</v>
      </c>
      <c r="W528" s="126">
        <f t="shared" si="85"/>
        <v>1.4988523680883326</v>
      </c>
      <c r="X528" s="126">
        <f t="shared" si="86"/>
        <v>1.5800798317701181</v>
      </c>
      <c r="Y528" s="126">
        <f t="shared" si="87"/>
        <v>2.3316499018765175</v>
      </c>
      <c r="Z528" s="126">
        <f t="shared" si="88"/>
        <v>1.3649127807320145</v>
      </c>
      <c r="AA528" s="126">
        <f t="shared" si="89"/>
        <v>1.7512454697667992</v>
      </c>
      <c r="AB528" s="126">
        <f t="shared" si="90"/>
        <v>2.697837966988553</v>
      </c>
    </row>
    <row r="529" spans="1:28">
      <c r="A529">
        <v>528</v>
      </c>
      <c r="B529" s="119">
        <v>0.27434842249657065</v>
      </c>
      <c r="F529">
        <v>0.23121475384849868</v>
      </c>
      <c r="G529">
        <v>0.56454808718183203</v>
      </c>
      <c r="H529">
        <v>0.89788142051516528</v>
      </c>
      <c r="I529">
        <v>4.6029568663313522E-2</v>
      </c>
      <c r="J529">
        <v>0.37936290199664685</v>
      </c>
      <c r="K529">
        <v>0.71269623532998017</v>
      </c>
      <c r="L529">
        <v>0.15714067977442461</v>
      </c>
      <c r="M529">
        <v>0.49047401310775796</v>
      </c>
      <c r="N529">
        <v>0.8238073464410911</v>
      </c>
      <c r="O529">
        <v>0.26825179088553575</v>
      </c>
      <c r="R529">
        <v>2.5</v>
      </c>
      <c r="S529" s="126">
        <f t="shared" si="81"/>
        <v>1.8121213393489273</v>
      </c>
      <c r="T529" s="126">
        <f t="shared" si="82"/>
        <v>2.20653832195097</v>
      </c>
      <c r="U529" s="126">
        <f t="shared" si="83"/>
        <v>3.3178765156368786</v>
      </c>
      <c r="V529" s="126">
        <f t="shared" si="84"/>
        <v>1.4398057543807499</v>
      </c>
      <c r="W529" s="126">
        <f t="shared" si="85"/>
        <v>1.6320328105847957</v>
      </c>
      <c r="X529" s="126">
        <f t="shared" si="86"/>
        <v>2.4449298390217424</v>
      </c>
      <c r="Y529" s="126">
        <f t="shared" si="87"/>
        <v>1.5605702239464787</v>
      </c>
      <c r="Z529" s="126">
        <f t="shared" si="88"/>
        <v>1.9263734990995558</v>
      </c>
      <c r="AA529" s="126">
        <f t="shared" si="89"/>
        <v>2.8969641041108418</v>
      </c>
      <c r="AB529" s="126">
        <f t="shared" si="90"/>
        <v>2.1079254103164735</v>
      </c>
    </row>
    <row r="530" spans="1:28">
      <c r="A530">
        <v>529</v>
      </c>
      <c r="B530" s="119">
        <v>0.60768175582990402</v>
      </c>
      <c r="F530">
        <v>0.60158512421886901</v>
      </c>
      <c r="G530">
        <v>0.93491845755220226</v>
      </c>
      <c r="H530">
        <v>8.3066605700350557E-2</v>
      </c>
      <c r="I530">
        <v>0.41639993903368389</v>
      </c>
      <c r="J530">
        <v>0.74973327236701715</v>
      </c>
      <c r="K530">
        <v>0.19417771681146165</v>
      </c>
      <c r="L530">
        <v>0.52751105014479494</v>
      </c>
      <c r="M530">
        <v>0.86084438347812819</v>
      </c>
      <c r="N530">
        <v>0.30528882792257278</v>
      </c>
      <c r="O530">
        <v>0.6386221612559061</v>
      </c>
      <c r="R530">
        <v>2.5</v>
      </c>
      <c r="S530" s="126">
        <f t="shared" si="81"/>
        <v>2.630573970917319</v>
      </c>
      <c r="T530" s="126">
        <f t="shared" si="82"/>
        <v>3.7321549762847086</v>
      </c>
      <c r="U530" s="126">
        <f t="shared" si="83"/>
        <v>1.895378290480171</v>
      </c>
      <c r="V530" s="126">
        <f t="shared" si="84"/>
        <v>1.9402193927399247</v>
      </c>
      <c r="W530" s="126">
        <f t="shared" si="85"/>
        <v>2.6925087478410927</v>
      </c>
      <c r="X530" s="126">
        <f t="shared" si="86"/>
        <v>1.803506862282835</v>
      </c>
      <c r="Y530" s="126">
        <f t="shared" si="87"/>
        <v>2.1250933330040103</v>
      </c>
      <c r="Z530" s="126">
        <f t="shared" si="88"/>
        <v>3.1239822008802109</v>
      </c>
      <c r="AA530" s="126">
        <f t="shared" si="89"/>
        <v>2.3118122659180047</v>
      </c>
      <c r="AB530" s="126">
        <f t="shared" si="90"/>
        <v>2.6162654364438689</v>
      </c>
    </row>
    <row r="531" spans="1:28">
      <c r="A531">
        <v>530</v>
      </c>
      <c r="B531" s="119">
        <v>0.94101508916323728</v>
      </c>
      <c r="F531">
        <v>0.97195549458923935</v>
      </c>
      <c r="G531">
        <v>2.1338210638622158E-2</v>
      </c>
      <c r="H531">
        <v>0.35467154397195549</v>
      </c>
      <c r="I531">
        <v>0.6880048773052887</v>
      </c>
      <c r="J531">
        <v>0.13244932174973326</v>
      </c>
      <c r="K531">
        <v>0.4657826550830666</v>
      </c>
      <c r="L531">
        <v>0.79911598841639986</v>
      </c>
      <c r="M531">
        <v>0.24356043286084436</v>
      </c>
      <c r="N531">
        <v>0.57689376619417776</v>
      </c>
      <c r="O531">
        <v>0.91022709952751102</v>
      </c>
      <c r="R531">
        <v>2.5</v>
      </c>
      <c r="S531" s="126">
        <f t="shared" si="81"/>
        <v>3.9938786918062834</v>
      </c>
      <c r="T531" s="126">
        <f t="shared" si="82"/>
        <v>1.497294235075473</v>
      </c>
      <c r="U531" s="126">
        <f t="shared" si="83"/>
        <v>1.6068328174495283</v>
      </c>
      <c r="V531" s="126">
        <f t="shared" si="84"/>
        <v>2.3736410633338729</v>
      </c>
      <c r="W531" s="126">
        <f t="shared" si="85"/>
        <v>1.4351602468568165</v>
      </c>
      <c r="X531" s="126">
        <f t="shared" si="86"/>
        <v>1.8122087872079817</v>
      </c>
      <c r="Y531" s="126">
        <f t="shared" si="87"/>
        <v>2.7641118203451311</v>
      </c>
      <c r="Z531" s="126">
        <f t="shared" si="88"/>
        <v>1.9778203282023135</v>
      </c>
      <c r="AA531" s="126">
        <f t="shared" si="89"/>
        <v>2.3157525988237433</v>
      </c>
      <c r="AB531" s="126">
        <f t="shared" si="90"/>
        <v>3.4326339947427371</v>
      </c>
    </row>
    <row r="532" spans="1:28">
      <c r="A532">
        <v>531</v>
      </c>
      <c r="B532" s="119">
        <v>8.9163237311385452E-2</v>
      </c>
      <c r="F532">
        <v>5.83752476756592E-2</v>
      </c>
      <c r="G532">
        <v>0.39170858100899253</v>
      </c>
      <c r="H532">
        <v>0.7250419143423259</v>
      </c>
      <c r="I532">
        <v>0.16948635878677029</v>
      </c>
      <c r="J532">
        <v>0.50281969212010358</v>
      </c>
      <c r="K532">
        <v>0.83615302545343684</v>
      </c>
      <c r="L532">
        <v>0.28059746989788142</v>
      </c>
      <c r="M532">
        <v>0.61393080323121474</v>
      </c>
      <c r="N532">
        <v>0.947264136564548</v>
      </c>
      <c r="O532">
        <v>9.5412284712696235E-2</v>
      </c>
      <c r="R532">
        <v>2.5</v>
      </c>
      <c r="S532" s="126">
        <f t="shared" si="81"/>
        <v>1.124479139019029</v>
      </c>
      <c r="T532" s="126">
        <f t="shared" si="82"/>
        <v>1.5001790019784313</v>
      </c>
      <c r="U532" s="126">
        <f t="shared" si="83"/>
        <v>2.4088535698602676</v>
      </c>
      <c r="V532" s="126">
        <f t="shared" si="84"/>
        <v>1.5837459622812342</v>
      </c>
      <c r="W532" s="126">
        <f t="shared" si="85"/>
        <v>1.9635478295913797</v>
      </c>
      <c r="X532" s="126">
        <f t="shared" si="86"/>
        <v>2.9558955525044142</v>
      </c>
      <c r="Y532" s="126">
        <f t="shared" si="87"/>
        <v>2.1680960440473775</v>
      </c>
      <c r="Z532" s="126">
        <f t="shared" si="88"/>
        <v>2.4902572073209162</v>
      </c>
      <c r="AA532" s="126">
        <f t="shared" si="89"/>
        <v>3.7485881411633564</v>
      </c>
      <c r="AB532" s="126">
        <f t="shared" si="90"/>
        <v>1.966810905708416</v>
      </c>
    </row>
    <row r="533" spans="1:28">
      <c r="A533">
        <v>532</v>
      </c>
      <c r="B533" s="119">
        <v>0.42249657064471879</v>
      </c>
      <c r="F533">
        <v>0.42874561804602956</v>
      </c>
      <c r="G533">
        <v>0.76207895137936288</v>
      </c>
      <c r="H533">
        <v>0.20652339582380733</v>
      </c>
      <c r="I533">
        <v>0.53985672915714056</v>
      </c>
      <c r="J533">
        <v>0.87319006249047382</v>
      </c>
      <c r="K533">
        <v>0.31763450693491846</v>
      </c>
      <c r="L533">
        <v>0.65096784026825172</v>
      </c>
      <c r="M533">
        <v>0.98430117360158498</v>
      </c>
      <c r="N533">
        <v>3.3683889650967844E-2</v>
      </c>
      <c r="O533">
        <v>0.36701722298430117</v>
      </c>
      <c r="R533">
        <v>2.5</v>
      </c>
      <c r="S533" s="126">
        <f t="shared" si="81"/>
        <v>2.2701192362290445</v>
      </c>
      <c r="T533" s="126">
        <f t="shared" si="82"/>
        <v>2.8907766464349898</v>
      </c>
      <c r="U533" s="126">
        <f t="shared" si="83"/>
        <v>1.9394969271457687</v>
      </c>
      <c r="V533" s="126">
        <f t="shared" si="84"/>
        <v>2.2190586282236651</v>
      </c>
      <c r="W533" s="126">
        <f t="shared" si="85"/>
        <v>3.2186188771197584</v>
      </c>
      <c r="X533" s="126">
        <f t="shared" si="86"/>
        <v>2.388183007783045</v>
      </c>
      <c r="Y533" s="126">
        <f t="shared" si="87"/>
        <v>2.6819968034803594</v>
      </c>
      <c r="Z533" s="126">
        <f t="shared" si="88"/>
        <v>4.2846655081817016</v>
      </c>
      <c r="AA533" s="126">
        <f t="shared" si="89"/>
        <v>1.8064658473599593</v>
      </c>
      <c r="AB533" s="126">
        <f t="shared" si="90"/>
        <v>1.7894200306936849</v>
      </c>
    </row>
    <row r="534" spans="1:28">
      <c r="A534">
        <v>533</v>
      </c>
      <c r="B534" s="119">
        <v>0.75582990397805216</v>
      </c>
      <c r="F534">
        <v>0.70035055631763443</v>
      </c>
      <c r="G534">
        <v>0.14479500076207893</v>
      </c>
      <c r="H534">
        <v>0.47812833409541228</v>
      </c>
      <c r="I534">
        <v>0.81146166742874548</v>
      </c>
      <c r="J534">
        <v>0.25590611187319007</v>
      </c>
      <c r="K534">
        <v>0.58923944520652338</v>
      </c>
      <c r="L534">
        <v>0.92257277853985664</v>
      </c>
      <c r="M534">
        <v>7.0720926688004879E-2</v>
      </c>
      <c r="N534">
        <v>0.40405426002133821</v>
      </c>
      <c r="O534">
        <v>0.73738759335467152</v>
      </c>
      <c r="R534">
        <v>2.5</v>
      </c>
      <c r="S534" s="126">
        <f t="shared" si="81"/>
        <v>2.8515847962467671</v>
      </c>
      <c r="T534" s="126">
        <f t="shared" si="82"/>
        <v>1.7214530494011142</v>
      </c>
      <c r="U534" s="126">
        <f t="shared" si="83"/>
        <v>1.9816881189296638</v>
      </c>
      <c r="V534" s="126">
        <f t="shared" si="84"/>
        <v>2.8862659701965745</v>
      </c>
      <c r="W534" s="126">
        <f t="shared" si="85"/>
        <v>2.0712806612863246</v>
      </c>
      <c r="X534" s="126">
        <f t="shared" si="86"/>
        <v>2.3888188942806901</v>
      </c>
      <c r="Y534" s="126">
        <f t="shared" si="87"/>
        <v>3.5357017591068329</v>
      </c>
      <c r="Z534" s="126">
        <f t="shared" si="88"/>
        <v>1.7259498818571437</v>
      </c>
      <c r="AA534" s="126">
        <f t="shared" si="89"/>
        <v>1.8288732443953286</v>
      </c>
      <c r="AB534" s="126">
        <f t="shared" si="90"/>
        <v>2.6049246415422869</v>
      </c>
    </row>
    <row r="535" spans="1:28">
      <c r="A535">
        <v>534</v>
      </c>
      <c r="B535" s="119">
        <v>0.20027434842249656</v>
      </c>
      <c r="F535">
        <v>0.18183203779911597</v>
      </c>
      <c r="G535">
        <v>0.51516537113244931</v>
      </c>
      <c r="H535">
        <v>0.84849870446578246</v>
      </c>
      <c r="I535">
        <v>0.2929431489102271</v>
      </c>
      <c r="J535">
        <v>0.62627648224356036</v>
      </c>
      <c r="K535">
        <v>0.95960981557689362</v>
      </c>
      <c r="L535">
        <v>0.10775796372504191</v>
      </c>
      <c r="M535">
        <v>0.44109129705837524</v>
      </c>
      <c r="N535">
        <v>0.7744246303917085</v>
      </c>
      <c r="O535">
        <v>0.218869074836153</v>
      </c>
      <c r="R535">
        <v>2.5</v>
      </c>
      <c r="S535" s="126">
        <f t="shared" si="81"/>
        <v>1.6689746689286311</v>
      </c>
      <c r="T535" s="126">
        <f t="shared" si="82"/>
        <v>2.0319155681783028</v>
      </c>
      <c r="U535" s="126">
        <f t="shared" si="83"/>
        <v>3.0325252322134757</v>
      </c>
      <c r="V535" s="126">
        <f t="shared" si="84"/>
        <v>2.2365178489087723</v>
      </c>
      <c r="W535" s="126">
        <f t="shared" si="85"/>
        <v>2.551393072037814</v>
      </c>
      <c r="X535" s="126">
        <f t="shared" si="86"/>
        <v>3.8843035864864959</v>
      </c>
      <c r="Y535" s="126">
        <f t="shared" si="87"/>
        <v>2.0924306918124089</v>
      </c>
      <c r="Z535" s="126">
        <f t="shared" si="88"/>
        <v>2.0911453024603217</v>
      </c>
      <c r="AA535" s="126">
        <f t="shared" si="89"/>
        <v>2.8342221829938392</v>
      </c>
      <c r="AB535" s="126">
        <f t="shared" si="90"/>
        <v>1.9461475718417434</v>
      </c>
    </row>
    <row r="536" spans="1:28">
      <c r="A536">
        <v>535</v>
      </c>
      <c r="B536" s="119">
        <v>0.53360768175582984</v>
      </c>
      <c r="F536">
        <v>0.55220240816948629</v>
      </c>
      <c r="G536">
        <v>0.88553574150281955</v>
      </c>
      <c r="H536">
        <v>0.32998018594726414</v>
      </c>
      <c r="I536">
        <v>0.66331351928059745</v>
      </c>
      <c r="J536">
        <v>0.99664685261393071</v>
      </c>
      <c r="K536">
        <v>2.133821063862216E-3</v>
      </c>
      <c r="L536">
        <v>0.33546715439719554</v>
      </c>
      <c r="M536">
        <v>0.6688004877305288</v>
      </c>
      <c r="N536">
        <v>0.11324493217497332</v>
      </c>
      <c r="O536">
        <v>0.44657826550830665</v>
      </c>
      <c r="R536">
        <v>2.5</v>
      </c>
      <c r="S536" s="126">
        <f t="shared" si="81"/>
        <v>2.5264640473137088</v>
      </c>
      <c r="T536" s="126">
        <f t="shared" si="82"/>
        <v>3.4238645665045024</v>
      </c>
      <c r="U536" s="126">
        <f t="shared" si="83"/>
        <v>2.5196762646851978</v>
      </c>
      <c r="V536" s="126">
        <f t="shared" si="84"/>
        <v>2.7757891929086851</v>
      </c>
      <c r="W536" s="126">
        <f t="shared" si="85"/>
        <v>4.7929439716132602</v>
      </c>
      <c r="X536" s="126">
        <f t="shared" si="86"/>
        <v>1.2136550167473201</v>
      </c>
      <c r="Y536" s="126">
        <f t="shared" si="87"/>
        <v>1.4212809151654056</v>
      </c>
      <c r="Z536" s="126">
        <f t="shared" si="88"/>
        <v>2.2361736803598964</v>
      </c>
      <c r="AA536" s="126">
        <f t="shared" si="89"/>
        <v>1.2880736604127745</v>
      </c>
      <c r="AB536" s="126">
        <f t="shared" si="90"/>
        <v>1.6983334192690651</v>
      </c>
    </row>
    <row r="537" spans="1:28">
      <c r="A537">
        <v>536</v>
      </c>
      <c r="B537" s="119">
        <v>0.8669410150891631</v>
      </c>
      <c r="F537">
        <v>0.77991159884163985</v>
      </c>
      <c r="G537">
        <v>0.22435604328608444</v>
      </c>
      <c r="H537">
        <v>0.55768937661941775</v>
      </c>
      <c r="I537">
        <v>0.89102270995275101</v>
      </c>
      <c r="J537">
        <v>3.917085810089925E-2</v>
      </c>
      <c r="K537">
        <v>0.37250419143423258</v>
      </c>
      <c r="L537">
        <v>0.70583752476756589</v>
      </c>
      <c r="M537">
        <v>0.15028196921201037</v>
      </c>
      <c r="N537">
        <v>0.48361530254534368</v>
      </c>
      <c r="O537">
        <v>0.81694863587867683</v>
      </c>
      <c r="R537">
        <v>2.5</v>
      </c>
      <c r="S537" s="126">
        <f t="shared" si="81"/>
        <v>3.0548861806625318</v>
      </c>
      <c r="T537" s="126">
        <f t="shared" si="82"/>
        <v>2.0722745133906946</v>
      </c>
      <c r="U537" s="126">
        <f t="shared" si="83"/>
        <v>2.3229422386995076</v>
      </c>
      <c r="V537" s="126">
        <f t="shared" si="84"/>
        <v>3.3453796741467858</v>
      </c>
      <c r="W537" s="126">
        <f t="shared" si="85"/>
        <v>1.3911456530646362</v>
      </c>
      <c r="X537" s="126">
        <f t="shared" si="86"/>
        <v>1.5926690428510279</v>
      </c>
      <c r="Y537" s="126">
        <f t="shared" si="87"/>
        <v>2.4086382616297519</v>
      </c>
      <c r="Z537" s="126">
        <f t="shared" si="88"/>
        <v>1.5184556133844347</v>
      </c>
      <c r="AA537" s="126">
        <f t="shared" si="89"/>
        <v>1.8910188811624538</v>
      </c>
      <c r="AB537" s="126">
        <f t="shared" si="90"/>
        <v>2.85760580003077</v>
      </c>
    </row>
    <row r="538" spans="1:28">
      <c r="A538">
        <v>537</v>
      </c>
      <c r="B538" s="119">
        <v>0.31138545953360769</v>
      </c>
      <c r="F538">
        <v>0.26139308032312147</v>
      </c>
      <c r="G538">
        <v>0.59472641365645473</v>
      </c>
      <c r="H538">
        <v>0.92805974698978799</v>
      </c>
      <c r="I538">
        <v>7.6207895137936285E-2</v>
      </c>
      <c r="J538">
        <v>0.40954122847126961</v>
      </c>
      <c r="K538">
        <v>0.74287456180460287</v>
      </c>
      <c r="L538">
        <v>0.1873190062490474</v>
      </c>
      <c r="M538">
        <v>0.52065233958238066</v>
      </c>
      <c r="N538">
        <v>0.85398567291571392</v>
      </c>
      <c r="O538">
        <v>0.29843011736015851</v>
      </c>
      <c r="R538">
        <v>2.5</v>
      </c>
      <c r="S538" s="126">
        <f t="shared" si="81"/>
        <v>1.8911336180397944</v>
      </c>
      <c r="T538" s="126">
        <f t="shared" si="82"/>
        <v>2.3099324189352082</v>
      </c>
      <c r="U538" s="126">
        <f t="shared" si="83"/>
        <v>3.5281379652681664</v>
      </c>
      <c r="V538" s="126">
        <f t="shared" si="84"/>
        <v>1.7546392666890678</v>
      </c>
      <c r="W538" s="126">
        <f t="shared" si="85"/>
        <v>1.8549565371845254</v>
      </c>
      <c r="X538" s="126">
        <f t="shared" si="86"/>
        <v>2.6319903716048159</v>
      </c>
      <c r="Y538" s="126">
        <f t="shared" si="87"/>
        <v>1.7522925233618047</v>
      </c>
      <c r="Z538" s="126">
        <f t="shared" si="88"/>
        <v>2.085146781794974</v>
      </c>
      <c r="AA538" s="126">
        <f t="shared" si="89"/>
        <v>3.0787989072600448</v>
      </c>
      <c r="AB538" s="126">
        <f t="shared" si="90"/>
        <v>2.2728777076153723</v>
      </c>
    </row>
    <row r="539" spans="1:28">
      <c r="A539">
        <v>538</v>
      </c>
      <c r="B539" s="119">
        <v>0.644718792866941</v>
      </c>
      <c r="F539">
        <v>0.63176345069349182</v>
      </c>
      <c r="G539">
        <v>0.96509678402682508</v>
      </c>
      <c r="H539">
        <v>1.4479500076207895E-2</v>
      </c>
      <c r="I539">
        <v>0.34781283340954122</v>
      </c>
      <c r="J539">
        <v>0.68114616674287443</v>
      </c>
      <c r="K539">
        <v>0.12559061118731901</v>
      </c>
      <c r="L539">
        <v>0.45892394452065233</v>
      </c>
      <c r="M539">
        <v>0.79225727785398559</v>
      </c>
      <c r="N539">
        <v>0.23670172229843012</v>
      </c>
      <c r="O539">
        <v>0.57003505563176349</v>
      </c>
      <c r="R539">
        <v>2.5</v>
      </c>
      <c r="S539" s="126">
        <f t="shared" si="81"/>
        <v>2.6957953427646091</v>
      </c>
      <c r="T539" s="126">
        <f t="shared" si="82"/>
        <v>4.0121323736074466</v>
      </c>
      <c r="U539" s="126">
        <f t="shared" si="83"/>
        <v>1.376825512849198</v>
      </c>
      <c r="V539" s="126">
        <f t="shared" si="84"/>
        <v>1.5310316885532913</v>
      </c>
      <c r="W539" s="126">
        <f t="shared" si="85"/>
        <v>2.3196274625817734</v>
      </c>
      <c r="X539" s="126">
        <f t="shared" si="86"/>
        <v>1.3811265613862478</v>
      </c>
      <c r="Y539" s="126">
        <f t="shared" si="87"/>
        <v>1.7708076521089851</v>
      </c>
      <c r="Z539" s="126">
        <f t="shared" si="88"/>
        <v>2.7233522429809485</v>
      </c>
      <c r="AA539" s="126">
        <f t="shared" si="89"/>
        <v>1.9391419067323807</v>
      </c>
      <c r="AB539" s="126">
        <f t="shared" si="90"/>
        <v>2.281887186480581</v>
      </c>
    </row>
    <row r="540" spans="1:28">
      <c r="A540">
        <v>539</v>
      </c>
      <c r="B540" s="119">
        <v>0.97805212620027426</v>
      </c>
      <c r="F540">
        <v>0.90336838896509675</v>
      </c>
      <c r="G540">
        <v>5.1516537113244928E-2</v>
      </c>
      <c r="H540">
        <v>0.38484987044657826</v>
      </c>
      <c r="I540">
        <v>0.71818320377991163</v>
      </c>
      <c r="J540">
        <v>0.16262764822435605</v>
      </c>
      <c r="K540">
        <v>0.49596098155768936</v>
      </c>
      <c r="L540">
        <v>0.82929431489102257</v>
      </c>
      <c r="M540">
        <v>0.27373875933546715</v>
      </c>
      <c r="N540">
        <v>0.60707209266880047</v>
      </c>
      <c r="O540">
        <v>0.94040542600213373</v>
      </c>
      <c r="R540">
        <v>2.5</v>
      </c>
      <c r="S540" s="126">
        <f t="shared" si="81"/>
        <v>3.491280752522111</v>
      </c>
      <c r="T540" s="126">
        <f t="shared" si="82"/>
        <v>1.5717540533659045</v>
      </c>
      <c r="U540" s="126">
        <f t="shared" si="83"/>
        <v>1.710216252253314</v>
      </c>
      <c r="V540" s="126">
        <f t="shared" si="84"/>
        <v>2.4975652252946521</v>
      </c>
      <c r="W540" s="126">
        <f t="shared" si="85"/>
        <v>1.6056349764417277</v>
      </c>
      <c r="X540" s="126">
        <f t="shared" si="86"/>
        <v>1.960368899151393</v>
      </c>
      <c r="Y540" s="126">
        <f t="shared" si="87"/>
        <v>2.9317072987435635</v>
      </c>
      <c r="Z540" s="126">
        <f t="shared" si="88"/>
        <v>2.1390497941690176</v>
      </c>
      <c r="AA540" s="126">
        <f t="shared" si="89"/>
        <v>2.460908687143502</v>
      </c>
      <c r="AB540" s="126">
        <f t="shared" si="90"/>
        <v>3.6837720102512641</v>
      </c>
    </row>
    <row r="541" spans="1:28">
      <c r="A541">
        <v>540</v>
      </c>
      <c r="B541" s="119">
        <v>2.7434842249657063E-2</v>
      </c>
      <c r="F541">
        <v>8.8553574150281963E-2</v>
      </c>
      <c r="G541">
        <v>0.42188690748361529</v>
      </c>
      <c r="H541">
        <v>0.75522024081694861</v>
      </c>
      <c r="I541">
        <v>0.19966468526139308</v>
      </c>
      <c r="J541">
        <v>0.53299801859472629</v>
      </c>
      <c r="K541">
        <v>0.86633135192805955</v>
      </c>
      <c r="L541">
        <v>0.31077579637250419</v>
      </c>
      <c r="M541">
        <v>0.64410912970583745</v>
      </c>
      <c r="N541">
        <v>0.97744246303917071</v>
      </c>
      <c r="O541">
        <v>2.6825179088553568E-2</v>
      </c>
      <c r="R541">
        <v>2.5</v>
      </c>
      <c r="S541" s="126">
        <f t="shared" si="81"/>
        <v>1.3049818123124362</v>
      </c>
      <c r="T541" s="126">
        <f t="shared" si="82"/>
        <v>1.6550690752578505</v>
      </c>
      <c r="U541" s="126">
        <f t="shared" si="83"/>
        <v>2.5635098618916752</v>
      </c>
      <c r="V541" s="126">
        <f t="shared" si="84"/>
        <v>1.7549899288983142</v>
      </c>
      <c r="W541" s="126">
        <f t="shared" si="85"/>
        <v>2.1120856708894777</v>
      </c>
      <c r="X541" s="126">
        <f t="shared" si="86"/>
        <v>3.138142511385877</v>
      </c>
      <c r="Y541" s="126">
        <f t="shared" si="87"/>
        <v>2.3317932562632615</v>
      </c>
      <c r="Z541" s="126">
        <f t="shared" si="88"/>
        <v>2.638420816199702</v>
      </c>
      <c r="AA541" s="126">
        <f t="shared" si="89"/>
        <v>4.1403504963593916</v>
      </c>
      <c r="AB541" s="126">
        <f t="shared" si="90"/>
        <v>1.6510932046358571</v>
      </c>
    </row>
    <row r="542" spans="1:28">
      <c r="A542">
        <v>541</v>
      </c>
      <c r="B542" s="119">
        <v>0.3607681755829904</v>
      </c>
      <c r="F542">
        <v>0.3601585124218869</v>
      </c>
      <c r="G542">
        <v>0.69349184575522016</v>
      </c>
      <c r="H542">
        <v>0.13793629019966469</v>
      </c>
      <c r="I542">
        <v>0.47126962353299801</v>
      </c>
      <c r="J542">
        <v>0.80460295686633121</v>
      </c>
      <c r="K542">
        <v>0.2490474013107758</v>
      </c>
      <c r="L542">
        <v>0.58238073464410911</v>
      </c>
      <c r="M542">
        <v>0.91571406797744237</v>
      </c>
      <c r="N542">
        <v>6.3862216125590607E-2</v>
      </c>
      <c r="O542">
        <v>0.39719554945892394</v>
      </c>
      <c r="R542">
        <v>2.5</v>
      </c>
      <c r="S542" s="126">
        <f t="shared" si="81"/>
        <v>2.1229200658324325</v>
      </c>
      <c r="T542" s="126">
        <f t="shared" si="82"/>
        <v>2.6458682904815052</v>
      </c>
      <c r="U542" s="126">
        <f t="shared" si="83"/>
        <v>1.5928073143083847</v>
      </c>
      <c r="V542" s="126">
        <f t="shared" si="84"/>
        <v>1.9028218533193983</v>
      </c>
      <c r="W542" s="126">
        <f t="shared" si="85"/>
        <v>2.8259110610777682</v>
      </c>
      <c r="X542" s="126">
        <f t="shared" si="86"/>
        <v>2.0232361840574358</v>
      </c>
      <c r="Y542" s="126">
        <f t="shared" si="87"/>
        <v>2.350154243973325</v>
      </c>
      <c r="Z542" s="126">
        <f t="shared" si="88"/>
        <v>3.4785055420311526</v>
      </c>
      <c r="AA542" s="126">
        <f t="shared" si="89"/>
        <v>1.6537409230512947</v>
      </c>
      <c r="AB542" s="126">
        <f t="shared" si="90"/>
        <v>1.7779441703527152</v>
      </c>
    </row>
    <row r="543" spans="1:28">
      <c r="A543">
        <v>542</v>
      </c>
      <c r="B543" s="119">
        <v>0.69410150891632372</v>
      </c>
      <c r="F543">
        <v>0.73052888279225725</v>
      </c>
      <c r="G543">
        <v>0.17497332723670173</v>
      </c>
      <c r="H543">
        <v>0.50830666057003504</v>
      </c>
      <c r="I543">
        <v>0.84163999390336819</v>
      </c>
      <c r="J543">
        <v>0.28608443834781283</v>
      </c>
      <c r="K543">
        <v>0.61941777168114609</v>
      </c>
      <c r="L543">
        <v>0.95275110501447935</v>
      </c>
      <c r="M543">
        <v>0.10089925316262764</v>
      </c>
      <c r="N543">
        <v>0.43423258649596097</v>
      </c>
      <c r="O543">
        <v>0.76756591982929423</v>
      </c>
      <c r="R543">
        <v>2.5</v>
      </c>
      <c r="S543" s="126">
        <f t="shared" si="81"/>
        <v>2.9249955483075523</v>
      </c>
      <c r="T543" s="126">
        <f t="shared" si="82"/>
        <v>1.8608956067009448</v>
      </c>
      <c r="U543" s="126">
        <f t="shared" si="83"/>
        <v>2.1141885596606231</v>
      </c>
      <c r="V543" s="126">
        <f t="shared" si="84"/>
        <v>3.0501256292838752</v>
      </c>
      <c r="W543" s="126">
        <f t="shared" si="85"/>
        <v>2.2288239127761624</v>
      </c>
      <c r="X543" s="126">
        <f t="shared" si="86"/>
        <v>2.5326339522904715</v>
      </c>
      <c r="Y543" s="126">
        <f t="shared" si="87"/>
        <v>3.8138058540656274</v>
      </c>
      <c r="Z543" s="126">
        <f t="shared" si="88"/>
        <v>2.0257350072923606</v>
      </c>
      <c r="AA543" s="126">
        <f t="shared" si="89"/>
        <v>2.0432680847584637</v>
      </c>
      <c r="AB543" s="126">
        <f t="shared" si="90"/>
        <v>2.7914825954106215</v>
      </c>
    </row>
    <row r="544" spans="1:28">
      <c r="A544">
        <v>543</v>
      </c>
      <c r="B544" s="119">
        <v>0.13854595336076816</v>
      </c>
      <c r="F544">
        <v>0.21201036427373876</v>
      </c>
      <c r="G544">
        <v>0.54534369760707202</v>
      </c>
      <c r="H544">
        <v>0.87867703094040528</v>
      </c>
      <c r="I544">
        <v>0.32312147538484987</v>
      </c>
      <c r="J544">
        <v>0.65645480871818318</v>
      </c>
      <c r="K544">
        <v>0.98978814205151644</v>
      </c>
      <c r="L544">
        <v>6.249047401310776E-3</v>
      </c>
      <c r="M544">
        <v>0.33958238073464408</v>
      </c>
      <c r="N544">
        <v>0.67291571406797734</v>
      </c>
      <c r="O544">
        <v>0.11736015851242187</v>
      </c>
      <c r="R544">
        <v>2.5</v>
      </c>
      <c r="S544" s="126">
        <f t="shared" si="81"/>
        <v>1.7588285587171726</v>
      </c>
      <c r="T544" s="126">
        <f t="shared" si="82"/>
        <v>2.1396640348811538</v>
      </c>
      <c r="U544" s="126">
        <f t="shared" si="83"/>
        <v>3.2008179155063519</v>
      </c>
      <c r="V544" s="126">
        <f t="shared" si="84"/>
        <v>2.3918854141367216</v>
      </c>
      <c r="W544" s="126">
        <f t="shared" si="85"/>
        <v>2.696124070593616</v>
      </c>
      <c r="X544" s="126">
        <f t="shared" si="86"/>
        <v>4.4290746034058177</v>
      </c>
      <c r="Y544" s="126">
        <f t="shared" si="87"/>
        <v>1.3276282887969031</v>
      </c>
      <c r="Z544" s="126">
        <f t="shared" si="88"/>
        <v>1.4878535347888222</v>
      </c>
      <c r="AA544" s="126">
        <f t="shared" si="89"/>
        <v>2.279015454988186</v>
      </c>
      <c r="AB544" s="126">
        <f t="shared" si="90"/>
        <v>1.3270614050154221</v>
      </c>
    </row>
    <row r="545" spans="1:28">
      <c r="A545">
        <v>544</v>
      </c>
      <c r="B545" s="119">
        <v>0.47187928669410151</v>
      </c>
      <c r="F545">
        <v>0.45069349184575519</v>
      </c>
      <c r="G545">
        <v>0.78402682517908839</v>
      </c>
      <c r="H545">
        <v>0.22847126962353301</v>
      </c>
      <c r="I545">
        <v>0.56180460295686629</v>
      </c>
      <c r="J545">
        <v>0.89513793629019955</v>
      </c>
      <c r="K545">
        <v>4.3286084438347812E-2</v>
      </c>
      <c r="L545">
        <v>0.37661941777168112</v>
      </c>
      <c r="M545">
        <v>0.70995275110501443</v>
      </c>
      <c r="N545">
        <v>0.15439719554945894</v>
      </c>
      <c r="O545">
        <v>0.48773052888279222</v>
      </c>
      <c r="R545">
        <v>2.5</v>
      </c>
      <c r="S545" s="126">
        <f t="shared" si="81"/>
        <v>2.316026939281091</v>
      </c>
      <c r="T545" s="126">
        <f t="shared" si="82"/>
        <v>2.9739443577261735</v>
      </c>
      <c r="U545" s="126">
        <f t="shared" si="83"/>
        <v>2.042870739091871</v>
      </c>
      <c r="V545" s="126">
        <f t="shared" si="84"/>
        <v>2.3167687171862168</v>
      </c>
      <c r="W545" s="126">
        <f t="shared" si="85"/>
        <v>3.360702142507594</v>
      </c>
      <c r="X545" s="126">
        <f t="shared" si="86"/>
        <v>1.4373041997652478</v>
      </c>
      <c r="Y545" s="126">
        <f t="shared" si="87"/>
        <v>1.6248228482509233</v>
      </c>
      <c r="Z545" s="126">
        <f t="shared" si="88"/>
        <v>2.4346812758220047</v>
      </c>
      <c r="AA545" s="126">
        <f t="shared" si="89"/>
        <v>1.5459539057941363</v>
      </c>
      <c r="AB545" s="126">
        <f t="shared" si="90"/>
        <v>1.9133531461356443</v>
      </c>
    </row>
    <row r="546" spans="1:28">
      <c r="A546">
        <v>545</v>
      </c>
      <c r="B546" s="119">
        <v>0.80521262002743477</v>
      </c>
      <c r="F546">
        <v>0.82106386221612537</v>
      </c>
      <c r="G546">
        <v>0.26550830666057001</v>
      </c>
      <c r="H546">
        <v>0.59884163999390327</v>
      </c>
      <c r="I546">
        <v>0.93217497332723653</v>
      </c>
      <c r="J546">
        <v>8.032312147538484E-2</v>
      </c>
      <c r="K546">
        <v>0.41365645480871815</v>
      </c>
      <c r="L546">
        <v>0.74698978814205141</v>
      </c>
      <c r="M546">
        <v>0.19143423258649597</v>
      </c>
      <c r="N546">
        <v>0.5247675659198292</v>
      </c>
      <c r="O546">
        <v>0.85810089925316246</v>
      </c>
      <c r="R546">
        <v>2.5</v>
      </c>
      <c r="S546" s="126">
        <f t="shared" si="81"/>
        <v>3.1765708243698247</v>
      </c>
      <c r="T546" s="126">
        <f t="shared" si="82"/>
        <v>2.2415719394138964</v>
      </c>
      <c r="U546" s="126">
        <f t="shared" si="83"/>
        <v>2.4948301477230141</v>
      </c>
      <c r="V546" s="126">
        <f t="shared" si="84"/>
        <v>3.6463851491593773</v>
      </c>
      <c r="W546" s="126">
        <f t="shared" si="85"/>
        <v>1.8372875401375419</v>
      </c>
      <c r="X546" s="126">
        <f t="shared" si="86"/>
        <v>1.9052187454564948</v>
      </c>
      <c r="Y546" s="126">
        <f t="shared" si="87"/>
        <v>2.6678211578668289</v>
      </c>
      <c r="Z546" s="126">
        <f t="shared" si="88"/>
        <v>1.7828346997646136</v>
      </c>
      <c r="AA546" s="126">
        <f t="shared" si="89"/>
        <v>2.1090192238200829</v>
      </c>
      <c r="AB546" s="126">
        <f t="shared" si="90"/>
        <v>3.1057625705512955</v>
      </c>
    </row>
    <row r="547" spans="1:28">
      <c r="A547">
        <v>546</v>
      </c>
      <c r="B547" s="119">
        <v>0.24965706447187927</v>
      </c>
      <c r="F547">
        <v>0.30254534369760705</v>
      </c>
      <c r="G547">
        <v>0.63587867703094036</v>
      </c>
      <c r="H547">
        <v>0.96921201036427362</v>
      </c>
      <c r="I547">
        <v>1.8594726413656452E-2</v>
      </c>
      <c r="J547">
        <v>0.35192805974698976</v>
      </c>
      <c r="K547">
        <v>0.68526139308032297</v>
      </c>
      <c r="L547">
        <v>0.12970583752476758</v>
      </c>
      <c r="M547">
        <v>0.46303917085810087</v>
      </c>
      <c r="N547">
        <v>0.79637250419143413</v>
      </c>
      <c r="O547">
        <v>0.24081694863587869</v>
      </c>
      <c r="R547">
        <v>2.5</v>
      </c>
      <c r="S547" s="126">
        <f t="shared" si="81"/>
        <v>1.9917284807934097</v>
      </c>
      <c r="T547" s="126">
        <f t="shared" si="82"/>
        <v>2.4493586063942061</v>
      </c>
      <c r="U547" s="126">
        <f t="shared" si="83"/>
        <v>3.9346040210944997</v>
      </c>
      <c r="V547" s="126">
        <f t="shared" si="84"/>
        <v>1.4206416810351303</v>
      </c>
      <c r="W547" s="126">
        <f t="shared" si="85"/>
        <v>1.562218727586582</v>
      </c>
      <c r="X547" s="126">
        <f t="shared" si="86"/>
        <v>2.3448338952943497</v>
      </c>
      <c r="Y547" s="126">
        <f t="shared" si="87"/>
        <v>1.4100457335331975</v>
      </c>
      <c r="Z547" s="126">
        <f t="shared" si="88"/>
        <v>1.7938914832965027</v>
      </c>
      <c r="AA547" s="126">
        <f t="shared" si="89"/>
        <v>2.7468770305295838</v>
      </c>
      <c r="AB547" s="126">
        <f t="shared" si="90"/>
        <v>1.9619149802378186</v>
      </c>
    </row>
    <row r="548" spans="1:28">
      <c r="A548">
        <v>547</v>
      </c>
      <c r="B548" s="119">
        <v>0.58299039780521267</v>
      </c>
      <c r="F548">
        <v>0.57415028196921203</v>
      </c>
      <c r="G548">
        <v>0.90748361530254529</v>
      </c>
      <c r="H548">
        <v>5.563176345069349E-2</v>
      </c>
      <c r="I548">
        <v>0.3889650967840268</v>
      </c>
      <c r="J548">
        <v>0.72229843011736017</v>
      </c>
      <c r="K548">
        <v>0.16674287456180462</v>
      </c>
      <c r="L548">
        <v>0.50007620789513796</v>
      </c>
      <c r="M548">
        <v>0.83340954122847111</v>
      </c>
      <c r="N548">
        <v>0.27785398567291569</v>
      </c>
      <c r="O548">
        <v>0.61118731900624901</v>
      </c>
      <c r="R548">
        <v>2.5</v>
      </c>
      <c r="S548" s="126">
        <f t="shared" si="81"/>
        <v>2.5724242206007601</v>
      </c>
      <c r="T548" s="126">
        <f t="shared" si="82"/>
        <v>3.5478320741038121</v>
      </c>
      <c r="U548" s="126">
        <f t="shared" si="83"/>
        <v>1.6313412307128012</v>
      </c>
      <c r="V548" s="126">
        <f t="shared" si="84"/>
        <v>1.7490316181784302</v>
      </c>
      <c r="W548" s="126">
        <f t="shared" si="85"/>
        <v>2.5271613370802002</v>
      </c>
      <c r="X548" s="126">
        <f t="shared" si="86"/>
        <v>1.6342009582762174</v>
      </c>
      <c r="Y548" s="126">
        <f t="shared" si="87"/>
        <v>1.983234398938992</v>
      </c>
      <c r="Z548" s="126">
        <f t="shared" si="88"/>
        <v>2.9566819688417341</v>
      </c>
      <c r="AA548" s="126">
        <f t="shared" si="89"/>
        <v>2.1617600940787232</v>
      </c>
      <c r="AB548" s="126">
        <f t="shared" si="90"/>
        <v>2.4811639042985982</v>
      </c>
    </row>
    <row r="549" spans="1:28">
      <c r="A549">
        <v>548</v>
      </c>
      <c r="B549" s="119">
        <v>0.91632373113854593</v>
      </c>
      <c r="F549">
        <v>0.94452065233958227</v>
      </c>
      <c r="G549">
        <v>9.2668800487730518E-2</v>
      </c>
      <c r="H549">
        <v>0.42600213382106383</v>
      </c>
      <c r="I549">
        <v>0.75933546715439715</v>
      </c>
      <c r="J549">
        <v>0.20377991159884165</v>
      </c>
      <c r="K549">
        <v>0.53711324493217483</v>
      </c>
      <c r="L549">
        <v>0.87044657826550809</v>
      </c>
      <c r="M549">
        <v>0.31489102270995273</v>
      </c>
      <c r="N549">
        <v>0.64822435604328599</v>
      </c>
      <c r="O549">
        <v>0.98155768937661925</v>
      </c>
      <c r="R549">
        <v>2.5</v>
      </c>
      <c r="S549" s="126">
        <f t="shared" si="81"/>
        <v>3.73287519948647</v>
      </c>
      <c r="T549" s="126">
        <f t="shared" si="82"/>
        <v>1.9454243017447412</v>
      </c>
      <c r="U549" s="126">
        <f t="shared" si="83"/>
        <v>1.9856215715305567</v>
      </c>
      <c r="V549" s="126">
        <f t="shared" si="84"/>
        <v>2.7404974041699193</v>
      </c>
      <c r="W549" s="126">
        <f t="shared" si="85"/>
        <v>1.8560058325295552</v>
      </c>
      <c r="X549" s="126">
        <f t="shared" si="86"/>
        <v>2.1713973932609187</v>
      </c>
      <c r="Y549" s="126">
        <f t="shared" si="87"/>
        <v>3.1838624260966477</v>
      </c>
      <c r="Z549" s="126">
        <f t="shared" si="88"/>
        <v>2.3643553446541601</v>
      </c>
      <c r="AA549" s="126">
        <f t="shared" si="89"/>
        <v>2.6639144068030824</v>
      </c>
      <c r="AB549" s="126">
        <f t="shared" si="90"/>
        <v>4.2220004792120172</v>
      </c>
    </row>
    <row r="550" spans="1:28">
      <c r="A550">
        <v>549</v>
      </c>
      <c r="B550" s="119">
        <v>6.4471879286694095E-2</v>
      </c>
      <c r="F550">
        <v>3.094040542600213E-2</v>
      </c>
      <c r="G550">
        <v>0.36427373875933544</v>
      </c>
      <c r="H550">
        <v>0.6976070720926687</v>
      </c>
      <c r="I550">
        <v>0.14205151653711326</v>
      </c>
      <c r="J550">
        <v>0.47538484987044655</v>
      </c>
      <c r="K550">
        <v>0.80871818320377975</v>
      </c>
      <c r="L550">
        <v>0.25316262764822434</v>
      </c>
      <c r="M550">
        <v>0.58649596098155765</v>
      </c>
      <c r="N550">
        <v>0.91982929431489091</v>
      </c>
      <c r="O550">
        <v>6.7977442463039162E-2</v>
      </c>
      <c r="R550">
        <v>2.5</v>
      </c>
      <c r="S550" s="126">
        <f t="shared" si="81"/>
        <v>0.87820310752346886</v>
      </c>
      <c r="T550" s="126">
        <f t="shared" si="82"/>
        <v>1.3168585888973514</v>
      </c>
      <c r="U550" s="126">
        <f t="shared" si="83"/>
        <v>2.2504397558651243</v>
      </c>
      <c r="V550" s="126">
        <f t="shared" si="84"/>
        <v>1.4093158562261334</v>
      </c>
      <c r="W550" s="126">
        <f t="shared" si="85"/>
        <v>1.81912624513461</v>
      </c>
      <c r="X550" s="126">
        <f t="shared" si="86"/>
        <v>2.7962211838859905</v>
      </c>
      <c r="Y550" s="126">
        <f t="shared" si="87"/>
        <v>2.0189704747035746</v>
      </c>
      <c r="Z550" s="126">
        <f t="shared" si="88"/>
        <v>2.3567141291197213</v>
      </c>
      <c r="AA550" s="126">
        <f t="shared" si="89"/>
        <v>3.504168672317443</v>
      </c>
      <c r="AB550" s="126">
        <f t="shared" si="90"/>
        <v>1.6931250487028215</v>
      </c>
    </row>
    <row r="551" spans="1:28">
      <c r="A551">
        <v>550</v>
      </c>
      <c r="B551" s="119">
        <v>0.39780521262002744</v>
      </c>
      <c r="F551">
        <v>0.40131077579637248</v>
      </c>
      <c r="G551">
        <v>0.73464410912970579</v>
      </c>
      <c r="H551">
        <v>0.17908855357415029</v>
      </c>
      <c r="I551">
        <v>0.51242188690748358</v>
      </c>
      <c r="J551">
        <v>0.84575522024081673</v>
      </c>
      <c r="K551">
        <v>0.29019966468526137</v>
      </c>
      <c r="L551">
        <v>0.62353299801859463</v>
      </c>
      <c r="M551">
        <v>0.95686633135192789</v>
      </c>
      <c r="N551">
        <v>0.1050144795000762</v>
      </c>
      <c r="O551">
        <v>0.43834781283340951</v>
      </c>
      <c r="R551">
        <v>2.5</v>
      </c>
      <c r="S551" s="126">
        <f t="shared" si="81"/>
        <v>2.2120639188859874</v>
      </c>
      <c r="T551" s="126">
        <f t="shared" si="82"/>
        <v>2.7905942492577247</v>
      </c>
      <c r="U551" s="126">
        <f t="shared" si="83"/>
        <v>1.8064174724914068</v>
      </c>
      <c r="V551" s="126">
        <f t="shared" si="84"/>
        <v>2.0953188541795496</v>
      </c>
      <c r="W551" s="126">
        <f t="shared" si="85"/>
        <v>3.0548081385494466</v>
      </c>
      <c r="X551" s="126">
        <f t="shared" si="86"/>
        <v>2.2411233189078423</v>
      </c>
      <c r="Y551" s="126">
        <f t="shared" si="87"/>
        <v>2.5477408006020283</v>
      </c>
      <c r="Z551" s="126">
        <f t="shared" si="88"/>
        <v>3.8571044965603578</v>
      </c>
      <c r="AA551" s="126">
        <f t="shared" si="89"/>
        <v>2.0664330615151765</v>
      </c>
      <c r="AB551" s="126">
        <f t="shared" si="90"/>
        <v>2.0723411932181746</v>
      </c>
    </row>
    <row r="552" spans="1:28">
      <c r="A552">
        <v>551</v>
      </c>
      <c r="B552" s="119">
        <v>0.73113854595336081</v>
      </c>
      <c r="F552">
        <v>0.77168114616674277</v>
      </c>
      <c r="G552">
        <v>0.21612559061118733</v>
      </c>
      <c r="H552">
        <v>0.54945892394452056</v>
      </c>
      <c r="I552">
        <v>0.88279225727785382</v>
      </c>
      <c r="J552">
        <v>0.32723670172229841</v>
      </c>
      <c r="K552">
        <v>0.66057003505563172</v>
      </c>
      <c r="L552">
        <v>0.99390336838896498</v>
      </c>
      <c r="M552">
        <v>1.0364273738759337E-2</v>
      </c>
      <c r="N552">
        <v>0.34369760707209268</v>
      </c>
      <c r="O552">
        <v>0.67703094040542589</v>
      </c>
      <c r="R552">
        <v>2.5</v>
      </c>
      <c r="S552" s="126">
        <f t="shared" si="81"/>
        <v>3.0322042114300785</v>
      </c>
      <c r="T552" s="126">
        <f t="shared" si="82"/>
        <v>2.0379605275266233</v>
      </c>
      <c r="U552" s="126">
        <f t="shared" si="83"/>
        <v>2.288524452425543</v>
      </c>
      <c r="V552" s="126">
        <f t="shared" si="84"/>
        <v>3.2926777163776748</v>
      </c>
      <c r="W552" s="126">
        <f t="shared" si="85"/>
        <v>2.4474827736967253</v>
      </c>
      <c r="X552" s="126">
        <f t="shared" si="86"/>
        <v>2.733315448611787</v>
      </c>
      <c r="Y552" s="126">
        <f t="shared" si="87"/>
        <v>4.6028540019262083</v>
      </c>
      <c r="Z552" s="126">
        <f t="shared" si="88"/>
        <v>1.5674480852593429</v>
      </c>
      <c r="AA552" s="126">
        <f t="shared" si="89"/>
        <v>1.6176335420949741</v>
      </c>
      <c r="AB552" s="126">
        <f t="shared" si="90"/>
        <v>2.3536733209545169</v>
      </c>
    </row>
    <row r="553" spans="1:28">
      <c r="A553">
        <v>552</v>
      </c>
      <c r="B553" s="119">
        <v>0.1755829903978052</v>
      </c>
      <c r="F553">
        <v>0.12147538484987044</v>
      </c>
      <c r="G553">
        <v>0.45480871818320379</v>
      </c>
      <c r="H553">
        <v>0.78814205151653693</v>
      </c>
      <c r="I553">
        <v>0.23258649596098155</v>
      </c>
      <c r="J553">
        <v>0.56591982929431484</v>
      </c>
      <c r="K553">
        <v>0.89925316262764809</v>
      </c>
      <c r="L553">
        <v>4.7401310775796374E-2</v>
      </c>
      <c r="M553">
        <v>0.38073464410912972</v>
      </c>
      <c r="N553">
        <v>0.71406797744246298</v>
      </c>
      <c r="O553">
        <v>0.15851242188690748</v>
      </c>
      <c r="R553">
        <v>2.5</v>
      </c>
      <c r="S553" s="126">
        <f t="shared" si="81"/>
        <v>1.4551554364340922</v>
      </c>
      <c r="T553" s="126">
        <f t="shared" si="82"/>
        <v>1.7994563596317275</v>
      </c>
      <c r="U553" s="126">
        <f t="shared" si="83"/>
        <v>2.7259669463871621</v>
      </c>
      <c r="V553" s="126">
        <f t="shared" si="84"/>
        <v>1.9294013191142352</v>
      </c>
      <c r="W553" s="126">
        <f t="shared" si="85"/>
        <v>2.268357788715627</v>
      </c>
      <c r="X553" s="126">
        <f t="shared" si="86"/>
        <v>3.3553273655602913</v>
      </c>
      <c r="Y553" s="126">
        <f t="shared" si="87"/>
        <v>1.4702120602812681</v>
      </c>
      <c r="Z553" s="126">
        <f t="shared" si="88"/>
        <v>1.6502863999849418</v>
      </c>
      <c r="AA553" s="126">
        <f t="shared" si="89"/>
        <v>2.4574277178991646</v>
      </c>
      <c r="AB553" s="126">
        <f t="shared" si="90"/>
        <v>1.5715435989558304</v>
      </c>
    </row>
    <row r="554" spans="1:28">
      <c r="A554">
        <v>553</v>
      </c>
      <c r="B554" s="119">
        <v>0.5089163237311386</v>
      </c>
      <c r="F554">
        <v>0.49184575522024082</v>
      </c>
      <c r="G554">
        <v>0.82517908855357391</v>
      </c>
      <c r="H554">
        <v>0.26962353299801861</v>
      </c>
      <c r="I554">
        <v>0.60295686633135182</v>
      </c>
      <c r="J554">
        <v>0.93629019966468507</v>
      </c>
      <c r="K554">
        <v>8.4438347812833409E-2</v>
      </c>
      <c r="L554">
        <v>0.41777168114616675</v>
      </c>
      <c r="M554">
        <v>0.75110501447949996</v>
      </c>
      <c r="N554">
        <v>0.19554945892394451</v>
      </c>
      <c r="O554">
        <v>0.52888279225727775</v>
      </c>
      <c r="R554">
        <v>2.5</v>
      </c>
      <c r="S554" s="126">
        <f t="shared" si="81"/>
        <v>2.4013676339630163</v>
      </c>
      <c r="T554" s="126">
        <f t="shared" si="82"/>
        <v>3.1400772734506259</v>
      </c>
      <c r="U554" s="126">
        <f t="shared" si="83"/>
        <v>2.2335426923212838</v>
      </c>
      <c r="V554" s="126">
        <f t="shared" si="84"/>
        <v>2.499585471069075</v>
      </c>
      <c r="W554" s="126">
        <f t="shared" si="85"/>
        <v>3.6753086020754742</v>
      </c>
      <c r="X554" s="126">
        <f t="shared" si="86"/>
        <v>1.8741594168974092</v>
      </c>
      <c r="Y554" s="126">
        <f t="shared" si="87"/>
        <v>1.9324536566205401</v>
      </c>
      <c r="Z554" s="126">
        <f t="shared" si="88"/>
        <v>2.6921692713149312</v>
      </c>
      <c r="AA554" s="126">
        <f t="shared" si="89"/>
        <v>1.807441648131527</v>
      </c>
      <c r="AB554" s="126">
        <f t="shared" si="90"/>
        <v>2.1299140938174679</v>
      </c>
    </row>
    <row r="555" spans="1:28">
      <c r="A555">
        <v>554</v>
      </c>
      <c r="B555" s="119">
        <v>0.84224965706447175</v>
      </c>
      <c r="F555">
        <v>0.862216125590611</v>
      </c>
      <c r="G555">
        <v>0.30666057003505565</v>
      </c>
      <c r="H555">
        <v>0.63999390336838891</v>
      </c>
      <c r="I555">
        <v>0.97332723670172216</v>
      </c>
      <c r="J555">
        <v>2.270995275110501E-2</v>
      </c>
      <c r="K555">
        <v>0.35604328608443836</v>
      </c>
      <c r="L555">
        <v>0.68937661941777151</v>
      </c>
      <c r="M555">
        <v>0.13382106386221612</v>
      </c>
      <c r="N555">
        <v>0.46715439719554946</v>
      </c>
      <c r="O555">
        <v>0.80048773052888267</v>
      </c>
      <c r="R555">
        <v>2.5</v>
      </c>
      <c r="S555" s="126">
        <f t="shared" ref="S555:S618" si="91">NORMINV(F555,0,1)*0.8248+0.4974*(2.3356-R555)+R555</f>
        <v>3.3175317286731838</v>
      </c>
      <c r="T555" s="126">
        <f t="shared" ref="T555:T618" si="92">NORMINV(G555,0,1)*0.8248+0.4974*(2.3356-S555)+S555</f>
        <v>2.4123157318429325</v>
      </c>
      <c r="U555" s="126">
        <f t="shared" ref="U555:U618" si="93">NORMINV(H555,0,1)*0.8248+0.4974*(2.3356-T555)+T555</f>
        <v>2.669800698574373</v>
      </c>
      <c r="V555" s="126">
        <f t="shared" ref="V555:V618" si="94">NORMINV(I555,0,1)*0.8248+0.4974*(2.3356-U555)+U555</f>
        <v>4.0971762975802459</v>
      </c>
      <c r="W555" s="126">
        <f t="shared" ref="W555:W618" si="95">NORMINV(J555,0,1)*0.8248+0.4974*(2.3356-V555)+V555</f>
        <v>1.5707539871578744</v>
      </c>
      <c r="X555" s="126">
        <f t="shared" ref="X555:X618" si="96">NORMINV(K555,0,1)*0.8248+0.4974*(2.3356-W555)+W555</f>
        <v>1.6467916555918811</v>
      </c>
      <c r="Y555" s="126">
        <f t="shared" ref="Y555:Y618" si="97">NORMINV(L555,0,1)*0.8248+0.4974*(2.3356-X555)+X555</f>
        <v>2.3969255213489524</v>
      </c>
      <c r="Z555" s="126">
        <f t="shared" ref="Z555:Z618" si="98">NORMINV(M555,0,1)*0.8248+0.4974*(2.3356-Y555)+Y555</f>
        <v>1.4521241238540741</v>
      </c>
      <c r="AA555" s="126">
        <f t="shared" ref="AA555:AA618" si="99">NORMINV(N555,0,1)*0.8248+0.4974*(2.3356-Z555)+Z555</f>
        <v>1.8235809238883578</v>
      </c>
      <c r="AB555" s="126">
        <f t="shared" ref="AB555:AB618" si="100">NORMINV(O555,0,1)*0.8248+0.4974*(2.3356-AA555)+AA555</f>
        <v>2.7738663711706137</v>
      </c>
    </row>
    <row r="556" spans="1:28">
      <c r="A556">
        <v>555</v>
      </c>
      <c r="B556" s="119">
        <v>0.28669410150891633</v>
      </c>
      <c r="F556">
        <v>0.24493217497332723</v>
      </c>
      <c r="G556">
        <v>0.57826550830666057</v>
      </c>
      <c r="H556">
        <v>0.91159884163999383</v>
      </c>
      <c r="I556">
        <v>5.9746989788142052E-2</v>
      </c>
      <c r="J556">
        <v>0.39308032312147539</v>
      </c>
      <c r="K556">
        <v>0.72641365645480871</v>
      </c>
      <c r="L556">
        <v>0.17085810089925316</v>
      </c>
      <c r="M556">
        <v>0.50419143423258639</v>
      </c>
      <c r="N556">
        <v>0.83752476756591965</v>
      </c>
      <c r="O556">
        <v>0.28196921201036429</v>
      </c>
      <c r="R556">
        <v>2.5</v>
      </c>
      <c r="S556" s="126">
        <f t="shared" si="91"/>
        <v>1.8486827559249104</v>
      </c>
      <c r="T556" s="126">
        <f t="shared" si="92"/>
        <v>2.2537389223950193</v>
      </c>
      <c r="U556" s="126">
        <f t="shared" si="93"/>
        <v>3.408486277856178</v>
      </c>
      <c r="V556" s="126">
        <f t="shared" si="94"/>
        <v>1.5907006552685488</v>
      </c>
      <c r="W556" s="126">
        <f t="shared" si="95"/>
        <v>1.7374457137425063</v>
      </c>
      <c r="X556" s="126">
        <f t="shared" si="96"/>
        <v>2.5314990527900623</v>
      </c>
      <c r="Y556" s="126">
        <f t="shared" si="97"/>
        <v>1.6498557383631896</v>
      </c>
      <c r="Z556" s="126">
        <f t="shared" si="98"/>
        <v>1.9996107454944192</v>
      </c>
      <c r="AA556" s="126">
        <f t="shared" si="99"/>
        <v>2.9786119146181944</v>
      </c>
      <c r="AB556" s="126">
        <f t="shared" si="100"/>
        <v>2.1828669288595295</v>
      </c>
    </row>
    <row r="557" spans="1:28">
      <c r="A557">
        <v>556</v>
      </c>
      <c r="B557" s="119">
        <v>0.62002743484224965</v>
      </c>
      <c r="F557">
        <v>0.61530254534369755</v>
      </c>
      <c r="G557">
        <v>0.94863587867703081</v>
      </c>
      <c r="H557">
        <v>9.6784026825179087E-2</v>
      </c>
      <c r="I557">
        <v>0.43011736015851243</v>
      </c>
      <c r="J557">
        <v>0.76345069349184569</v>
      </c>
      <c r="K557">
        <v>0.20789513793629019</v>
      </c>
      <c r="L557">
        <v>0.54122847126962337</v>
      </c>
      <c r="M557">
        <v>0.87456180460295663</v>
      </c>
      <c r="N557">
        <v>0.31900624904740132</v>
      </c>
      <c r="O557">
        <v>0.65233958238073453</v>
      </c>
      <c r="R557">
        <v>2.5</v>
      </c>
      <c r="S557" s="126">
        <f t="shared" si="91"/>
        <v>2.6600311470512068</v>
      </c>
      <c r="T557" s="126">
        <f t="shared" si="92"/>
        <v>3.8445418349591849</v>
      </c>
      <c r="U557" s="126">
        <f t="shared" si="93"/>
        <v>2.0216749498193938</v>
      </c>
      <c r="V557" s="126">
        <f t="shared" si="94"/>
        <v>2.0325942939127941</v>
      </c>
      <c r="W557" s="126">
        <f t="shared" si="95"/>
        <v>2.7750592365589459</v>
      </c>
      <c r="X557" s="126">
        <f t="shared" si="96"/>
        <v>1.8852942233879069</v>
      </c>
      <c r="Y557" s="126">
        <f t="shared" si="97"/>
        <v>2.1946671159198017</v>
      </c>
      <c r="Z557" s="126">
        <f t="shared" si="98"/>
        <v>3.2118217145448531</v>
      </c>
      <c r="AA557" s="126">
        <f t="shared" si="99"/>
        <v>2.3879375663834916</v>
      </c>
      <c r="AB557" s="126">
        <f t="shared" si="100"/>
        <v>2.6849333200888088</v>
      </c>
    </row>
    <row r="558" spans="1:28">
      <c r="A558">
        <v>557</v>
      </c>
      <c r="B558" s="119">
        <v>0.95336076817558291</v>
      </c>
      <c r="F558">
        <v>0.98567291571406779</v>
      </c>
      <c r="G558">
        <v>3.5055631763450695E-2</v>
      </c>
      <c r="H558">
        <v>0.36838896509678404</v>
      </c>
      <c r="I558">
        <v>0.70172229843011724</v>
      </c>
      <c r="J558">
        <v>0.1461667428745618</v>
      </c>
      <c r="K558">
        <v>0.47950007620789514</v>
      </c>
      <c r="L558">
        <v>0.81283340954122829</v>
      </c>
      <c r="M558">
        <v>0.25727785398567293</v>
      </c>
      <c r="N558">
        <v>0.59061118731900619</v>
      </c>
      <c r="O558">
        <v>0.92394452065233945</v>
      </c>
      <c r="R558">
        <v>2.5</v>
      </c>
      <c r="S558" s="126">
        <f t="shared" si="91"/>
        <v>4.2230646390952797</v>
      </c>
      <c r="T558" s="126">
        <f t="shared" si="92"/>
        <v>1.7903692449875726</v>
      </c>
      <c r="U558" s="126">
        <f t="shared" si="93"/>
        <v>1.7843325700645263</v>
      </c>
      <c r="V558" s="126">
        <f t="shared" si="94"/>
        <v>2.4951495191543192</v>
      </c>
      <c r="W558" s="126">
        <f t="shared" si="95"/>
        <v>1.5472616795888208</v>
      </c>
      <c r="X558" s="126">
        <f t="shared" si="96"/>
        <v>1.8969795750054259</v>
      </c>
      <c r="Y558" s="126">
        <f t="shared" si="97"/>
        <v>2.8478901051417922</v>
      </c>
      <c r="Z558" s="126">
        <f t="shared" si="98"/>
        <v>2.0555049733461921</v>
      </c>
      <c r="AA558" s="126">
        <f t="shared" si="99"/>
        <v>2.3838003183903371</v>
      </c>
      <c r="AB558" s="126">
        <f t="shared" si="100"/>
        <v>3.5410337983142304</v>
      </c>
    </row>
    <row r="559" spans="1:28">
      <c r="A559">
        <v>558</v>
      </c>
      <c r="B559" s="119">
        <v>0.10150891632373113</v>
      </c>
      <c r="F559">
        <v>7.209266880048773E-2</v>
      </c>
      <c r="G559">
        <v>0.40542600213382107</v>
      </c>
      <c r="H559">
        <v>0.73875933546715433</v>
      </c>
      <c r="I559">
        <v>0.18320377991159884</v>
      </c>
      <c r="J559">
        <v>0.51653711324493212</v>
      </c>
      <c r="K559">
        <v>0.84987044657826527</v>
      </c>
      <c r="L559">
        <v>0.29431489102270997</v>
      </c>
      <c r="M559">
        <v>0.62764822435604317</v>
      </c>
      <c r="N559">
        <v>0.96098155768937643</v>
      </c>
      <c r="O559">
        <v>0.10912970583752477</v>
      </c>
      <c r="R559">
        <v>2.5</v>
      </c>
      <c r="S559" s="126">
        <f t="shared" si="91"/>
        <v>1.2137050289053803</v>
      </c>
      <c r="T559" s="126">
        <f t="shared" si="92"/>
        <v>1.5743386498458212</v>
      </c>
      <c r="U559" s="126">
        <f t="shared" si="93"/>
        <v>2.4804704257288108</v>
      </c>
      <c r="V559" s="126">
        <f t="shared" si="94"/>
        <v>1.6634335556308719</v>
      </c>
      <c r="W559" s="126">
        <f t="shared" si="95"/>
        <v>2.0319688783114835</v>
      </c>
      <c r="X559" s="126">
        <f t="shared" si="96"/>
        <v>3.0373870940912884</v>
      </c>
      <c r="Y559" s="126">
        <f t="shared" si="97"/>
        <v>2.2422476150716277</v>
      </c>
      <c r="Z559" s="126">
        <f t="shared" si="98"/>
        <v>2.5572615440311224</v>
      </c>
      <c r="AA559" s="126">
        <f t="shared" si="99"/>
        <v>3.9004629495061947</v>
      </c>
      <c r="AB559" s="126">
        <f t="shared" si="100"/>
        <v>2.1066313726180539</v>
      </c>
    </row>
    <row r="560" spans="1:28">
      <c r="A560">
        <v>559</v>
      </c>
      <c r="B560" s="119">
        <v>0.43484224965706447</v>
      </c>
      <c r="F560">
        <v>0.44246303917085811</v>
      </c>
      <c r="G560">
        <v>0.77579637250419131</v>
      </c>
      <c r="H560">
        <v>0.22024081694863587</v>
      </c>
      <c r="I560">
        <v>0.5535741502819691</v>
      </c>
      <c r="J560">
        <v>0.88690748361530236</v>
      </c>
      <c r="K560">
        <v>0.331351928059747</v>
      </c>
      <c r="L560">
        <v>0.66468526139308026</v>
      </c>
      <c r="M560">
        <v>0.99801859472641352</v>
      </c>
      <c r="N560">
        <v>3.5055631763450694E-3</v>
      </c>
      <c r="O560">
        <v>0.33683889650967841</v>
      </c>
      <c r="R560">
        <v>2.5</v>
      </c>
      <c r="S560" s="126">
        <f t="shared" si="91"/>
        <v>2.2988562527940664</v>
      </c>
      <c r="T560" s="126">
        <f t="shared" si="92"/>
        <v>2.9423912406561232</v>
      </c>
      <c r="U560" s="126">
        <f t="shared" si="93"/>
        <v>2.0043389250886752</v>
      </c>
      <c r="V560" s="126">
        <f t="shared" si="94"/>
        <v>2.2802060041707617</v>
      </c>
      <c r="W560" s="126">
        <f t="shared" si="95"/>
        <v>3.3059687582207502</v>
      </c>
      <c r="X560" s="126">
        <f t="shared" si="96"/>
        <v>2.463543480146333</v>
      </c>
      <c r="Y560" s="126">
        <f t="shared" si="97"/>
        <v>2.7506788384673708</v>
      </c>
      <c r="Z560" s="126">
        <f t="shared" si="98"/>
        <v>4.9205556980097667</v>
      </c>
      <c r="AA560" s="126">
        <f t="shared" si="99"/>
        <v>1.4108778588905029</v>
      </c>
      <c r="AB560" s="126">
        <f t="shared" si="100"/>
        <v>1.5235065502257366</v>
      </c>
    </row>
    <row r="561" spans="1:28">
      <c r="A561">
        <v>560</v>
      </c>
      <c r="B561" s="119">
        <v>0.76817558299039779</v>
      </c>
      <c r="F561">
        <v>0.67017222984301172</v>
      </c>
      <c r="G561">
        <v>0.11461667428745617</v>
      </c>
      <c r="H561">
        <v>0.44795000762078951</v>
      </c>
      <c r="I561">
        <v>0.78128334095412277</v>
      </c>
      <c r="J561">
        <v>0.22572778539856728</v>
      </c>
      <c r="K561">
        <v>0.55906111873190067</v>
      </c>
      <c r="L561">
        <v>0.89239445206523393</v>
      </c>
      <c r="M561">
        <v>4.0542600213382102E-2</v>
      </c>
      <c r="N561">
        <v>0.37387593354671544</v>
      </c>
      <c r="O561">
        <v>0.70720926688004881</v>
      </c>
      <c r="R561">
        <v>2.5</v>
      </c>
      <c r="S561" s="126">
        <f t="shared" si="91"/>
        <v>2.781460116562064</v>
      </c>
      <c r="T561" s="126">
        <f t="shared" si="92"/>
        <v>1.5680025067538255</v>
      </c>
      <c r="U561" s="126">
        <f t="shared" si="93"/>
        <v>1.8418867241325203</v>
      </c>
      <c r="V561" s="126">
        <f t="shared" si="94"/>
        <v>2.7279455595739934</v>
      </c>
      <c r="W561" s="126">
        <f t="shared" si="95"/>
        <v>1.9117262425099839</v>
      </c>
      <c r="X561" s="126">
        <f t="shared" si="96"/>
        <v>2.2451174561537108</v>
      </c>
      <c r="Y561" s="126">
        <f t="shared" si="97"/>
        <v>3.312350079062532</v>
      </c>
      <c r="Z561" s="126">
        <f t="shared" si="98"/>
        <v>1.3877137566839166</v>
      </c>
      <c r="AA561" s="126">
        <f t="shared" si="99"/>
        <v>1.5939324738933272</v>
      </c>
      <c r="AB561" s="126">
        <f t="shared" si="100"/>
        <v>2.4125602466405809</v>
      </c>
    </row>
    <row r="562" spans="1:28">
      <c r="A562">
        <v>561</v>
      </c>
      <c r="B562" s="119">
        <v>0.21262002743484223</v>
      </c>
      <c r="F562">
        <v>0.15165371132449321</v>
      </c>
      <c r="G562">
        <v>0.48498704465782655</v>
      </c>
      <c r="H562">
        <v>0.81832037799115975</v>
      </c>
      <c r="I562">
        <v>0.26276482243560434</v>
      </c>
      <c r="J562">
        <v>0.59609815576893765</v>
      </c>
      <c r="K562">
        <v>0.92943148910227091</v>
      </c>
      <c r="L562">
        <v>7.7579637250419137E-2</v>
      </c>
      <c r="M562">
        <v>0.41091297058375248</v>
      </c>
      <c r="N562">
        <v>0.74424630391708579</v>
      </c>
      <c r="O562">
        <v>0.18869074836153024</v>
      </c>
      <c r="R562">
        <v>2.5</v>
      </c>
      <c r="S562" s="126">
        <f t="shared" si="91"/>
        <v>1.5692058414266161</v>
      </c>
      <c r="T562" s="126">
        <f t="shared" si="92"/>
        <v>1.9193641765305547</v>
      </c>
      <c r="U562" s="126">
        <f t="shared" si="93"/>
        <v>2.8761288276015442</v>
      </c>
      <c r="V562" s="126">
        <f t="shared" si="94"/>
        <v>2.0836498020485221</v>
      </c>
      <c r="W562" s="126">
        <f t="shared" si="95"/>
        <v>2.4096109986792458</v>
      </c>
      <c r="X562" s="126">
        <f t="shared" si="96"/>
        <v>3.5865488942953121</v>
      </c>
      <c r="Y562" s="126">
        <f t="shared" si="97"/>
        <v>1.7918391349090652</v>
      </c>
      <c r="Z562" s="126">
        <f t="shared" si="98"/>
        <v>1.87656321666015</v>
      </c>
      <c r="AA562" s="126">
        <f t="shared" si="99"/>
        <v>2.6463629977722674</v>
      </c>
      <c r="AB562" s="126">
        <f t="shared" si="100"/>
        <v>1.7637127524122078</v>
      </c>
    </row>
    <row r="563" spans="1:28">
      <c r="A563">
        <v>562</v>
      </c>
      <c r="B563" s="119">
        <v>0.54595336076817558</v>
      </c>
      <c r="F563">
        <v>0.52202408169486358</v>
      </c>
      <c r="G563">
        <v>0.85535741502819684</v>
      </c>
      <c r="H563">
        <v>0.29980185947264137</v>
      </c>
      <c r="I563">
        <v>0.63313519280597474</v>
      </c>
      <c r="J563">
        <v>0.966468526139308</v>
      </c>
      <c r="K563">
        <v>1.5851242188690749E-2</v>
      </c>
      <c r="L563">
        <v>0.34918457552202409</v>
      </c>
      <c r="M563">
        <v>0.68251790885535735</v>
      </c>
      <c r="N563">
        <v>0.12696235329980185</v>
      </c>
      <c r="O563">
        <v>0.46029568663313519</v>
      </c>
      <c r="R563">
        <v>2.5</v>
      </c>
      <c r="S563" s="126">
        <f t="shared" si="91"/>
        <v>2.4637846560352328</v>
      </c>
      <c r="T563" s="126">
        <f t="shared" si="92"/>
        <v>3.2740587968294452</v>
      </c>
      <c r="U563" s="126">
        <f t="shared" si="93"/>
        <v>2.3742737471335618</v>
      </c>
      <c r="V563" s="126">
        <f t="shared" si="94"/>
        <v>2.6356084305628849</v>
      </c>
      <c r="W563" s="126">
        <f t="shared" si="95"/>
        <v>3.9968008356698568</v>
      </c>
      <c r="X563" s="126">
        <f t="shared" si="96"/>
        <v>1.3987320992893015</v>
      </c>
      <c r="Y563" s="126">
        <f t="shared" si="97"/>
        <v>1.5451013230527582</v>
      </c>
      <c r="Z563" s="126">
        <f t="shared" si="98"/>
        <v>2.3298703136365333</v>
      </c>
      <c r="AA563" s="126">
        <f t="shared" si="99"/>
        <v>1.3917320337851209</v>
      </c>
      <c r="AB563" s="126">
        <f t="shared" si="100"/>
        <v>1.7789886179049461</v>
      </c>
    </row>
    <row r="564" spans="1:28">
      <c r="A564">
        <v>563</v>
      </c>
      <c r="B564" s="119">
        <v>0.87928669410150884</v>
      </c>
      <c r="F564">
        <v>0.79362901996646851</v>
      </c>
      <c r="G564">
        <v>0.23807346441091295</v>
      </c>
      <c r="H564">
        <v>0.57140679774424641</v>
      </c>
      <c r="I564">
        <v>0.90474013107757967</v>
      </c>
      <c r="J564">
        <v>5.288827922572778E-2</v>
      </c>
      <c r="K564">
        <v>0.38622161255906112</v>
      </c>
      <c r="L564">
        <v>0.71955494589239455</v>
      </c>
      <c r="M564">
        <v>0.16399939033683889</v>
      </c>
      <c r="N564">
        <v>0.49733272367017223</v>
      </c>
      <c r="O564">
        <v>0.83066605700350549</v>
      </c>
      <c r="R564">
        <v>2.5</v>
      </c>
      <c r="S564" s="126">
        <f t="shared" si="91"/>
        <v>3.093802906182991</v>
      </c>
      <c r="T564" s="126">
        <f t="shared" si="92"/>
        <v>2.1289917445675233</v>
      </c>
      <c r="U564" s="126">
        <f t="shared" si="93"/>
        <v>2.3801871419730221</v>
      </c>
      <c r="V564" s="126">
        <f t="shared" si="94"/>
        <v>3.437708279906813</v>
      </c>
      <c r="W564" s="126">
        <f t="shared" si="95"/>
        <v>1.5554291881591014</v>
      </c>
      <c r="X564" s="126">
        <f t="shared" si="96"/>
        <v>1.704970043066</v>
      </c>
      <c r="Y564" s="126">
        <f t="shared" si="97"/>
        <v>2.4982829996412059</v>
      </c>
      <c r="Z564" s="126">
        <f t="shared" si="98"/>
        <v>1.6105840857922411</v>
      </c>
      <c r="AA564" s="126">
        <f t="shared" si="99"/>
        <v>1.9656924546404353</v>
      </c>
      <c r="AB564" s="126">
        <f t="shared" si="100"/>
        <v>2.9388536407605184</v>
      </c>
    </row>
    <row r="565" spans="1:28">
      <c r="A565">
        <v>564</v>
      </c>
      <c r="B565" s="119">
        <v>0.32373113854595337</v>
      </c>
      <c r="F565">
        <v>0.27511050144795002</v>
      </c>
      <c r="G565">
        <v>0.60844383478128339</v>
      </c>
      <c r="H565">
        <v>0.94177716811461665</v>
      </c>
      <c r="I565">
        <v>8.9925316262764815E-2</v>
      </c>
      <c r="J565">
        <v>0.42325864959609816</v>
      </c>
      <c r="K565">
        <v>0.75659198292943153</v>
      </c>
      <c r="L565">
        <v>0.20103642737387592</v>
      </c>
      <c r="M565">
        <v>0.53436976070720921</v>
      </c>
      <c r="N565">
        <v>0.86770309404054247</v>
      </c>
      <c r="O565">
        <v>0.31214753848498705</v>
      </c>
      <c r="R565">
        <v>2.5</v>
      </c>
      <c r="S565" s="126">
        <f t="shared" si="91"/>
        <v>1.9254680083633862</v>
      </c>
      <c r="T565" s="126">
        <f t="shared" si="92"/>
        <v>2.356506578358851</v>
      </c>
      <c r="U565" s="126">
        <f t="shared" si="93"/>
        <v>3.6409353392347086</v>
      </c>
      <c r="V565" s="126">
        <f t="shared" si="94"/>
        <v>1.8854273457204727</v>
      </c>
      <c r="W565" s="126">
        <f t="shared" si="95"/>
        <v>1.9496916476548418</v>
      </c>
      <c r="X565" s="126">
        <f t="shared" si="96"/>
        <v>2.715193409010892</v>
      </c>
      <c r="Y565" s="126">
        <f t="shared" si="97"/>
        <v>1.8352631480931318</v>
      </c>
      <c r="Z565" s="126">
        <f t="shared" si="98"/>
        <v>2.1552771749958883</v>
      </c>
      <c r="AA565" s="126">
        <f t="shared" si="99"/>
        <v>3.1651158196177676</v>
      </c>
      <c r="AB565" s="126">
        <f t="shared" si="100"/>
        <v>2.3485505080077291</v>
      </c>
    </row>
    <row r="566" spans="1:28">
      <c r="A566">
        <v>565</v>
      </c>
      <c r="B566" s="119">
        <v>0.65706447187928674</v>
      </c>
      <c r="F566">
        <v>0.64548087181832037</v>
      </c>
      <c r="G566">
        <v>0.97881420515165363</v>
      </c>
      <c r="H566">
        <v>2.8196921201036423E-2</v>
      </c>
      <c r="I566">
        <v>0.36153025453436977</v>
      </c>
      <c r="J566">
        <v>0.69486358786770308</v>
      </c>
      <c r="K566">
        <v>0.13930803231214753</v>
      </c>
      <c r="L566">
        <v>0.47264136564548087</v>
      </c>
      <c r="M566">
        <v>0.80597469897881413</v>
      </c>
      <c r="N566">
        <v>0.25041914342325861</v>
      </c>
      <c r="O566">
        <v>0.58375247675659203</v>
      </c>
      <c r="R566">
        <v>2.5</v>
      </c>
      <c r="S566" s="126">
        <f t="shared" si="91"/>
        <v>2.725999953807551</v>
      </c>
      <c r="T566" s="126">
        <f t="shared" si="92"/>
        <v>4.2060369116937846</v>
      </c>
      <c r="U566" s="126">
        <f t="shared" si="93"/>
        <v>1.7019799502076691</v>
      </c>
      <c r="V566" s="126">
        <f t="shared" si="94"/>
        <v>1.7248569704886734</v>
      </c>
      <c r="W566" s="126">
        <f t="shared" si="95"/>
        <v>2.4490279634569507</v>
      </c>
      <c r="X566" s="126">
        <f t="shared" si="96"/>
        <v>1.4989929653761767</v>
      </c>
      <c r="Y566" s="126">
        <f t="shared" si="97"/>
        <v>1.8585138221726876</v>
      </c>
      <c r="Z566" s="126">
        <f t="shared" si="98"/>
        <v>2.8077492058287685</v>
      </c>
      <c r="AA566" s="126">
        <f t="shared" si="99"/>
        <v>2.0176704627067759</v>
      </c>
      <c r="AB566" s="126">
        <f t="shared" si="100"/>
        <v>2.3502560194068236</v>
      </c>
    </row>
    <row r="567" spans="1:28">
      <c r="A567">
        <v>566</v>
      </c>
      <c r="B567" s="119">
        <v>0.99039780521262</v>
      </c>
      <c r="F567">
        <v>0.91708581008992529</v>
      </c>
      <c r="G567">
        <v>6.5233958238073458E-2</v>
      </c>
      <c r="H567">
        <v>0.3985672915714068</v>
      </c>
      <c r="I567">
        <v>0.73190062490474017</v>
      </c>
      <c r="J567">
        <v>0.17634506934918456</v>
      </c>
      <c r="K567">
        <v>0.50967840268251796</v>
      </c>
      <c r="L567">
        <v>0.84301173601585111</v>
      </c>
      <c r="M567">
        <v>0.2874561804602957</v>
      </c>
      <c r="N567">
        <v>0.62078951379362901</v>
      </c>
      <c r="O567">
        <v>0.95412284712696227</v>
      </c>
      <c r="R567">
        <v>2.5</v>
      </c>
      <c r="S567" s="126">
        <f t="shared" si="91"/>
        <v>3.5611802014662213</v>
      </c>
      <c r="T567" s="126">
        <f t="shared" si="92"/>
        <v>1.7042651576751737</v>
      </c>
      <c r="U567" s="126">
        <f t="shared" si="93"/>
        <v>1.8062702935239408</v>
      </c>
      <c r="V567" s="126">
        <f t="shared" si="94"/>
        <v>2.579756577113625</v>
      </c>
      <c r="W567" s="126">
        <f t="shared" si="95"/>
        <v>1.6917572075147254</v>
      </c>
      <c r="X567" s="126">
        <f t="shared" si="96"/>
        <v>2.0320163538790337</v>
      </c>
      <c r="Y567" s="126">
        <f t="shared" si="97"/>
        <v>3.0135207983823857</v>
      </c>
      <c r="Z567" s="126">
        <f t="shared" si="98"/>
        <v>2.2137491119142751</v>
      </c>
      <c r="AA567" s="126">
        <f t="shared" si="99"/>
        <v>2.528029100899611</v>
      </c>
      <c r="AB567" s="126">
        <f t="shared" si="100"/>
        <v>3.8231053837820124</v>
      </c>
    </row>
    <row r="568" spans="1:28">
      <c r="A568">
        <v>567</v>
      </c>
      <c r="B568" s="119">
        <v>6.8587105624142667E-3</v>
      </c>
      <c r="F568">
        <v>0.10227099527511049</v>
      </c>
      <c r="G568">
        <v>0.43560432860844384</v>
      </c>
      <c r="H568">
        <v>0.76893766194177715</v>
      </c>
      <c r="I568">
        <v>0.2133821063862216</v>
      </c>
      <c r="J568">
        <v>0.54671543971955494</v>
      </c>
      <c r="K568">
        <v>0.8800487730528882</v>
      </c>
      <c r="L568">
        <v>0.32449321749733273</v>
      </c>
      <c r="M568">
        <v>0.6578265508306661</v>
      </c>
      <c r="N568">
        <v>0.99115988416399936</v>
      </c>
      <c r="O568">
        <v>7.6207895137936294E-3</v>
      </c>
      <c r="R568">
        <v>2.5</v>
      </c>
      <c r="S568" s="126">
        <f t="shared" si="91"/>
        <v>1.3717895972333063</v>
      </c>
      <c r="T568" s="126">
        <f t="shared" si="92"/>
        <v>1.7174694879882608</v>
      </c>
      <c r="U568" s="126">
        <f t="shared" si="93"/>
        <v>2.6314465718055993</v>
      </c>
      <c r="V568" s="126">
        <f t="shared" si="94"/>
        <v>1.8287901602694157</v>
      </c>
      <c r="W568" s="126">
        <f t="shared" si="95"/>
        <v>2.1776817936930803</v>
      </c>
      <c r="X568" s="126">
        <f t="shared" si="96"/>
        <v>3.2255605437830583</v>
      </c>
      <c r="Y568" s="126">
        <f t="shared" si="97"/>
        <v>2.4074693726566534</v>
      </c>
      <c r="Z568" s="126">
        <f t="shared" si="98"/>
        <v>2.7070345871521422</v>
      </c>
      <c r="AA568" s="126">
        <f t="shared" si="99"/>
        <v>4.4789129570084238</v>
      </c>
      <c r="AB568" s="126">
        <f t="shared" si="100"/>
        <v>1.4113798120309946</v>
      </c>
    </row>
    <row r="569" spans="1:28">
      <c r="A569">
        <v>568</v>
      </c>
      <c r="B569" s="119">
        <v>0.34019204389574759</v>
      </c>
      <c r="F569">
        <v>0.34095412284712695</v>
      </c>
      <c r="G569">
        <v>0.67428745618046027</v>
      </c>
      <c r="H569">
        <v>0.11873190062490473</v>
      </c>
      <c r="I569">
        <v>0.45206523395823806</v>
      </c>
      <c r="J569">
        <v>0.78539856729157131</v>
      </c>
      <c r="K569">
        <v>0.22984301173601585</v>
      </c>
      <c r="L569">
        <v>0.56317634506934922</v>
      </c>
      <c r="M569">
        <v>0.89650967840268247</v>
      </c>
      <c r="N569">
        <v>4.4657826550830663E-2</v>
      </c>
      <c r="O569">
        <v>0.37799115988416399</v>
      </c>
      <c r="R569">
        <v>2.5</v>
      </c>
      <c r="S569" s="126">
        <f t="shared" si="91"/>
        <v>2.0801744581574964</v>
      </c>
      <c r="T569" s="126">
        <f t="shared" si="92"/>
        <v>2.5798540044861742</v>
      </c>
      <c r="U569" s="126">
        <f t="shared" si="93"/>
        <v>1.4839847678502425</v>
      </c>
      <c r="V569" s="126">
        <f t="shared" si="94"/>
        <v>1.8082349628968641</v>
      </c>
      <c r="W569" s="126">
        <f t="shared" si="95"/>
        <v>2.7225972970288588</v>
      </c>
      <c r="X569" s="126">
        <f t="shared" si="96"/>
        <v>1.9202774512054106</v>
      </c>
      <c r="Y569" s="126">
        <f t="shared" si="97"/>
        <v>2.2580246619859485</v>
      </c>
      <c r="Z569" s="126">
        <f t="shared" si="98"/>
        <v>3.3374352179491167</v>
      </c>
      <c r="AA569" s="126">
        <f t="shared" si="99"/>
        <v>1.4377717254794822</v>
      </c>
      <c r="AB569" s="126">
        <f t="shared" si="100"/>
        <v>1.6280358360058464</v>
      </c>
    </row>
    <row r="570" spans="1:28">
      <c r="A570">
        <v>569</v>
      </c>
      <c r="B570" s="119">
        <v>0.6735253772290809</v>
      </c>
      <c r="F570">
        <v>0.71132449321749736</v>
      </c>
      <c r="G570">
        <v>0.15576893766194178</v>
      </c>
      <c r="H570">
        <v>0.48910227099527509</v>
      </c>
      <c r="I570">
        <v>0.82243560432860829</v>
      </c>
      <c r="J570">
        <v>0.26688004877305288</v>
      </c>
      <c r="K570">
        <v>0.6002133821063862</v>
      </c>
      <c r="L570">
        <v>0.93354671543971945</v>
      </c>
      <c r="M570">
        <v>8.1694863587867692E-2</v>
      </c>
      <c r="N570">
        <v>0.41502819692120102</v>
      </c>
      <c r="O570">
        <v>0.74836153025453434</v>
      </c>
      <c r="R570">
        <v>2.5</v>
      </c>
      <c r="S570" s="126">
        <f t="shared" si="91"/>
        <v>2.8778540238094115</v>
      </c>
      <c r="T570" s="126">
        <f t="shared" si="92"/>
        <v>1.7734389651361506</v>
      </c>
      <c r="U570" s="126">
        <f t="shared" si="93"/>
        <v>2.0305243659974828</v>
      </c>
      <c r="V570" s="126">
        <f t="shared" si="94"/>
        <v>2.9449507481622397</v>
      </c>
      <c r="W570" s="126">
        <f t="shared" si="95"/>
        <v>2.1286060622958205</v>
      </c>
      <c r="X570" s="126">
        <f t="shared" si="96"/>
        <v>2.4409811174557672</v>
      </c>
      <c r="Y570" s="126">
        <f t="shared" si="97"/>
        <v>3.6280230130970366</v>
      </c>
      <c r="Z570" s="126">
        <f t="shared" si="98"/>
        <v>1.8355975652789893</v>
      </c>
      <c r="AA570" s="126">
        <f t="shared" si="99"/>
        <v>1.9072725779994584</v>
      </c>
      <c r="AB570" s="126">
        <f t="shared" si="100"/>
        <v>2.6723964381927958</v>
      </c>
    </row>
    <row r="571" spans="1:28">
      <c r="A571">
        <v>570</v>
      </c>
      <c r="B571" s="119">
        <v>0.11796982167352536</v>
      </c>
      <c r="F571">
        <v>0.19280597469897881</v>
      </c>
      <c r="G571">
        <v>0.52613930803231213</v>
      </c>
      <c r="H571">
        <v>0.85947264136564538</v>
      </c>
      <c r="I571">
        <v>0.30391708581008992</v>
      </c>
      <c r="J571">
        <v>0.63725041914342329</v>
      </c>
      <c r="K571">
        <v>0.97058375247675654</v>
      </c>
      <c r="L571">
        <v>1.9966468526139307E-2</v>
      </c>
      <c r="M571">
        <v>0.35329980185947263</v>
      </c>
      <c r="N571">
        <v>0.68663313519280589</v>
      </c>
      <c r="O571">
        <v>0.13107757963725042</v>
      </c>
      <c r="R571">
        <v>2.5</v>
      </c>
      <c r="S571" s="126">
        <f t="shared" si="91"/>
        <v>1.7026288558581995</v>
      </c>
      <c r="T571" s="126">
        <f t="shared" si="92"/>
        <v>2.0715495857471931</v>
      </c>
      <c r="U571" s="126">
        <f t="shared" si="93"/>
        <v>3.0919839221438932</v>
      </c>
      <c r="V571" s="126">
        <f t="shared" si="94"/>
        <v>2.2924980214725097</v>
      </c>
      <c r="W571" s="126">
        <f t="shared" si="95"/>
        <v>2.6035398007480985</v>
      </c>
      <c r="X571" s="126">
        <f t="shared" si="96"/>
        <v>4.0286791219419822</v>
      </c>
      <c r="Y571" s="126">
        <f t="shared" si="97"/>
        <v>1.4920378519354234</v>
      </c>
      <c r="Z571" s="126">
        <f t="shared" si="98"/>
        <v>1.6011488159671066</v>
      </c>
      <c r="AA571" s="126">
        <f t="shared" si="99"/>
        <v>2.3675892169780601</v>
      </c>
      <c r="AB571" s="126">
        <f t="shared" si="100"/>
        <v>1.4268197977171835</v>
      </c>
    </row>
    <row r="572" spans="1:28">
      <c r="A572">
        <v>571</v>
      </c>
      <c r="B572" s="119">
        <v>0.45130315500685869</v>
      </c>
      <c r="F572">
        <v>0.46441091297058373</v>
      </c>
      <c r="G572">
        <v>0.79774424630391705</v>
      </c>
      <c r="H572">
        <v>0.24218869074836152</v>
      </c>
      <c r="I572">
        <v>0.57552202408169495</v>
      </c>
      <c r="J572">
        <v>0.90885535741502821</v>
      </c>
      <c r="K572">
        <v>5.7003505563176342E-2</v>
      </c>
      <c r="L572">
        <v>0.39033683889650966</v>
      </c>
      <c r="M572">
        <v>0.72367017222984309</v>
      </c>
      <c r="N572">
        <v>0.16811461667428745</v>
      </c>
      <c r="O572">
        <v>0.50144795000762077</v>
      </c>
      <c r="R572">
        <v>2.5</v>
      </c>
      <c r="S572" s="126">
        <f t="shared" si="91"/>
        <v>2.344550311411993</v>
      </c>
      <c r="T572" s="126">
        <f t="shared" si="92"/>
        <v>3.0276442709465359</v>
      </c>
      <c r="U572" s="126">
        <f t="shared" si="93"/>
        <v>2.1066557264813457</v>
      </c>
      <c r="V572" s="126">
        <f t="shared" si="94"/>
        <v>2.377616366463164</v>
      </c>
      <c r="W572" s="126">
        <f t="shared" si="95"/>
        <v>3.456785663503446</v>
      </c>
      <c r="X572" s="126">
        <f t="shared" si="96"/>
        <v>1.5955641519262707</v>
      </c>
      <c r="Y572" s="126">
        <f t="shared" si="97"/>
        <v>1.7339996609938408</v>
      </c>
      <c r="Z572" s="126">
        <f t="shared" si="98"/>
        <v>2.5229849352089331</v>
      </c>
      <c r="AA572" s="126">
        <f t="shared" si="99"/>
        <v>1.6366169644974358</v>
      </c>
      <c r="AB572" s="126">
        <f t="shared" si="100"/>
        <v>1.9872847217886322</v>
      </c>
    </row>
    <row r="573" spans="1:28">
      <c r="A573">
        <v>572</v>
      </c>
      <c r="B573" s="119">
        <v>0.78463648834019195</v>
      </c>
      <c r="F573">
        <v>0.83478128334095403</v>
      </c>
      <c r="G573">
        <v>0.27922572778539856</v>
      </c>
      <c r="H573">
        <v>0.61255906111873193</v>
      </c>
      <c r="I573">
        <v>0.94589239445206519</v>
      </c>
      <c r="J573">
        <v>9.404054260021337E-2</v>
      </c>
      <c r="K573">
        <v>0.4273738759335467</v>
      </c>
      <c r="L573">
        <v>0.76070720926688007</v>
      </c>
      <c r="M573">
        <v>0.20515165371132449</v>
      </c>
      <c r="N573">
        <v>0.53848498704465775</v>
      </c>
      <c r="O573">
        <v>0.87181832037799101</v>
      </c>
      <c r="R573">
        <v>2.5</v>
      </c>
      <c r="S573" s="126">
        <f t="shared" si="91"/>
        <v>3.2209501508927811</v>
      </c>
      <c r="T573" s="126">
        <f t="shared" si="92"/>
        <v>2.2979509017903847</v>
      </c>
      <c r="U573" s="126">
        <f t="shared" si="93"/>
        <v>2.5525663182286413</v>
      </c>
      <c r="V573" s="126">
        <f t="shared" si="94"/>
        <v>3.7694964684151611</v>
      </c>
      <c r="W573" s="126">
        <f t="shared" si="95"/>
        <v>1.9706110894422146</v>
      </c>
      <c r="X573" s="126">
        <f t="shared" si="96"/>
        <v>2.001165333409948</v>
      </c>
      <c r="Y573" s="126">
        <f t="shared" si="97"/>
        <v>2.7519493487839801</v>
      </c>
      <c r="Z573" s="126">
        <f t="shared" si="98"/>
        <v>1.8657498615018349</v>
      </c>
      <c r="AA573" s="126">
        <f t="shared" si="99"/>
        <v>2.1791435721194041</v>
      </c>
      <c r="AB573" s="126">
        <f t="shared" si="100"/>
        <v>3.1931365416987072</v>
      </c>
    </row>
    <row r="574" spans="1:28">
      <c r="A574">
        <v>573</v>
      </c>
      <c r="B574" s="119">
        <v>0.22908093278463648</v>
      </c>
      <c r="F574">
        <v>0.31626276482243559</v>
      </c>
      <c r="G574">
        <v>0.64959609815576891</v>
      </c>
      <c r="H574">
        <v>0.98292943148910217</v>
      </c>
      <c r="I574">
        <v>3.2312147538484985E-2</v>
      </c>
      <c r="J574">
        <v>0.36564548087181831</v>
      </c>
      <c r="K574">
        <v>0.69897881420515162</v>
      </c>
      <c r="L574">
        <v>0.1434232586495961</v>
      </c>
      <c r="M574">
        <v>0.47675659198292941</v>
      </c>
      <c r="N574">
        <v>0.81008992531626267</v>
      </c>
      <c r="O574">
        <v>0.2545343697607072</v>
      </c>
      <c r="R574">
        <v>2.5</v>
      </c>
      <c r="S574" s="126">
        <f t="shared" si="91"/>
        <v>2.0238285551889783</v>
      </c>
      <c r="T574" s="126">
        <f t="shared" si="92"/>
        <v>2.4958167775360405</v>
      </c>
      <c r="U574" s="126">
        <f t="shared" si="93"/>
        <v>4.163381943595251</v>
      </c>
      <c r="V574" s="126">
        <f t="shared" si="94"/>
        <v>1.7301379479807757</v>
      </c>
      <c r="W574" s="126">
        <f t="shared" si="95"/>
        <v>1.7480512180616936</v>
      </c>
      <c r="X574" s="126">
        <f t="shared" si="96"/>
        <v>2.4704029177557705</v>
      </c>
      <c r="Y574" s="126">
        <f t="shared" si="97"/>
        <v>1.5248863361048031</v>
      </c>
      <c r="Z574" s="126">
        <f t="shared" si="98"/>
        <v>1.880053113779881</v>
      </c>
      <c r="AA574" s="126">
        <f t="shared" si="99"/>
        <v>2.8310043620233754</v>
      </c>
      <c r="AB574" s="126">
        <f t="shared" si="100"/>
        <v>2.0399843173604815</v>
      </c>
    </row>
    <row r="575" spans="1:28">
      <c r="A575">
        <v>574</v>
      </c>
      <c r="B575" s="119">
        <v>0.56241426611796985</v>
      </c>
      <c r="F575">
        <v>0.58786770309404057</v>
      </c>
      <c r="G575">
        <v>0.92120103642737383</v>
      </c>
      <c r="H575">
        <v>6.9349184575522013E-2</v>
      </c>
      <c r="I575">
        <v>0.40268251790885534</v>
      </c>
      <c r="J575">
        <v>0.73601585124218871</v>
      </c>
      <c r="K575">
        <v>0.18046029568663313</v>
      </c>
      <c r="L575">
        <v>0.5137936290199665</v>
      </c>
      <c r="M575">
        <v>0.84712696235329965</v>
      </c>
      <c r="N575">
        <v>0.29157140679774424</v>
      </c>
      <c r="O575">
        <v>0.62490474013107755</v>
      </c>
      <c r="R575">
        <v>2.5</v>
      </c>
      <c r="S575" s="126">
        <f t="shared" si="91"/>
        <v>2.6013852637569936</v>
      </c>
      <c r="T575" s="126">
        <f t="shared" si="92"/>
        <v>3.63478822594332</v>
      </c>
      <c r="U575" s="126">
        <f t="shared" si="93"/>
        <v>1.7673272572574024</v>
      </c>
      <c r="V575" s="126">
        <f t="shared" si="94"/>
        <v>1.8467473324843064</v>
      </c>
      <c r="W575" s="126">
        <f t="shared" si="95"/>
        <v>2.6104425627359698</v>
      </c>
      <c r="X575" s="126">
        <f t="shared" si="96"/>
        <v>1.7201884319208962</v>
      </c>
      <c r="Y575" s="126">
        <f t="shared" si="97"/>
        <v>2.0548177031046797</v>
      </c>
      <c r="Z575" s="126">
        <f t="shared" si="98"/>
        <v>3.0392297965956248</v>
      </c>
      <c r="AA575" s="126">
        <f t="shared" si="99"/>
        <v>2.2365942199000428</v>
      </c>
      <c r="AB575" s="126">
        <f t="shared" si="100"/>
        <v>2.548446247746849</v>
      </c>
    </row>
    <row r="576" spans="1:28">
      <c r="A576">
        <v>575</v>
      </c>
      <c r="B576" s="119">
        <v>0.89574759945130311</v>
      </c>
      <c r="F576">
        <v>0.95823807346441081</v>
      </c>
      <c r="G576">
        <v>0.10638622161255905</v>
      </c>
      <c r="H576">
        <v>0.43971955494589238</v>
      </c>
      <c r="I576">
        <v>0.77305288827922569</v>
      </c>
      <c r="J576">
        <v>0.21749733272367017</v>
      </c>
      <c r="K576">
        <v>0.55083066605700348</v>
      </c>
      <c r="L576">
        <v>0.88416399939033674</v>
      </c>
      <c r="M576">
        <v>0.32860844383478127</v>
      </c>
      <c r="N576">
        <v>0.66194177716811464</v>
      </c>
      <c r="O576">
        <v>0.9952751105014479</v>
      </c>
      <c r="R576">
        <v>2.5</v>
      </c>
      <c r="S576" s="126">
        <f t="shared" si="91"/>
        <v>3.8456229863870082</v>
      </c>
      <c r="T576" s="126">
        <f t="shared" si="92"/>
        <v>2.0668548337500878</v>
      </c>
      <c r="U576" s="126">
        <f t="shared" si="93"/>
        <v>2.0754227828470704</v>
      </c>
      <c r="V576" s="126">
        <f t="shared" si="94"/>
        <v>2.8225594745833376</v>
      </c>
      <c r="W576" s="126">
        <f t="shared" si="95"/>
        <v>1.936446490371837</v>
      </c>
      <c r="X576" s="126">
        <f t="shared" si="96"/>
        <v>2.2403621421770223</v>
      </c>
      <c r="Y576" s="126">
        <f t="shared" si="97"/>
        <v>3.2742461596889303</v>
      </c>
      <c r="Z576" s="126">
        <f t="shared" si="98"/>
        <v>2.4413511979761342</v>
      </c>
      <c r="AA576" s="126">
        <f t="shared" si="99"/>
        <v>2.7333259411321351</v>
      </c>
      <c r="AB576" s="126">
        <f t="shared" si="100"/>
        <v>4.6761322862648731</v>
      </c>
    </row>
    <row r="577" spans="1:28">
      <c r="A577">
        <v>576</v>
      </c>
      <c r="B577" s="119">
        <v>4.38957475994513E-2</v>
      </c>
      <c r="F577">
        <v>1.173601585124219E-2</v>
      </c>
      <c r="G577">
        <v>0.34506934918457555</v>
      </c>
      <c r="H577">
        <v>0.67840268251790881</v>
      </c>
      <c r="I577">
        <v>0.1228471269623533</v>
      </c>
      <c r="J577">
        <v>0.45618046029568665</v>
      </c>
      <c r="K577">
        <v>0.78951379362901986</v>
      </c>
      <c r="L577">
        <v>0.23395823807346439</v>
      </c>
      <c r="M577">
        <v>0.56729157140679776</v>
      </c>
      <c r="N577">
        <v>0.90062490474013102</v>
      </c>
      <c r="O577">
        <v>4.8773052888279225E-2</v>
      </c>
      <c r="R577">
        <v>2.5</v>
      </c>
      <c r="S577" s="126">
        <f t="shared" si="91"/>
        <v>0.54950869350957454</v>
      </c>
      <c r="T577" s="126">
        <f t="shared" si="92"/>
        <v>1.1090900929890615</v>
      </c>
      <c r="U577" s="126">
        <f t="shared" si="93"/>
        <v>2.1012338404710391</v>
      </c>
      <c r="V577" s="126">
        <f t="shared" si="94"/>
        <v>1.2603209444526009</v>
      </c>
      <c r="W577" s="126">
        <f t="shared" si="95"/>
        <v>1.7043863536984238</v>
      </c>
      <c r="X577" s="126">
        <f t="shared" si="96"/>
        <v>2.6820977423821923</v>
      </c>
      <c r="Y577" s="126">
        <f t="shared" si="97"/>
        <v>1.9110495080890313</v>
      </c>
      <c r="Z577" s="126">
        <f t="shared" si="98"/>
        <v>2.2620103813788006</v>
      </c>
      <c r="AA577" s="126">
        <f t="shared" si="99"/>
        <v>3.3585812187613175</v>
      </c>
      <c r="AB577" s="126">
        <f t="shared" si="100"/>
        <v>1.4831653915086886</v>
      </c>
    </row>
    <row r="578" spans="1:28">
      <c r="A578">
        <v>577</v>
      </c>
      <c r="B578" s="119">
        <v>0.37722908093278462</v>
      </c>
      <c r="F578">
        <v>0.38210638622161258</v>
      </c>
      <c r="G578">
        <v>0.7154397195549459</v>
      </c>
      <c r="H578">
        <v>0.15988416399939032</v>
      </c>
      <c r="I578">
        <v>0.49321749733272369</v>
      </c>
      <c r="J578">
        <v>0.82655083066605683</v>
      </c>
      <c r="K578">
        <v>0.27099527511050148</v>
      </c>
      <c r="L578">
        <v>0.60432860844383474</v>
      </c>
      <c r="M578">
        <v>0.937661941777168</v>
      </c>
      <c r="N578">
        <v>8.581008992531626E-2</v>
      </c>
      <c r="O578">
        <v>0.41914342325864962</v>
      </c>
      <c r="R578">
        <v>2.5</v>
      </c>
      <c r="S578" s="126">
        <f t="shared" si="91"/>
        <v>2.1708259526990608</v>
      </c>
      <c r="T578" s="126">
        <f t="shared" si="92"/>
        <v>2.7223821103894164</v>
      </c>
      <c r="U578" s="126">
        <f t="shared" si="93"/>
        <v>1.7093750623300552</v>
      </c>
      <c r="V578" s="126">
        <f t="shared" si="94"/>
        <v>2.0068360702922141</v>
      </c>
      <c r="W578" s="126">
        <f t="shared" si="95"/>
        <v>2.9461887008804006</v>
      </c>
      <c r="X578" s="126">
        <f t="shared" si="96"/>
        <v>2.1395141708306671</v>
      </c>
      <c r="Y578" s="126">
        <f t="shared" si="97"/>
        <v>2.4552624038498463</v>
      </c>
      <c r="Z578" s="126">
        <f t="shared" si="98"/>
        <v>3.6621721212172886</v>
      </c>
      <c r="AA578" s="126">
        <f t="shared" si="99"/>
        <v>1.8748200602387444</v>
      </c>
      <c r="AB578" s="126">
        <f t="shared" si="100"/>
        <v>1.9356824521442593</v>
      </c>
    </row>
    <row r="579" spans="1:28">
      <c r="A579">
        <v>578</v>
      </c>
      <c r="B579" s="119">
        <v>0.71056241426611799</v>
      </c>
      <c r="F579">
        <v>0.75247675659198288</v>
      </c>
      <c r="G579">
        <v>0.19692120103642735</v>
      </c>
      <c r="H579">
        <v>0.53025453436976067</v>
      </c>
      <c r="I579">
        <v>0.86358786770309393</v>
      </c>
      <c r="J579">
        <v>0.30803231214753851</v>
      </c>
      <c r="K579">
        <v>0.64136564548087183</v>
      </c>
      <c r="L579">
        <v>0.97469897881420509</v>
      </c>
      <c r="M579">
        <v>2.4081694863587865E-2</v>
      </c>
      <c r="N579">
        <v>0.35741502819692123</v>
      </c>
      <c r="O579">
        <v>0.69074836153025443</v>
      </c>
      <c r="R579">
        <v>2.5</v>
      </c>
      <c r="S579" s="126">
        <f t="shared" si="91"/>
        <v>2.9809921151221355</v>
      </c>
      <c r="T579" s="126">
        <f t="shared" si="92"/>
        <v>1.9566919653890622</v>
      </c>
      <c r="U579" s="126">
        <f t="shared" si="93"/>
        <v>2.2077711510563702</v>
      </c>
      <c r="V579" s="126">
        <f t="shared" si="94"/>
        <v>3.1758138561031002</v>
      </c>
      <c r="W579" s="126">
        <f t="shared" si="95"/>
        <v>2.3443074407655793</v>
      </c>
      <c r="X579" s="126">
        <f t="shared" si="96"/>
        <v>2.6386459262530182</v>
      </c>
      <c r="Y579" s="126">
        <f t="shared" si="97"/>
        <v>4.1002623269654368</v>
      </c>
      <c r="Z579" s="126">
        <f t="shared" si="98"/>
        <v>1.5927772009535901</v>
      </c>
      <c r="AA579" s="126">
        <f t="shared" si="99"/>
        <v>1.6608943655756709</v>
      </c>
      <c r="AB579" s="126">
        <f t="shared" si="100"/>
        <v>2.4072208396839581</v>
      </c>
    </row>
    <row r="580" spans="1:28">
      <c r="A580">
        <v>579</v>
      </c>
      <c r="B580" s="119">
        <v>0.15500685871056241</v>
      </c>
      <c r="F580">
        <v>0.13519280597469896</v>
      </c>
      <c r="G580">
        <v>0.46852613930803233</v>
      </c>
      <c r="H580">
        <v>0.80185947264136559</v>
      </c>
      <c r="I580">
        <v>0.24630391708581006</v>
      </c>
      <c r="J580">
        <v>0.57963725041914349</v>
      </c>
      <c r="K580">
        <v>0.91297058375247675</v>
      </c>
      <c r="L580">
        <v>6.1118731900624904E-2</v>
      </c>
      <c r="M580">
        <v>0.39445206523395826</v>
      </c>
      <c r="N580">
        <v>0.72778539856729163</v>
      </c>
      <c r="O580">
        <v>0.17222984301173599</v>
      </c>
      <c r="R580">
        <v>2.5</v>
      </c>
      <c r="S580" s="126">
        <f t="shared" si="91"/>
        <v>1.5091535257115947</v>
      </c>
      <c r="T580" s="126">
        <f t="shared" si="92"/>
        <v>1.8550891841078454</v>
      </c>
      <c r="U580" s="126">
        <f t="shared" si="93"/>
        <v>2.7937580869872169</v>
      </c>
      <c r="V580" s="126">
        <f t="shared" si="94"/>
        <v>1.9999197512760747</v>
      </c>
      <c r="W580" s="126">
        <f t="shared" si="95"/>
        <v>2.3326435057524337</v>
      </c>
      <c r="X580" s="126">
        <f t="shared" si="96"/>
        <v>3.4552457276409241</v>
      </c>
      <c r="Y580" s="126">
        <f t="shared" si="97"/>
        <v>1.6236468156619366</v>
      </c>
      <c r="Z580" s="126">
        <f t="shared" si="98"/>
        <v>1.7569453839708953</v>
      </c>
      <c r="AA580" s="126">
        <f t="shared" si="99"/>
        <v>2.5447032553192308</v>
      </c>
      <c r="AB580" s="126">
        <f t="shared" si="100"/>
        <v>1.660937430845574</v>
      </c>
    </row>
    <row r="581" spans="1:28">
      <c r="A581">
        <v>580</v>
      </c>
      <c r="B581" s="119">
        <v>0.48834019204389573</v>
      </c>
      <c r="F581">
        <v>0.50556317634506931</v>
      </c>
      <c r="G581">
        <v>0.83889650967840257</v>
      </c>
      <c r="H581">
        <v>0.28334095412284716</v>
      </c>
      <c r="I581">
        <v>0.61667428745618047</v>
      </c>
      <c r="J581">
        <v>0.95000762078951373</v>
      </c>
      <c r="K581">
        <v>9.8155768937661939E-2</v>
      </c>
      <c r="L581">
        <v>0.4314891022709953</v>
      </c>
      <c r="M581">
        <v>0.76482243560432861</v>
      </c>
      <c r="N581">
        <v>0.20926688004877303</v>
      </c>
      <c r="O581">
        <v>0.54260021338210629</v>
      </c>
      <c r="R581">
        <v>2.5</v>
      </c>
      <c r="S581" s="126">
        <f t="shared" si="91"/>
        <v>2.4297294963045553</v>
      </c>
      <c r="T581" s="126">
        <f t="shared" si="92"/>
        <v>3.1994060338738057</v>
      </c>
      <c r="U581" s="126">
        <f t="shared" si="93"/>
        <v>2.2971838448425492</v>
      </c>
      <c r="V581" s="126">
        <f t="shared" si="94"/>
        <v>2.5610578743632639</v>
      </c>
      <c r="W581" s="126">
        <f t="shared" si="95"/>
        <v>3.8056513481166441</v>
      </c>
      <c r="X581" s="126">
        <f t="shared" si="96"/>
        <v>2.0086975774047762</v>
      </c>
      <c r="Y581" s="126">
        <f t="shared" si="97"/>
        <v>2.0289513233563023</v>
      </c>
      <c r="Z581" s="126">
        <f t="shared" si="98"/>
        <v>2.7769026118485947</v>
      </c>
      <c r="AA581" s="126">
        <f t="shared" si="99"/>
        <v>1.8901621832492483</v>
      </c>
      <c r="AB581" s="126">
        <f t="shared" si="100"/>
        <v>2.1999655396058913</v>
      </c>
    </row>
    <row r="582" spans="1:28">
      <c r="A582">
        <v>581</v>
      </c>
      <c r="B582" s="119">
        <v>0.82167352537722893</v>
      </c>
      <c r="F582">
        <v>0.87593354671543955</v>
      </c>
      <c r="G582">
        <v>0.32037799115988419</v>
      </c>
      <c r="H582">
        <v>0.65371132449321745</v>
      </c>
      <c r="I582">
        <v>0.98704465782655071</v>
      </c>
      <c r="J582">
        <v>3.6427373875933547E-2</v>
      </c>
      <c r="K582">
        <v>0.3697607072092669</v>
      </c>
      <c r="L582">
        <v>0.70309404054260016</v>
      </c>
      <c r="M582">
        <v>0.14753848498704464</v>
      </c>
      <c r="N582">
        <v>0.48087181832037801</v>
      </c>
      <c r="O582">
        <v>0.81420515165371121</v>
      </c>
      <c r="R582">
        <v>2.5</v>
      </c>
      <c r="S582" s="126">
        <f t="shared" si="91"/>
        <v>3.3707858844915064</v>
      </c>
      <c r="T582" s="126">
        <f t="shared" si="92"/>
        <v>2.4709980460442846</v>
      </c>
      <c r="U582" s="126">
        <f t="shared" si="93"/>
        <v>2.7297438449180769</v>
      </c>
      <c r="V582" s="126">
        <f t="shared" si="94"/>
        <v>4.3709781288320215</v>
      </c>
      <c r="W582" s="126">
        <f t="shared" si="95"/>
        <v>1.8791046577169972</v>
      </c>
      <c r="X582" s="126">
        <f t="shared" si="96"/>
        <v>1.8319300104307894</v>
      </c>
      <c r="Y582" s="126">
        <f t="shared" si="97"/>
        <v>2.5223379975788331</v>
      </c>
      <c r="Z582" s="126">
        <f t="shared" si="98"/>
        <v>1.56584848562182</v>
      </c>
      <c r="AA582" s="126">
        <f t="shared" si="99"/>
        <v>1.9091608396203059</v>
      </c>
      <c r="AB582" s="126">
        <f t="shared" si="100"/>
        <v>2.8582301319677068</v>
      </c>
    </row>
    <row r="583" spans="1:28">
      <c r="A583">
        <v>582</v>
      </c>
      <c r="B583" s="119">
        <v>0.26611796982167352</v>
      </c>
      <c r="F583">
        <v>0.2586495960981558</v>
      </c>
      <c r="G583">
        <v>0.59198292943148911</v>
      </c>
      <c r="H583">
        <v>0.92531626276482237</v>
      </c>
      <c r="I583">
        <v>7.3464410912970582E-2</v>
      </c>
      <c r="J583">
        <v>0.40679774424630394</v>
      </c>
      <c r="K583">
        <v>0.74013107757963725</v>
      </c>
      <c r="L583">
        <v>0.18457552202408167</v>
      </c>
      <c r="M583">
        <v>0.51790885535741504</v>
      </c>
      <c r="N583">
        <v>0.85124218869074819</v>
      </c>
      <c r="O583">
        <v>0.29568663313519283</v>
      </c>
      <c r="R583">
        <v>2.5</v>
      </c>
      <c r="S583" s="126">
        <f t="shared" si="91"/>
        <v>1.88415770864816</v>
      </c>
      <c r="T583" s="126">
        <f t="shared" si="92"/>
        <v>2.3005938227082661</v>
      </c>
      <c r="U583" s="126">
        <f t="shared" si="93"/>
        <v>3.5071771898474298</v>
      </c>
      <c r="V583" s="126">
        <f t="shared" si="94"/>
        <v>1.7280909544330774</v>
      </c>
      <c r="W583" s="126">
        <f t="shared" si="95"/>
        <v>1.8357862131556559</v>
      </c>
      <c r="X583" s="126">
        <f t="shared" si="96"/>
        <v>2.6153582301810312</v>
      </c>
      <c r="Y583" s="126">
        <f t="shared" si="97"/>
        <v>1.7354827017790004</v>
      </c>
      <c r="Z583" s="126">
        <f t="shared" si="98"/>
        <v>2.071019457881512</v>
      </c>
      <c r="AA583" s="126">
        <f t="shared" si="99"/>
        <v>3.0618785239299395</v>
      </c>
      <c r="AB583" s="126">
        <f t="shared" si="100"/>
        <v>2.257836136315666</v>
      </c>
    </row>
    <row r="584" spans="1:28">
      <c r="A584">
        <v>583</v>
      </c>
      <c r="B584" s="119">
        <v>0.59945130315500683</v>
      </c>
      <c r="F584">
        <v>0.62901996646852609</v>
      </c>
      <c r="G584">
        <v>0.96235329980185935</v>
      </c>
      <c r="H584">
        <v>0.11050144795000762</v>
      </c>
      <c r="I584">
        <v>0.44383478128334097</v>
      </c>
      <c r="J584">
        <v>0.77716811461667423</v>
      </c>
      <c r="K584">
        <v>0.22161255906111871</v>
      </c>
      <c r="L584">
        <v>0.55494589239445202</v>
      </c>
      <c r="M584">
        <v>0.88827922572778528</v>
      </c>
      <c r="N584">
        <v>0.33272367017222987</v>
      </c>
      <c r="O584">
        <v>0.66605700350556318</v>
      </c>
      <c r="R584">
        <v>2.5</v>
      </c>
      <c r="S584" s="126">
        <f t="shared" si="91"/>
        <v>2.6898001148564981</v>
      </c>
      <c r="T584" s="126">
        <f t="shared" si="92"/>
        <v>3.980670406995936</v>
      </c>
      <c r="U584" s="126">
        <f t="shared" si="93"/>
        <v>2.1529679597314102</v>
      </c>
      <c r="V584" s="126">
        <f t="shared" si="94"/>
        <v>2.1273031241939662</v>
      </c>
      <c r="W584" s="126">
        <f t="shared" si="95"/>
        <v>2.8599553054454332</v>
      </c>
      <c r="X584" s="126">
        <f t="shared" si="96"/>
        <v>1.9667185703984662</v>
      </c>
      <c r="Y584" s="126">
        <f t="shared" si="97"/>
        <v>2.2641605645699157</v>
      </c>
      <c r="Z584" s="126">
        <f t="shared" si="98"/>
        <v>3.3038288647997849</v>
      </c>
      <c r="AA584" s="126">
        <f t="shared" si="99"/>
        <v>2.4655844735573673</v>
      </c>
      <c r="AB584" s="126">
        <f t="shared" si="100"/>
        <v>2.7548115942506022</v>
      </c>
    </row>
    <row r="585" spans="1:28">
      <c r="A585">
        <v>584</v>
      </c>
      <c r="B585" s="119">
        <v>0.93278463648834009</v>
      </c>
      <c r="F585">
        <v>0.99939033683889644</v>
      </c>
      <c r="G585">
        <v>1.2193263222069807E-3</v>
      </c>
      <c r="H585">
        <v>0.33455265965554026</v>
      </c>
      <c r="I585">
        <v>0.66788599298887363</v>
      </c>
      <c r="J585">
        <v>0.11233043743331809</v>
      </c>
      <c r="K585">
        <v>0.44566377076665137</v>
      </c>
      <c r="L585">
        <v>0.77899710409998468</v>
      </c>
      <c r="M585">
        <v>0.22344154854442919</v>
      </c>
      <c r="N585">
        <v>0.55677488187776258</v>
      </c>
      <c r="O585">
        <v>0.89010821521109584</v>
      </c>
      <c r="R585">
        <v>2.5</v>
      </c>
      <c r="S585" s="126">
        <f t="shared" si="91"/>
        <v>5.0858948102033672</v>
      </c>
      <c r="T585" s="126">
        <f t="shared" si="92"/>
        <v>1.2180519672742811</v>
      </c>
      <c r="U585" s="126">
        <f t="shared" si="93"/>
        <v>1.4214204460352868</v>
      </c>
      <c r="V585" s="126">
        <f t="shared" si="94"/>
        <v>2.2341651916566878</v>
      </c>
      <c r="W585" s="126">
        <f t="shared" si="95"/>
        <v>1.2831240511897395</v>
      </c>
      <c r="X585" s="126">
        <f t="shared" si="96"/>
        <v>1.6939376291984032</v>
      </c>
      <c r="Y585" s="126">
        <f t="shared" si="97"/>
        <v>2.6472154246110056</v>
      </c>
      <c r="Z585" s="126">
        <f t="shared" si="98"/>
        <v>1.8648571927272057</v>
      </c>
      <c r="AA585" s="126">
        <f t="shared" si="99"/>
        <v>2.2167839128519757</v>
      </c>
      <c r="AB585" s="126">
        <f t="shared" si="100"/>
        <v>3.2879982712967344</v>
      </c>
    </row>
    <row r="586" spans="1:28">
      <c r="A586">
        <v>585</v>
      </c>
      <c r="B586" s="119">
        <v>8.0932784636488328E-2</v>
      </c>
      <c r="F586">
        <v>3.8256363359244011E-2</v>
      </c>
      <c r="G586">
        <v>0.3715896966925773</v>
      </c>
      <c r="H586">
        <v>0.70492303002591072</v>
      </c>
      <c r="I586">
        <v>0.14936747447035512</v>
      </c>
      <c r="J586">
        <v>0.4827008078036884</v>
      </c>
      <c r="K586">
        <v>0.81603414113702166</v>
      </c>
      <c r="L586">
        <v>0.26047858558146619</v>
      </c>
      <c r="M586">
        <v>0.59381191891479956</v>
      </c>
      <c r="N586">
        <v>0.92714525224813282</v>
      </c>
      <c r="O586">
        <v>7.529340039628106E-2</v>
      </c>
      <c r="R586">
        <v>2.5</v>
      </c>
      <c r="S586" s="126">
        <f t="shared" si="91"/>
        <v>0.95726862512209854</v>
      </c>
      <c r="T586" s="126">
        <f t="shared" si="92"/>
        <v>1.3726082915804496</v>
      </c>
      <c r="U586" s="126">
        <f t="shared" si="93"/>
        <v>2.2958483406009398</v>
      </c>
      <c r="V586" s="126">
        <f t="shared" si="94"/>
        <v>1.458529840678616</v>
      </c>
      <c r="W586" s="126">
        <f t="shared" si="95"/>
        <v>1.8590078131070977</v>
      </c>
      <c r="X586" s="126">
        <f t="shared" si="96"/>
        <v>2.8386770167963853</v>
      </c>
      <c r="Y586" s="126">
        <f t="shared" si="97"/>
        <v>2.059031595006807</v>
      </c>
      <c r="Z586" s="126">
        <f t="shared" si="98"/>
        <v>2.392372689748151</v>
      </c>
      <c r="AA586" s="126">
        <f t="shared" si="99"/>
        <v>3.5640980972308629</v>
      </c>
      <c r="AB586" s="126">
        <f t="shared" si="100"/>
        <v>1.767424596377132</v>
      </c>
    </row>
    <row r="587" spans="1:28">
      <c r="A587">
        <v>586</v>
      </c>
      <c r="B587" s="119">
        <v>0.41426611796982166</v>
      </c>
      <c r="F587">
        <v>0.40862673372961433</v>
      </c>
      <c r="G587">
        <v>0.7419600670629477</v>
      </c>
      <c r="H587">
        <v>0.18640451150739215</v>
      </c>
      <c r="I587">
        <v>0.51973784484072549</v>
      </c>
      <c r="J587">
        <v>0.85307117817405875</v>
      </c>
      <c r="K587">
        <v>0.29751562261850323</v>
      </c>
      <c r="L587">
        <v>0.63084895595183665</v>
      </c>
      <c r="M587">
        <v>0.96418228928516991</v>
      </c>
      <c r="N587">
        <v>1.356500533455266E-2</v>
      </c>
      <c r="O587">
        <v>0.34689833866788594</v>
      </c>
      <c r="R587">
        <v>2.5</v>
      </c>
      <c r="S587" s="126">
        <f t="shared" si="91"/>
        <v>2.2276335213973413</v>
      </c>
      <c r="T587" s="126">
        <f t="shared" si="92"/>
        <v>2.8169611654691402</v>
      </c>
      <c r="U587" s="126">
        <f t="shared" si="93"/>
        <v>1.8424505844095873</v>
      </c>
      <c r="V587" s="126">
        <f t="shared" si="94"/>
        <v>2.1285671090457998</v>
      </c>
      <c r="W587" s="126">
        <f t="shared" si="95"/>
        <v>3.0973349956373442</v>
      </c>
      <c r="X587" s="126">
        <f t="shared" si="96"/>
        <v>2.2800178807305618</v>
      </c>
      <c r="Y587" s="126">
        <f t="shared" si="97"/>
        <v>2.5832323060808333</v>
      </c>
      <c r="Z587" s="126">
        <f t="shared" si="98"/>
        <v>3.9458779411119442</v>
      </c>
      <c r="AA587" s="126">
        <f t="shared" si="99"/>
        <v>1.3224128845962753</v>
      </c>
      <c r="AB587" s="126">
        <f t="shared" si="100"/>
        <v>1.5016418454681082</v>
      </c>
    </row>
    <row r="588" spans="1:28">
      <c r="A588">
        <v>587</v>
      </c>
      <c r="B588" s="119">
        <v>0.74759945130315497</v>
      </c>
      <c r="F588">
        <v>0.68023167200121926</v>
      </c>
      <c r="G588">
        <v>0.12467611644566377</v>
      </c>
      <c r="H588">
        <v>0.45800944977899705</v>
      </c>
      <c r="I588">
        <v>0.79134278311233042</v>
      </c>
      <c r="J588">
        <v>0.23578722755677486</v>
      </c>
      <c r="K588">
        <v>0.56912056089010832</v>
      </c>
      <c r="L588">
        <v>0.90245389422344158</v>
      </c>
      <c r="M588">
        <v>5.0602042371589689E-2</v>
      </c>
      <c r="N588">
        <v>0.38393537570492298</v>
      </c>
      <c r="O588">
        <v>0.71726870903825646</v>
      </c>
      <c r="R588">
        <v>2.5</v>
      </c>
      <c r="S588" s="126">
        <f t="shared" si="91"/>
        <v>2.8045198227714145</v>
      </c>
      <c r="T588" s="126">
        <f t="shared" si="92"/>
        <v>1.621172042935366</v>
      </c>
      <c r="U588" s="126">
        <f t="shared" si="93"/>
        <v>1.8895535116007904</v>
      </c>
      <c r="V588" s="126">
        <f t="shared" si="94"/>
        <v>2.7804034268432982</v>
      </c>
      <c r="W588" s="126">
        <f t="shared" si="95"/>
        <v>1.965368456829321</v>
      </c>
      <c r="X588" s="126">
        <f t="shared" si="96"/>
        <v>2.2931486877701532</v>
      </c>
      <c r="Y588" s="126">
        <f t="shared" si="97"/>
        <v>3.3829253827513446</v>
      </c>
      <c r="Z588" s="126">
        <f t="shared" si="98"/>
        <v>1.5101021998586299</v>
      </c>
      <c r="AA588" s="126">
        <f t="shared" si="99"/>
        <v>1.6772558600300627</v>
      </c>
      <c r="AB588" s="126">
        <f t="shared" si="100"/>
        <v>2.4787673583413614</v>
      </c>
    </row>
    <row r="589" spans="1:28">
      <c r="A589">
        <v>588</v>
      </c>
      <c r="B589" s="119">
        <v>0.19204389574759945</v>
      </c>
      <c r="F589">
        <v>0.16171315348270079</v>
      </c>
      <c r="G589">
        <v>0.49504648681603408</v>
      </c>
      <c r="H589">
        <v>0.8283798201493674</v>
      </c>
      <c r="I589">
        <v>0.27282426459381187</v>
      </c>
      <c r="J589">
        <v>0.6061575979271453</v>
      </c>
      <c r="K589">
        <v>0.93949093126047856</v>
      </c>
      <c r="L589">
        <v>8.7639079408626738E-2</v>
      </c>
      <c r="M589">
        <v>0.42097241274196001</v>
      </c>
      <c r="N589">
        <v>0.75430574607529344</v>
      </c>
      <c r="O589">
        <v>0.19875019051973783</v>
      </c>
      <c r="R589">
        <v>2.5</v>
      </c>
      <c r="S589" s="126">
        <f t="shared" si="91"/>
        <v>1.6037857897459766</v>
      </c>
      <c r="T589" s="126">
        <f t="shared" si="92"/>
        <v>1.9575486897133745</v>
      </c>
      <c r="U589" s="126">
        <f t="shared" si="93"/>
        <v>2.9273221446085502</v>
      </c>
      <c r="V589" s="126">
        <f t="shared" si="94"/>
        <v>2.1345782737048506</v>
      </c>
      <c r="W589" s="126">
        <f t="shared" si="95"/>
        <v>2.4567001571330946</v>
      </c>
      <c r="X589" s="126">
        <f t="shared" si="96"/>
        <v>3.6753290870519324</v>
      </c>
      <c r="Y589" s="126">
        <f t="shared" si="97"/>
        <v>1.8909828598198217</v>
      </c>
      <c r="Z589" s="126">
        <f t="shared" si="98"/>
        <v>1.947664995986542</v>
      </c>
      <c r="AA589" s="126">
        <f t="shared" si="99"/>
        <v>2.7081704532513173</v>
      </c>
      <c r="AB589" s="126">
        <f t="shared" si="100"/>
        <v>1.8249956871532644</v>
      </c>
    </row>
    <row r="590" spans="1:28">
      <c r="A590">
        <v>589</v>
      </c>
      <c r="B590" s="119">
        <v>0.52537722908093276</v>
      </c>
      <c r="F590">
        <v>0.53208352385307112</v>
      </c>
      <c r="G590">
        <v>0.86541685718640438</v>
      </c>
      <c r="H590">
        <v>0.30986130163084891</v>
      </c>
      <c r="I590">
        <v>0.64319463496418228</v>
      </c>
      <c r="J590">
        <v>0.97652796829751554</v>
      </c>
      <c r="K590">
        <v>2.5910684346898336E-2</v>
      </c>
      <c r="L590">
        <v>0.35924401768023162</v>
      </c>
      <c r="M590">
        <v>0.69257735101356499</v>
      </c>
      <c r="N590">
        <v>0.13702179545800944</v>
      </c>
      <c r="O590">
        <v>0.47035512879134272</v>
      </c>
      <c r="R590">
        <v>2.5</v>
      </c>
      <c r="S590" s="126">
        <f t="shared" si="91"/>
        <v>2.4846307303577091</v>
      </c>
      <c r="T590" s="126">
        <f t="shared" si="92"/>
        <v>3.3218940984629817</v>
      </c>
      <c r="U590" s="126">
        <f t="shared" si="93"/>
        <v>2.4220097512771561</v>
      </c>
      <c r="V590" s="126">
        <f t="shared" si="94"/>
        <v>2.6817403053707825</v>
      </c>
      <c r="W590" s="126">
        <f t="shared" si="95"/>
        <v>4.1482864866089653</v>
      </c>
      <c r="X590" s="126">
        <f t="shared" si="96"/>
        <v>1.6427380233230049</v>
      </c>
      <c r="Y590" s="126">
        <f t="shared" si="97"/>
        <v>1.69004347342172</v>
      </c>
      <c r="Z590" s="126">
        <f t="shared" si="98"/>
        <v>2.4261572687228754</v>
      </c>
      <c r="AA590" s="126">
        <f t="shared" si="99"/>
        <v>1.4789495105883841</v>
      </c>
      <c r="AB590" s="126">
        <f t="shared" si="100"/>
        <v>1.8437011570017707</v>
      </c>
    </row>
    <row r="591" spans="1:28">
      <c r="A591">
        <v>590</v>
      </c>
      <c r="B591" s="119">
        <v>0.85871056241426602</v>
      </c>
      <c r="F591">
        <v>0.80368846212467604</v>
      </c>
      <c r="G591">
        <v>0.24813290656912054</v>
      </c>
      <c r="H591">
        <v>0.58146623990245394</v>
      </c>
      <c r="I591">
        <v>0.9147995732357872</v>
      </c>
      <c r="J591">
        <v>6.2947721383935382E-2</v>
      </c>
      <c r="K591">
        <v>0.39628105471726865</v>
      </c>
      <c r="L591">
        <v>0.72961438805060208</v>
      </c>
      <c r="M591">
        <v>0.17405883249504647</v>
      </c>
      <c r="N591">
        <v>0.50739216582837987</v>
      </c>
      <c r="O591">
        <v>0.84072549916171302</v>
      </c>
      <c r="R591">
        <v>2.5</v>
      </c>
      <c r="S591" s="126">
        <f t="shared" si="91"/>
        <v>3.1233242825113914</v>
      </c>
      <c r="T591" s="126">
        <f t="shared" si="92"/>
        <v>2.170335317373985</v>
      </c>
      <c r="U591" s="126">
        <f t="shared" si="93"/>
        <v>2.42215470938693</v>
      </c>
      <c r="V591" s="126">
        <f t="shared" si="94"/>
        <v>3.5098346796086695</v>
      </c>
      <c r="W591" s="126">
        <f t="shared" si="95"/>
        <v>1.6634220509636544</v>
      </c>
      <c r="X591" s="126">
        <f t="shared" si="96"/>
        <v>1.7808533015011156</v>
      </c>
      <c r="Y591" s="126">
        <f t="shared" si="97"/>
        <v>2.5612708931293704</v>
      </c>
      <c r="Z591" s="126">
        <f t="shared" si="98"/>
        <v>1.6751563464740626</v>
      </c>
      <c r="AA591" s="126">
        <f t="shared" si="99"/>
        <v>2.0189449533037376</v>
      </c>
      <c r="AB591" s="126">
        <f t="shared" si="100"/>
        <v>2.9991410550354005</v>
      </c>
    </row>
    <row r="592" spans="1:28">
      <c r="A592">
        <v>591</v>
      </c>
      <c r="B592" s="119">
        <v>0.30315500685871055</v>
      </c>
      <c r="F592">
        <v>0.28516994360615755</v>
      </c>
      <c r="G592">
        <v>0.61850327693949092</v>
      </c>
      <c r="H592">
        <v>0.95183661027282418</v>
      </c>
      <c r="I592">
        <v>9.9984758420972417E-2</v>
      </c>
      <c r="J592">
        <v>0.43331809175430569</v>
      </c>
      <c r="K592">
        <v>0.76665142508763906</v>
      </c>
      <c r="L592">
        <v>0.21109586953208351</v>
      </c>
      <c r="M592">
        <v>0.54442920286541685</v>
      </c>
      <c r="N592">
        <v>0.87776253619875011</v>
      </c>
      <c r="O592">
        <v>0.32220698064319458</v>
      </c>
      <c r="R592">
        <v>2.5</v>
      </c>
      <c r="S592" s="126">
        <f t="shared" si="91"/>
        <v>1.9501113752177703</v>
      </c>
      <c r="T592" s="126">
        <f t="shared" si="92"/>
        <v>2.3905736774406439</v>
      </c>
      <c r="U592" s="126">
        <f t="shared" si="93"/>
        <v>3.7348130702817257</v>
      </c>
      <c r="V592" s="126">
        <f t="shared" si="94"/>
        <v>1.9817491221157999</v>
      </c>
      <c r="W592" s="126">
        <f t="shared" si="95"/>
        <v>2.0192436147871597</v>
      </c>
      <c r="X592" s="126">
        <f t="shared" si="96"/>
        <v>2.77694109376126</v>
      </c>
      <c r="Y592" s="126">
        <f t="shared" si="97"/>
        <v>1.8954132547022482</v>
      </c>
      <c r="Z592" s="126">
        <f t="shared" si="98"/>
        <v>2.2064087584825751</v>
      </c>
      <c r="AA592" s="126">
        <f t="shared" si="99"/>
        <v>3.2306320624884508</v>
      </c>
      <c r="AB592" s="126">
        <f t="shared" si="100"/>
        <v>2.4047680630305042</v>
      </c>
    </row>
    <row r="593" spans="1:28">
      <c r="A593">
        <v>592</v>
      </c>
      <c r="B593" s="119">
        <v>0.63648834019204392</v>
      </c>
      <c r="F593">
        <v>0.65554031397652801</v>
      </c>
      <c r="G593">
        <v>0.98887364730986127</v>
      </c>
      <c r="H593">
        <v>5.3345526596555405E-3</v>
      </c>
      <c r="I593">
        <v>0.3386678859929888</v>
      </c>
      <c r="J593">
        <v>0.67200121932632217</v>
      </c>
      <c r="K593">
        <v>0.11644566377076665</v>
      </c>
      <c r="L593">
        <v>0.44977899710409991</v>
      </c>
      <c r="M593">
        <v>0.78311233043743322</v>
      </c>
      <c r="N593">
        <v>0.22755677488187775</v>
      </c>
      <c r="O593">
        <v>0.56089010821521113</v>
      </c>
      <c r="R593">
        <v>2.5</v>
      </c>
      <c r="S593" s="126">
        <f t="shared" si="91"/>
        <v>2.7484130189238134</v>
      </c>
      <c r="T593" s="126">
        <f t="shared" si="92"/>
        <v>4.4285945216129887</v>
      </c>
      <c r="U593" s="126">
        <f t="shared" si="93"/>
        <v>1.2815328160657735</v>
      </c>
      <c r="V593" s="126">
        <f t="shared" si="94"/>
        <v>1.462625360797184</v>
      </c>
      <c r="W593" s="126">
        <f t="shared" si="95"/>
        <v>2.2642467093707896</v>
      </c>
      <c r="X593" s="126">
        <f t="shared" si="96"/>
        <v>1.3157976712576249</v>
      </c>
      <c r="Y593" s="126">
        <f t="shared" si="97"/>
        <v>1.718941316503017</v>
      </c>
      <c r="Z593" s="126">
        <f t="shared" si="98"/>
        <v>2.671277572956519</v>
      </c>
      <c r="AA593" s="126">
        <f t="shared" si="99"/>
        <v>1.8882542510618077</v>
      </c>
      <c r="AB593" s="126">
        <f t="shared" si="100"/>
        <v>2.2371451150082167</v>
      </c>
    </row>
    <row r="594" spans="1:28">
      <c r="A594">
        <v>593</v>
      </c>
      <c r="B594" s="119">
        <v>0.96982167352537718</v>
      </c>
      <c r="F594">
        <v>0.89422344154854438</v>
      </c>
      <c r="G594">
        <v>4.2371589696692573E-2</v>
      </c>
      <c r="H594">
        <v>0.37570492303002584</v>
      </c>
      <c r="I594">
        <v>0.70903825636335926</v>
      </c>
      <c r="J594">
        <v>0.15348270080780368</v>
      </c>
      <c r="K594">
        <v>0.48681603414113694</v>
      </c>
      <c r="L594">
        <v>0.8201493674744702</v>
      </c>
      <c r="M594">
        <v>0.26459381191891473</v>
      </c>
      <c r="N594">
        <v>0.5979271452522481</v>
      </c>
      <c r="O594">
        <v>0.93126047858558136</v>
      </c>
      <c r="R594">
        <v>2.5</v>
      </c>
      <c r="S594" s="126">
        <f t="shared" si="91"/>
        <v>3.4486551581450717</v>
      </c>
      <c r="T594" s="126">
        <f t="shared" si="92"/>
        <v>1.4732277417479902</v>
      </c>
      <c r="U594" s="126">
        <f t="shared" si="93"/>
        <v>1.6408908037279688</v>
      </c>
      <c r="V594" s="126">
        <f t="shared" si="94"/>
        <v>2.4405552984005192</v>
      </c>
      <c r="W594" s="126">
        <f t="shared" si="95"/>
        <v>1.5457263938591312</v>
      </c>
      <c r="X594" s="126">
        <f t="shared" si="96"/>
        <v>1.9113471478884581</v>
      </c>
      <c r="Y594" s="126">
        <f t="shared" si="97"/>
        <v>2.8778332690276054</v>
      </c>
      <c r="Z594" s="126">
        <f t="shared" si="98"/>
        <v>2.0891238436745856</v>
      </c>
      <c r="AA594" s="126">
        <f t="shared" si="99"/>
        <v>2.4162594349929254</v>
      </c>
      <c r="AB594" s="126">
        <f t="shared" si="100"/>
        <v>3.6011691736459541</v>
      </c>
    </row>
    <row r="595" spans="1:28">
      <c r="A595">
        <v>594</v>
      </c>
      <c r="B595" s="119">
        <v>1.9204389574759947E-2</v>
      </c>
      <c r="F595">
        <v>7.9408626733729615E-2</v>
      </c>
      <c r="G595">
        <v>0.41274196006706287</v>
      </c>
      <c r="H595">
        <v>0.74607529340039624</v>
      </c>
      <c r="I595">
        <v>0.19051973784484072</v>
      </c>
      <c r="J595">
        <v>0.52385307117817403</v>
      </c>
      <c r="K595">
        <v>0.85718640451150729</v>
      </c>
      <c r="L595">
        <v>0.30163084895595177</v>
      </c>
      <c r="M595">
        <v>0.6349641822892852</v>
      </c>
      <c r="N595">
        <v>0.96829751562261845</v>
      </c>
      <c r="O595">
        <v>1.768023167200122E-2</v>
      </c>
      <c r="R595">
        <v>2.5</v>
      </c>
      <c r="S595" s="126">
        <f t="shared" si="91"/>
        <v>1.2560342671470299</v>
      </c>
      <c r="T595" s="126">
        <f t="shared" si="92"/>
        <v>1.6111441375104387</v>
      </c>
      <c r="U595" s="126">
        <f t="shared" si="93"/>
        <v>2.5176628585654619</v>
      </c>
      <c r="V595" s="126">
        <f t="shared" si="94"/>
        <v>1.7045943178532021</v>
      </c>
      <c r="W595" s="126">
        <f t="shared" si="95"/>
        <v>2.0678014017758235</v>
      </c>
      <c r="X595" s="126">
        <f t="shared" si="96"/>
        <v>3.0816957876341382</v>
      </c>
      <c r="Y595" s="126">
        <f t="shared" si="97"/>
        <v>2.2819261806511459</v>
      </c>
      <c r="Z595" s="126">
        <f t="shared" si="98"/>
        <v>2.5932044819123825</v>
      </c>
      <c r="AA595" s="126">
        <f t="shared" si="99"/>
        <v>3.9961820684812617</v>
      </c>
      <c r="AB595" s="126">
        <f t="shared" si="100"/>
        <v>1.4346592681446753</v>
      </c>
    </row>
    <row r="596" spans="1:28">
      <c r="A596">
        <v>595</v>
      </c>
      <c r="B596" s="119">
        <v>0.35253772290809327</v>
      </c>
      <c r="F596">
        <v>0.35101356500533448</v>
      </c>
      <c r="G596">
        <v>0.6843468983386678</v>
      </c>
      <c r="H596">
        <v>0.12879134278311233</v>
      </c>
      <c r="I596">
        <v>0.46212467611644559</v>
      </c>
      <c r="J596">
        <v>0.79545800944977896</v>
      </c>
      <c r="K596">
        <v>0.23990245389422343</v>
      </c>
      <c r="L596">
        <v>0.57323578722755686</v>
      </c>
      <c r="M596">
        <v>0.90656912056089012</v>
      </c>
      <c r="N596">
        <v>5.4717268709038251E-2</v>
      </c>
      <c r="O596">
        <v>0.38805060204237152</v>
      </c>
      <c r="R596">
        <v>2.5</v>
      </c>
      <c r="S596" s="126">
        <f t="shared" si="91"/>
        <v>2.1026709273029458</v>
      </c>
      <c r="T596" s="126">
        <f t="shared" si="92"/>
        <v>2.614342434488075</v>
      </c>
      <c r="U596" s="126">
        <f t="shared" si="93"/>
        <v>1.5419208169077911</v>
      </c>
      <c r="V596" s="126">
        <f t="shared" si="94"/>
        <v>1.8582728528209516</v>
      </c>
      <c r="W596" s="126">
        <f t="shared" si="95"/>
        <v>2.7765733010572125</v>
      </c>
      <c r="X596" s="126">
        <f t="shared" si="96"/>
        <v>1.9744159920132622</v>
      </c>
      <c r="Y596" s="126">
        <f t="shared" si="97"/>
        <v>2.3063420975375406</v>
      </c>
      <c r="Z596" s="126">
        <f t="shared" si="98"/>
        <v>3.4095649212193821</v>
      </c>
      <c r="AA596" s="126">
        <f t="shared" si="99"/>
        <v>1.5550844907105184</v>
      </c>
      <c r="AB596" s="126">
        <f t="shared" si="100"/>
        <v>1.7087369272898334</v>
      </c>
    </row>
    <row r="597" spans="1:28">
      <c r="A597">
        <v>596</v>
      </c>
      <c r="B597" s="119">
        <v>0.68587105624142652</v>
      </c>
      <c r="F597">
        <v>0.721383935375705</v>
      </c>
      <c r="G597">
        <v>0.16582837982014936</v>
      </c>
      <c r="H597">
        <v>0.49916171315348262</v>
      </c>
      <c r="I597">
        <v>0.83249504648681594</v>
      </c>
      <c r="J597">
        <v>0.27693949093126041</v>
      </c>
      <c r="K597">
        <v>0.61027282426459384</v>
      </c>
      <c r="L597">
        <v>0.9436061575979271</v>
      </c>
      <c r="M597">
        <v>9.1754305746075293E-2</v>
      </c>
      <c r="N597">
        <v>0.42508763907940855</v>
      </c>
      <c r="O597">
        <v>0.75842097241274198</v>
      </c>
      <c r="R597">
        <v>2.5</v>
      </c>
      <c r="S597" s="126">
        <f t="shared" si="91"/>
        <v>2.9023501349565919</v>
      </c>
      <c r="T597" s="126">
        <f t="shared" si="92"/>
        <v>1.8197474780452003</v>
      </c>
      <c r="U597" s="126">
        <f t="shared" si="93"/>
        <v>2.0745993907976432</v>
      </c>
      <c r="V597" s="126">
        <f t="shared" si="94"/>
        <v>2.9995875518824433</v>
      </c>
      <c r="W597" s="126">
        <f t="shared" si="95"/>
        <v>2.181073515850501</v>
      </c>
      <c r="X597" s="126">
        <f t="shared" si="96"/>
        <v>2.4889038804980017</v>
      </c>
      <c r="Y597" s="126">
        <f t="shared" si="97"/>
        <v>3.7206074692960254</v>
      </c>
      <c r="Z597" s="126">
        <f t="shared" si="98"/>
        <v>1.9346965717837132</v>
      </c>
      <c r="AA597" s="126">
        <f t="shared" si="99"/>
        <v>1.9783055153567846</v>
      </c>
      <c r="AB597" s="126">
        <f t="shared" si="100"/>
        <v>2.7344001933898912</v>
      </c>
    </row>
    <row r="598" spans="1:28">
      <c r="A598">
        <v>597</v>
      </c>
      <c r="B598" s="119">
        <v>0.13031550068587106</v>
      </c>
      <c r="F598">
        <v>0.2028654168571864</v>
      </c>
      <c r="G598">
        <v>0.53619875019051966</v>
      </c>
      <c r="H598">
        <v>0.86953208352385292</v>
      </c>
      <c r="I598">
        <v>0.31397652796829745</v>
      </c>
      <c r="J598">
        <v>0.64730986130163082</v>
      </c>
      <c r="K598">
        <v>0.98064319463496408</v>
      </c>
      <c r="L598">
        <v>3.0025910684346898E-2</v>
      </c>
      <c r="M598">
        <v>0.36335924401768016</v>
      </c>
      <c r="N598">
        <v>0.69669257735101353</v>
      </c>
      <c r="O598">
        <v>0.14113702179545801</v>
      </c>
      <c r="R598">
        <v>2.5</v>
      </c>
      <c r="S598" s="126">
        <f t="shared" si="91"/>
        <v>1.7324640875619184</v>
      </c>
      <c r="T598" s="126">
        <f t="shared" si="92"/>
        <v>2.107406603561385</v>
      </c>
      <c r="U598" s="126">
        <f t="shared" si="93"/>
        <v>3.1481352950819268</v>
      </c>
      <c r="V598" s="126">
        <f t="shared" si="94"/>
        <v>2.3442739544485454</v>
      </c>
      <c r="W598" s="126">
        <f t="shared" si="95"/>
        <v>2.6517897960905343</v>
      </c>
      <c r="X598" s="126">
        <f t="shared" si="96"/>
        <v>4.1995584514119839</v>
      </c>
      <c r="Y598" s="126">
        <f t="shared" si="97"/>
        <v>1.7214609248493655</v>
      </c>
      <c r="Z598" s="126">
        <f t="shared" si="98"/>
        <v>1.7386710645113301</v>
      </c>
      <c r="AA598" s="126">
        <f t="shared" si="99"/>
        <v>2.4602825447691776</v>
      </c>
      <c r="AB598" s="126">
        <f t="shared" si="100"/>
        <v>1.5114199377695048</v>
      </c>
    </row>
    <row r="599" spans="1:28">
      <c r="A599">
        <v>598</v>
      </c>
      <c r="B599" s="119">
        <v>0.46364883401920437</v>
      </c>
      <c r="F599">
        <v>0.47447035512879127</v>
      </c>
      <c r="G599">
        <v>0.80780368846212458</v>
      </c>
      <c r="H599">
        <v>0.25224813290656906</v>
      </c>
      <c r="I599">
        <v>0.58558146623990248</v>
      </c>
      <c r="J599">
        <v>0.91891479957323574</v>
      </c>
      <c r="K599">
        <v>6.7062947721383936E-2</v>
      </c>
      <c r="L599">
        <v>0.4003962810547172</v>
      </c>
      <c r="M599">
        <v>0.73372961438805062</v>
      </c>
      <c r="N599">
        <v>0.17817405883249504</v>
      </c>
      <c r="O599">
        <v>0.51150739216582841</v>
      </c>
      <c r="R599">
        <v>2.5</v>
      </c>
      <c r="S599" s="126">
        <f t="shared" si="91"/>
        <v>2.3654096651621854</v>
      </c>
      <c r="T599" s="126">
        <f t="shared" si="92"/>
        <v>3.0680191646266941</v>
      </c>
      <c r="U599" s="126">
        <f t="shared" si="93"/>
        <v>2.1532160029288385</v>
      </c>
      <c r="V599" s="126">
        <f t="shared" si="94"/>
        <v>2.4222500457655736</v>
      </c>
      <c r="W599" s="126">
        <f t="shared" si="95"/>
        <v>3.5320632589671614</v>
      </c>
      <c r="X599" s="126">
        <f t="shared" si="96"/>
        <v>1.7013686842935738</v>
      </c>
      <c r="Y599" s="126">
        <f t="shared" si="97"/>
        <v>1.8087205579820882</v>
      </c>
      <c r="Z599" s="126">
        <f t="shared" si="98"/>
        <v>2.5855746278158374</v>
      </c>
      <c r="AA599" s="126">
        <f t="shared" si="99"/>
        <v>1.7004862522532462</v>
      </c>
      <c r="AB599" s="126">
        <f t="shared" si="100"/>
        <v>2.0401862840317335</v>
      </c>
    </row>
    <row r="600" spans="1:28">
      <c r="A600">
        <v>599</v>
      </c>
      <c r="B600" s="119">
        <v>0.79698216735253768</v>
      </c>
      <c r="F600">
        <v>0.84484072549916156</v>
      </c>
      <c r="G600">
        <v>0.28928516994360609</v>
      </c>
      <c r="H600">
        <v>0.62261850327693946</v>
      </c>
      <c r="I600">
        <v>0.95595183661027272</v>
      </c>
      <c r="J600">
        <v>0.10409998475842097</v>
      </c>
      <c r="K600">
        <v>0.43743331809175423</v>
      </c>
      <c r="L600">
        <v>0.7707666514250876</v>
      </c>
      <c r="M600">
        <v>0.21521109586953208</v>
      </c>
      <c r="N600">
        <v>0.54854442920286539</v>
      </c>
      <c r="O600">
        <v>0.88187776253619865</v>
      </c>
      <c r="R600">
        <v>2.5</v>
      </c>
      <c r="S600" s="126">
        <f t="shared" si="91"/>
        <v>3.2550314532648263</v>
      </c>
      <c r="T600" s="126">
        <f t="shared" si="92"/>
        <v>2.33955111310991</v>
      </c>
      <c r="U600" s="126">
        <f t="shared" si="93"/>
        <v>2.5952246475618965</v>
      </c>
      <c r="V600" s="126">
        <f t="shared" si="94"/>
        <v>3.8728053725683607</v>
      </c>
      <c r="W600" s="126">
        <f t="shared" si="95"/>
        <v>2.0701634765071706</v>
      </c>
      <c r="X600" s="126">
        <f t="shared" si="96"/>
        <v>2.0723021697061847</v>
      </c>
      <c r="Y600" s="126">
        <f t="shared" si="97"/>
        <v>2.8147517957497241</v>
      </c>
      <c r="Z600" s="126">
        <f t="shared" si="98"/>
        <v>1.9260921330374374</v>
      </c>
      <c r="AA600" s="126">
        <f t="shared" si="99"/>
        <v>2.2303943201778074</v>
      </c>
      <c r="AB600" s="126">
        <f t="shared" si="100"/>
        <v>3.2596381864093225</v>
      </c>
    </row>
    <row r="601" spans="1:28">
      <c r="A601">
        <v>600</v>
      </c>
      <c r="B601" s="119">
        <v>0.24142661179698216</v>
      </c>
      <c r="F601">
        <v>0.32632220698064313</v>
      </c>
      <c r="G601">
        <v>0.65965554031397655</v>
      </c>
      <c r="H601">
        <v>0.99298887364730981</v>
      </c>
      <c r="I601">
        <v>9.4497789971041014E-3</v>
      </c>
      <c r="J601">
        <v>0.3427831123304374</v>
      </c>
      <c r="K601">
        <v>0.67611644566377072</v>
      </c>
      <c r="L601">
        <v>0.12056089010821522</v>
      </c>
      <c r="M601">
        <v>0.45389422344154851</v>
      </c>
      <c r="N601">
        <v>0.78722755677488176</v>
      </c>
      <c r="O601">
        <v>0.2316720012193263</v>
      </c>
      <c r="R601">
        <v>2.5</v>
      </c>
      <c r="S601" s="126">
        <f t="shared" si="91"/>
        <v>2.0469919118433242</v>
      </c>
      <c r="T601" s="126">
        <f t="shared" si="92"/>
        <v>2.529969925754803</v>
      </c>
      <c r="U601" s="126">
        <f t="shared" si="93"/>
        <v>4.4595705676245769</v>
      </c>
      <c r="V601" s="126">
        <f t="shared" si="94"/>
        <v>1.4668844834981485</v>
      </c>
      <c r="W601" s="126">
        <f t="shared" si="95"/>
        <v>1.5650391233971817</v>
      </c>
      <c r="X601" s="126">
        <f t="shared" si="96"/>
        <v>2.3251394725520322</v>
      </c>
      <c r="Y601" s="126">
        <f t="shared" si="97"/>
        <v>1.3635222773213027</v>
      </c>
      <c r="Z601" s="126">
        <f t="shared" si="98"/>
        <v>1.75149837321808</v>
      </c>
      <c r="AA601" s="126">
        <f t="shared" si="99"/>
        <v>2.6992628400656864</v>
      </c>
      <c r="AB601" s="126">
        <f t="shared" si="100"/>
        <v>1.9135085322177585</v>
      </c>
    </row>
    <row r="602" spans="1:28">
      <c r="A602">
        <v>601</v>
      </c>
      <c r="B602" s="119">
        <v>0.57475994513031559</v>
      </c>
      <c r="F602">
        <v>0.56500533455265967</v>
      </c>
      <c r="G602">
        <v>0.89833866788599293</v>
      </c>
      <c r="H602">
        <v>4.6486816034141135E-2</v>
      </c>
      <c r="I602">
        <v>0.37982014936747444</v>
      </c>
      <c r="J602">
        <v>0.71315348270080781</v>
      </c>
      <c r="K602">
        <v>0.15759792714525223</v>
      </c>
      <c r="L602">
        <v>0.49093126047858554</v>
      </c>
      <c r="M602">
        <v>0.82426459381191874</v>
      </c>
      <c r="N602">
        <v>0.26870903825636333</v>
      </c>
      <c r="O602">
        <v>0.60204237158969665</v>
      </c>
      <c r="R602">
        <v>2.5</v>
      </c>
      <c r="S602" s="126">
        <f t="shared" si="91"/>
        <v>2.5532241371635944</v>
      </c>
      <c r="T602" s="126">
        <f t="shared" si="92"/>
        <v>3.4942406280820162</v>
      </c>
      <c r="U602" s="126">
        <f t="shared" si="93"/>
        <v>1.5323379432025888</v>
      </c>
      <c r="V602" s="126">
        <f t="shared" si="94"/>
        <v>1.6795303121718779</v>
      </c>
      <c r="W602" s="126">
        <f t="shared" si="95"/>
        <v>2.4699091205744952</v>
      </c>
      <c r="X602" s="126">
        <f t="shared" si="96"/>
        <v>1.5746917698296159</v>
      </c>
      <c r="Y602" s="126">
        <f t="shared" si="97"/>
        <v>1.9344165887638098</v>
      </c>
      <c r="Z602" s="126">
        <f t="shared" si="98"/>
        <v>2.9024645239574043</v>
      </c>
      <c r="AA602" s="126">
        <f t="shared" si="99"/>
        <v>2.1118337652126495</v>
      </c>
      <c r="AB602" s="126">
        <f t="shared" si="100"/>
        <v>2.436458968835653</v>
      </c>
    </row>
    <row r="603" spans="1:28">
      <c r="A603">
        <v>602</v>
      </c>
      <c r="B603" s="119">
        <v>0.90809327846364885</v>
      </c>
      <c r="F603">
        <v>0.9353757049230299</v>
      </c>
      <c r="G603">
        <v>8.3523853071178183E-2</v>
      </c>
      <c r="H603">
        <v>0.41685718640451147</v>
      </c>
      <c r="I603">
        <v>0.75019051973784479</v>
      </c>
      <c r="J603">
        <v>0.19463496418228926</v>
      </c>
      <c r="K603">
        <v>0.52796829751562258</v>
      </c>
      <c r="L603">
        <v>0.86130163084895583</v>
      </c>
      <c r="M603">
        <v>0.30574607529340037</v>
      </c>
      <c r="N603">
        <v>0.63907940862673374</v>
      </c>
      <c r="O603">
        <v>0.972412741960067</v>
      </c>
      <c r="R603">
        <v>2.5</v>
      </c>
      <c r="S603" s="126">
        <f t="shared" si="91"/>
        <v>3.6695081529203759</v>
      </c>
      <c r="T603" s="126">
        <f t="shared" si="92"/>
        <v>1.8663527698124232</v>
      </c>
      <c r="U603" s="126">
        <f t="shared" si="93"/>
        <v>1.9265976932073423</v>
      </c>
      <c r="V603" s="126">
        <f t="shared" si="94"/>
        <v>2.6868491871261955</v>
      </c>
      <c r="W603" s="126">
        <f t="shared" si="95"/>
        <v>1.8020327904276243</v>
      </c>
      <c r="X603" s="126">
        <f t="shared" si="96"/>
        <v>2.1253001001523937</v>
      </c>
      <c r="Y603" s="126">
        <f t="shared" si="97"/>
        <v>3.12578943021495</v>
      </c>
      <c r="Z603" s="126">
        <f t="shared" si="98"/>
        <v>2.3137964485708284</v>
      </c>
      <c r="AA603" s="126">
        <f t="shared" si="99"/>
        <v>2.6182696548902276</v>
      </c>
      <c r="AB603" s="126">
        <f t="shared" si="100"/>
        <v>4.0592232804912554</v>
      </c>
    </row>
    <row r="604" spans="1:28">
      <c r="A604">
        <v>603</v>
      </c>
      <c r="B604" s="119">
        <v>5.6241426611796978E-2</v>
      </c>
      <c r="F604">
        <v>2.1795458009449778E-2</v>
      </c>
      <c r="G604">
        <v>0.35512879134278308</v>
      </c>
      <c r="H604">
        <v>0.68846212467611634</v>
      </c>
      <c r="I604">
        <v>0.13290656912056087</v>
      </c>
      <c r="J604">
        <v>0.46623990245389418</v>
      </c>
      <c r="K604">
        <v>0.7995732357872275</v>
      </c>
      <c r="L604">
        <v>0.24401768023167197</v>
      </c>
      <c r="M604">
        <v>0.5773510135650054</v>
      </c>
      <c r="N604">
        <v>0.91068434689833866</v>
      </c>
      <c r="O604">
        <v>5.8832495046486813E-2</v>
      </c>
      <c r="R604">
        <v>2.5</v>
      </c>
      <c r="S604" s="126">
        <f t="shared" si="91"/>
        <v>0.75377830530213363</v>
      </c>
      <c r="T604" s="126">
        <f t="shared" si="92"/>
        <v>1.2341548281863779</v>
      </c>
      <c r="U604" s="126">
        <f t="shared" si="93"/>
        <v>2.187399475649288</v>
      </c>
      <c r="V604" s="126">
        <f t="shared" si="94"/>
        <v>1.343313077505119</v>
      </c>
      <c r="W604" s="126">
        <f t="shared" si="95"/>
        <v>1.7669951892963855</v>
      </c>
      <c r="X604" s="126">
        <f t="shared" si="96"/>
        <v>2.7427319245044091</v>
      </c>
      <c r="Y604" s="126">
        <f t="shared" si="97"/>
        <v>1.9682776823618313</v>
      </c>
      <c r="Z604" s="126">
        <f t="shared" si="98"/>
        <v>2.311919867398899</v>
      </c>
      <c r="AA604" s="126">
        <f t="shared" si="99"/>
        <v>3.4330388581500531</v>
      </c>
      <c r="AB604" s="126">
        <f t="shared" si="100"/>
        <v>1.5966494214638729</v>
      </c>
    </row>
    <row r="605" spans="1:28">
      <c r="A605">
        <v>604</v>
      </c>
      <c r="B605" s="119">
        <v>0.3895747599451303</v>
      </c>
      <c r="F605">
        <v>0.39216582837982011</v>
      </c>
      <c r="G605">
        <v>0.72549916171315354</v>
      </c>
      <c r="H605">
        <v>0.1699436061575979</v>
      </c>
      <c r="I605">
        <v>0.50327693949093122</v>
      </c>
      <c r="J605">
        <v>0.83661027282426448</v>
      </c>
      <c r="K605">
        <v>0.28105471726870901</v>
      </c>
      <c r="L605">
        <v>0.61438805060204238</v>
      </c>
      <c r="M605">
        <v>0.94772138393537564</v>
      </c>
      <c r="N605">
        <v>9.5869532083523862E-2</v>
      </c>
      <c r="O605">
        <v>0.42920286541685715</v>
      </c>
      <c r="R605">
        <v>2.5</v>
      </c>
      <c r="S605" s="126">
        <f t="shared" si="91"/>
        <v>2.1924973650033928</v>
      </c>
      <c r="T605" s="126">
        <f t="shared" si="92"/>
        <v>2.757943592597687</v>
      </c>
      <c r="U605" s="126">
        <f t="shared" si="93"/>
        <v>1.7606905598102638</v>
      </c>
      <c r="V605" s="126">
        <f t="shared" si="94"/>
        <v>2.0534255558094614</v>
      </c>
      <c r="W605" s="126">
        <f t="shared" si="95"/>
        <v>3.0025956933009357</v>
      </c>
      <c r="X605" s="126">
        <f t="shared" si="96"/>
        <v>2.1926862930839355</v>
      </c>
      <c r="Y605" s="126">
        <f t="shared" si="97"/>
        <v>2.5036022602406631</v>
      </c>
      <c r="Z605" s="126">
        <f t="shared" si="98"/>
        <v>3.758812485078955</v>
      </c>
      <c r="AA605" s="126">
        <f t="shared" si="99"/>
        <v>1.9741699855384307</v>
      </c>
      <c r="AB605" s="126">
        <f t="shared" si="100"/>
        <v>2.0067976793537836</v>
      </c>
    </row>
    <row r="606" spans="1:28">
      <c r="A606">
        <v>605</v>
      </c>
      <c r="B606" s="119">
        <v>0.72290809327846373</v>
      </c>
      <c r="F606">
        <v>0.76253619875019052</v>
      </c>
      <c r="G606">
        <v>0.20698064319463494</v>
      </c>
      <c r="H606">
        <v>0.5403139765279682</v>
      </c>
      <c r="I606">
        <v>0.87364730986130146</v>
      </c>
      <c r="J606">
        <v>0.31809175430574604</v>
      </c>
      <c r="K606">
        <v>0.65142508763907936</v>
      </c>
      <c r="L606">
        <v>0.98475842097241262</v>
      </c>
      <c r="M606">
        <v>3.4141137021795456E-2</v>
      </c>
      <c r="N606">
        <v>0.36747447035512876</v>
      </c>
      <c r="O606">
        <v>0.70080780368846207</v>
      </c>
      <c r="R606">
        <v>2.5</v>
      </c>
      <c r="S606" s="126">
        <f t="shared" si="91"/>
        <v>3.0075343020666039</v>
      </c>
      <c r="T606" s="126">
        <f t="shared" si="92"/>
        <v>1.9995000030453611</v>
      </c>
      <c r="U606" s="126">
        <f t="shared" si="93"/>
        <v>2.2501663184693887</v>
      </c>
      <c r="V606" s="126">
        <f t="shared" si="94"/>
        <v>3.2360696767515154</v>
      </c>
      <c r="W606" s="126">
        <f t="shared" si="95"/>
        <v>2.3980113574246067</v>
      </c>
      <c r="X606" s="126">
        <f t="shared" si="96"/>
        <v>2.687955999195403</v>
      </c>
      <c r="Y606" s="126">
        <f t="shared" si="97"/>
        <v>4.2973592425293168</v>
      </c>
      <c r="Z606" s="126">
        <f t="shared" si="98"/>
        <v>1.8178547829081522</v>
      </c>
      <c r="AA606" s="126">
        <f t="shared" si="99"/>
        <v>1.7961454177061575</v>
      </c>
      <c r="AB606" s="126">
        <f t="shared" si="100"/>
        <v>2.498913120079842</v>
      </c>
    </row>
    <row r="607" spans="1:28">
      <c r="A607">
        <v>606</v>
      </c>
      <c r="B607" s="119">
        <v>0.16735253772290809</v>
      </c>
      <c r="F607">
        <v>0.14525224813290655</v>
      </c>
      <c r="G607">
        <v>0.47858558146623986</v>
      </c>
      <c r="H607">
        <v>0.81191891479957312</v>
      </c>
      <c r="I607">
        <v>0.25636335924401765</v>
      </c>
      <c r="J607">
        <v>0.58969669257735102</v>
      </c>
      <c r="K607">
        <v>0.92303002591068428</v>
      </c>
      <c r="L607">
        <v>7.1178174058832505E-2</v>
      </c>
      <c r="M607">
        <v>0.40451150739216579</v>
      </c>
      <c r="N607">
        <v>0.73784484072549916</v>
      </c>
      <c r="O607">
        <v>0.18228928516994358</v>
      </c>
      <c r="R607">
        <v>2.5</v>
      </c>
      <c r="S607" s="126">
        <f t="shared" si="91"/>
        <v>1.5464010244452668</v>
      </c>
      <c r="T607" s="126">
        <f t="shared" si="92"/>
        <v>1.8946537086397095</v>
      </c>
      <c r="U607" s="126">
        <f t="shared" si="93"/>
        <v>2.843919923322229</v>
      </c>
      <c r="V607" s="126">
        <f t="shared" si="94"/>
        <v>2.0511692992954629</v>
      </c>
      <c r="W607" s="126">
        <f t="shared" si="95"/>
        <v>2.3796807595405829</v>
      </c>
      <c r="X607" s="126">
        <f t="shared" si="96"/>
        <v>3.5337152180006886</v>
      </c>
      <c r="Y607" s="126">
        <f t="shared" si="97"/>
        <v>1.7277313531283314</v>
      </c>
      <c r="Z607" s="126">
        <f t="shared" si="98"/>
        <v>1.8307421118209199</v>
      </c>
      <c r="AA607" s="126">
        <f t="shared" si="99"/>
        <v>2.6070211886320771</v>
      </c>
      <c r="AB607" s="126">
        <f t="shared" si="100"/>
        <v>1.7241905666185282</v>
      </c>
    </row>
    <row r="608" spans="1:28">
      <c r="A608">
        <v>607</v>
      </c>
      <c r="B608" s="119">
        <v>0.5006858710562414</v>
      </c>
      <c r="F608">
        <v>0.51562261850327695</v>
      </c>
      <c r="G608">
        <v>0.8489559518366101</v>
      </c>
      <c r="H608">
        <v>0.29340039628105469</v>
      </c>
      <c r="I608">
        <v>0.626733729614388</v>
      </c>
      <c r="J608">
        <v>0.96006706294772126</v>
      </c>
      <c r="K608">
        <v>0.10821521109586954</v>
      </c>
      <c r="L608">
        <v>0.44154854442920283</v>
      </c>
      <c r="M608">
        <v>0.77488187776253614</v>
      </c>
      <c r="N608">
        <v>0.21932632220698062</v>
      </c>
      <c r="O608">
        <v>0.55265965554031393</v>
      </c>
      <c r="R608">
        <v>2.5</v>
      </c>
      <c r="S608" s="126">
        <f t="shared" si="91"/>
        <v>2.4505349478778569</v>
      </c>
      <c r="T608" s="126">
        <f t="shared" si="92"/>
        <v>3.2445317720152582</v>
      </c>
      <c r="U608" s="126">
        <f t="shared" si="93"/>
        <v>2.3441685241244752</v>
      </c>
      <c r="V608" s="126">
        <f t="shared" si="94"/>
        <v>2.6064941425520387</v>
      </c>
      <c r="W608" s="126">
        <f t="shared" si="95"/>
        <v>3.9163595887891516</v>
      </c>
      <c r="X608" s="126">
        <f t="shared" si="96"/>
        <v>2.1105745224469725</v>
      </c>
      <c r="Y608" s="126">
        <f t="shared" si="97"/>
        <v>2.101220092776706</v>
      </c>
      <c r="Z608" s="126">
        <f t="shared" si="98"/>
        <v>2.8405421685420453</v>
      </c>
      <c r="AA608" s="126">
        <f t="shared" si="99"/>
        <v>1.950600718022985</v>
      </c>
      <c r="AB608" s="126">
        <f t="shared" si="100"/>
        <v>2.2512895594797717</v>
      </c>
    </row>
    <row r="609" spans="1:28">
      <c r="A609">
        <v>608</v>
      </c>
      <c r="B609" s="119">
        <v>0.83401920438957466</v>
      </c>
      <c r="F609">
        <v>0.88599298887364719</v>
      </c>
      <c r="G609">
        <v>0.33043743331809172</v>
      </c>
      <c r="H609">
        <v>0.66377076665142509</v>
      </c>
      <c r="I609">
        <v>0.99710409998475835</v>
      </c>
      <c r="J609">
        <v>2.5910684346898338E-3</v>
      </c>
      <c r="K609">
        <v>0.33592440176802313</v>
      </c>
      <c r="L609">
        <v>0.66925773510135644</v>
      </c>
      <c r="M609">
        <v>0.11370217954580095</v>
      </c>
      <c r="N609">
        <v>0.44703551287913423</v>
      </c>
      <c r="O609">
        <v>0.78036884621246749</v>
      </c>
      <c r="R609">
        <v>2.5</v>
      </c>
      <c r="S609" s="126">
        <f t="shared" si="91"/>
        <v>3.4125159637889571</v>
      </c>
      <c r="T609" s="126">
        <f t="shared" si="92"/>
        <v>2.5150135819869148</v>
      </c>
      <c r="U609" s="126">
        <f t="shared" si="93"/>
        <v>2.7744791744730368</v>
      </c>
      <c r="V609" s="126">
        <f t="shared" si="94"/>
        <v>4.8320854257437826</v>
      </c>
      <c r="W609" s="126">
        <f t="shared" si="95"/>
        <v>1.2846147797962342</v>
      </c>
      <c r="X609" s="126">
        <f t="shared" si="96"/>
        <v>1.4579796520743089</v>
      </c>
      <c r="Y609" s="126">
        <f t="shared" si="97"/>
        <v>2.2556586314600429</v>
      </c>
      <c r="Z609" s="126">
        <f t="shared" si="98"/>
        <v>1.2998283586064381</v>
      </c>
      <c r="AA609" s="126">
        <f t="shared" si="99"/>
        <v>1.7051951658934652</v>
      </c>
      <c r="AB609" s="126">
        <f t="shared" si="100"/>
        <v>2.6566914483386412</v>
      </c>
    </row>
    <row r="610" spans="1:28">
      <c r="A610">
        <v>609</v>
      </c>
      <c r="B610" s="119">
        <v>0.2784636488340192</v>
      </c>
      <c r="F610">
        <v>0.22481329065691205</v>
      </c>
      <c r="G610">
        <v>0.55814662399024539</v>
      </c>
      <c r="H610">
        <v>0.89147995732357865</v>
      </c>
      <c r="I610">
        <v>3.9628105471726863E-2</v>
      </c>
      <c r="J610">
        <v>0.37296143880506016</v>
      </c>
      <c r="K610">
        <v>0.70629477213839353</v>
      </c>
      <c r="L610">
        <v>0.15073921658283798</v>
      </c>
      <c r="M610">
        <v>0.48407254991617127</v>
      </c>
      <c r="N610">
        <v>0.81740588324950447</v>
      </c>
      <c r="O610">
        <v>0.26185032769394906</v>
      </c>
      <c r="R610">
        <v>2.5</v>
      </c>
      <c r="S610" s="126">
        <f t="shared" si="91"/>
        <v>1.7946475294888184</v>
      </c>
      <c r="T610" s="126">
        <f t="shared" si="92"/>
        <v>2.1843623470301416</v>
      </c>
      <c r="U610" s="126">
        <f t="shared" si="93"/>
        <v>3.2777516452413398</v>
      </c>
      <c r="V610" s="126">
        <f t="shared" si="94"/>
        <v>1.3615864838098379</v>
      </c>
      <c r="W610" s="126">
        <f t="shared" si="95"/>
        <v>1.5788090944604551</v>
      </c>
      <c r="X610" s="126">
        <f t="shared" si="96"/>
        <v>2.4027671229080001</v>
      </c>
      <c r="Y610" s="126">
        <f t="shared" si="97"/>
        <v>1.5171186350121044</v>
      </c>
      <c r="Z610" s="126">
        <f t="shared" si="98"/>
        <v>1.8912930356730147</v>
      </c>
      <c r="AA610" s="126">
        <f t="shared" si="99"/>
        <v>2.8591669194209124</v>
      </c>
      <c r="AB610" s="126">
        <f t="shared" si="100"/>
        <v>2.0728098929734862</v>
      </c>
    </row>
    <row r="611" spans="1:28">
      <c r="A611">
        <v>610</v>
      </c>
      <c r="B611" s="119">
        <v>0.61179698216735257</v>
      </c>
      <c r="F611">
        <v>0.59518366102728237</v>
      </c>
      <c r="G611">
        <v>0.92851699436061563</v>
      </c>
      <c r="H611">
        <v>7.6665142508763912E-2</v>
      </c>
      <c r="I611">
        <v>0.4099984758420972</v>
      </c>
      <c r="J611">
        <v>0.74333180917543051</v>
      </c>
      <c r="K611">
        <v>0.18777625361987502</v>
      </c>
      <c r="L611">
        <v>0.5211095869532083</v>
      </c>
      <c r="M611">
        <v>0.85444292028654156</v>
      </c>
      <c r="N611">
        <v>0.29888736473098609</v>
      </c>
      <c r="O611">
        <v>0.63222069806431946</v>
      </c>
      <c r="R611">
        <v>2.5</v>
      </c>
      <c r="S611" s="126">
        <f t="shared" si="91"/>
        <v>2.6169217006121479</v>
      </c>
      <c r="T611" s="126">
        <f t="shared" si="92"/>
        <v>3.6851879800803551</v>
      </c>
      <c r="U611" s="126">
        <f t="shared" si="93"/>
        <v>1.8361986222984141</v>
      </c>
      <c r="V611" s="126">
        <f t="shared" si="94"/>
        <v>1.8969185370428194</v>
      </c>
      <c r="W611" s="126">
        <f t="shared" si="95"/>
        <v>2.6542504218652079</v>
      </c>
      <c r="X611" s="126">
        <f t="shared" si="96"/>
        <v>1.7648813756386696</v>
      </c>
      <c r="Y611" s="126">
        <f t="shared" si="97"/>
        <v>2.0924205798382451</v>
      </c>
      <c r="Z611" s="126">
        <f t="shared" si="98"/>
        <v>3.0841033893289636</v>
      </c>
      <c r="AA611" s="126">
        <f t="shared" si="99"/>
        <v>2.2766306341471587</v>
      </c>
      <c r="AB611" s="126">
        <f t="shared" si="100"/>
        <v>2.5845305228850695</v>
      </c>
    </row>
    <row r="612" spans="1:28">
      <c r="A612">
        <v>611</v>
      </c>
      <c r="B612" s="119">
        <v>0.94513031550068582</v>
      </c>
      <c r="F612">
        <v>0.96555403139765272</v>
      </c>
      <c r="G612">
        <v>1.4936747447035513E-2</v>
      </c>
      <c r="H612">
        <v>0.34827008078036881</v>
      </c>
      <c r="I612">
        <v>0.68160341411370207</v>
      </c>
      <c r="J612">
        <v>0.12604785855814662</v>
      </c>
      <c r="K612">
        <v>0.45938119189147991</v>
      </c>
      <c r="L612">
        <v>0.79271452522481323</v>
      </c>
      <c r="M612">
        <v>0.23715896966925773</v>
      </c>
      <c r="N612">
        <v>0.57049230300259113</v>
      </c>
      <c r="O612">
        <v>0.90382563633592439</v>
      </c>
      <c r="R612">
        <v>2.5</v>
      </c>
      <c r="S612" s="126">
        <f t="shared" si="91"/>
        <v>3.9186440357892605</v>
      </c>
      <c r="T612" s="126">
        <f t="shared" si="92"/>
        <v>1.3399672750826057</v>
      </c>
      <c r="U612" s="126">
        <f t="shared" si="93"/>
        <v>1.5135270242701186</v>
      </c>
      <c r="V612" s="126">
        <f t="shared" si="94"/>
        <v>2.3118861289883834</v>
      </c>
      <c r="W612" s="126">
        <f t="shared" si="95"/>
        <v>1.379059501597095</v>
      </c>
      <c r="X612" s="126">
        <f t="shared" si="96"/>
        <v>1.7707190775514101</v>
      </c>
      <c r="Y612" s="126">
        <f t="shared" si="97"/>
        <v>2.7246255324284432</v>
      </c>
      <c r="Z612" s="126">
        <f t="shared" si="98"/>
        <v>1.9410035984623213</v>
      </c>
      <c r="AA612" s="126">
        <f t="shared" si="99"/>
        <v>2.2837831493179315</v>
      </c>
      <c r="AB612" s="126">
        <f t="shared" si="100"/>
        <v>3.3848175679369152</v>
      </c>
    </row>
    <row r="613" spans="1:28">
      <c r="A613">
        <v>612</v>
      </c>
      <c r="B613" s="119">
        <v>9.3278463648834006E-2</v>
      </c>
      <c r="F613">
        <v>5.1973784484072541E-2</v>
      </c>
      <c r="G613">
        <v>0.38530711781740584</v>
      </c>
      <c r="H613">
        <v>0.71864045115073927</v>
      </c>
      <c r="I613">
        <v>0.16308489559518366</v>
      </c>
      <c r="J613">
        <v>0.49641822892851695</v>
      </c>
      <c r="K613">
        <v>0.82975156226185021</v>
      </c>
      <c r="L613">
        <v>0.27419600670629474</v>
      </c>
      <c r="M613">
        <v>0.60752934003962811</v>
      </c>
      <c r="N613">
        <v>0.94086267337296137</v>
      </c>
      <c r="O613">
        <v>8.901082152110959E-2</v>
      </c>
      <c r="R613">
        <v>2.5</v>
      </c>
      <c r="S613" s="126">
        <f t="shared" si="91"/>
        <v>1.0770945505604292</v>
      </c>
      <c r="T613" s="126">
        <f t="shared" si="92"/>
        <v>1.4625869522340178</v>
      </c>
      <c r="U613" s="126">
        <f t="shared" si="93"/>
        <v>2.3742240342653469</v>
      </c>
      <c r="V613" s="126">
        <f t="shared" si="94"/>
        <v>1.5451759304126689</v>
      </c>
      <c r="W613" s="126">
        <f t="shared" si="95"/>
        <v>1.9309275696417707</v>
      </c>
      <c r="X613" s="126">
        <f t="shared" si="96"/>
        <v>2.918397760893999</v>
      </c>
      <c r="Y613" s="126">
        <f t="shared" si="97"/>
        <v>2.1334927856781016</v>
      </c>
      <c r="Z613" s="126">
        <f t="shared" si="98"/>
        <v>2.4590967811994839</v>
      </c>
      <c r="AA613" s="126">
        <f t="shared" si="99"/>
        <v>3.6860537745996096</v>
      </c>
      <c r="AB613" s="126">
        <f t="shared" si="100"/>
        <v>1.9034385081358574</v>
      </c>
    </row>
    <row r="614" spans="1:28">
      <c r="A614">
        <v>613</v>
      </c>
      <c r="B614" s="119">
        <v>0.42661179698216734</v>
      </c>
      <c r="F614">
        <v>0.42234415485444288</v>
      </c>
      <c r="G614">
        <v>0.75567748818777625</v>
      </c>
      <c r="H614">
        <v>0.20012193263222069</v>
      </c>
      <c r="I614">
        <v>0.53345526596555393</v>
      </c>
      <c r="J614">
        <v>0.86678859929888719</v>
      </c>
      <c r="K614">
        <v>0.31123304374333177</v>
      </c>
      <c r="L614">
        <v>0.64456637707666509</v>
      </c>
      <c r="M614">
        <v>0.97789971040999835</v>
      </c>
      <c r="N614">
        <v>2.7282426459381188E-2</v>
      </c>
      <c r="O614">
        <v>0.36061575979271449</v>
      </c>
      <c r="R614">
        <v>2.5</v>
      </c>
      <c r="S614" s="126">
        <f t="shared" si="91"/>
        <v>2.2566489855830416</v>
      </c>
      <c r="T614" s="126">
        <f t="shared" si="92"/>
        <v>2.8670647919655634</v>
      </c>
      <c r="U614" s="126">
        <f t="shared" si="93"/>
        <v>1.9089041727313345</v>
      </c>
      <c r="V614" s="126">
        <f t="shared" si="94"/>
        <v>2.1903916058489363</v>
      </c>
      <c r="W614" s="126">
        <f t="shared" si="95"/>
        <v>3.1792500105667991</v>
      </c>
      <c r="X614" s="126">
        <f t="shared" si="96"/>
        <v>2.3535213866298017</v>
      </c>
      <c r="Y614" s="126">
        <f t="shared" si="97"/>
        <v>2.6503537224648284</v>
      </c>
      <c r="Z614" s="126">
        <f t="shared" si="98"/>
        <v>4.1534443124413833</v>
      </c>
      <c r="AA614" s="126">
        <f t="shared" si="99"/>
        <v>1.6637147388896478</v>
      </c>
      <c r="AB614" s="126">
        <f t="shared" si="100"/>
        <v>1.7036107926328201</v>
      </c>
    </row>
    <row r="615" spans="1:28">
      <c r="A615">
        <v>614</v>
      </c>
      <c r="B615" s="119">
        <v>0.75994513031550071</v>
      </c>
      <c r="F615">
        <v>0.6939490931260478</v>
      </c>
      <c r="G615">
        <v>0.1383935375704923</v>
      </c>
      <c r="H615">
        <v>0.47172687090382559</v>
      </c>
      <c r="I615">
        <v>0.80506020423715885</v>
      </c>
      <c r="J615">
        <v>0.24950464868160341</v>
      </c>
      <c r="K615">
        <v>0.58283798201493675</v>
      </c>
      <c r="L615">
        <v>0.91617131534827001</v>
      </c>
      <c r="M615">
        <v>6.4319463496418233E-2</v>
      </c>
      <c r="N615">
        <v>0.39765279682975152</v>
      </c>
      <c r="O615">
        <v>0.73098613016308489</v>
      </c>
      <c r="R615">
        <v>2.5</v>
      </c>
      <c r="S615" s="126">
        <f t="shared" si="91"/>
        <v>2.8364633488554052</v>
      </c>
      <c r="T615" s="126">
        <f t="shared" si="92"/>
        <v>1.6903100946114467</v>
      </c>
      <c r="U615" s="126">
        <f t="shared" si="93"/>
        <v>1.9527745143944117</v>
      </c>
      <c r="V615" s="126">
        <f t="shared" si="94"/>
        <v>2.8523844344926514</v>
      </c>
      <c r="W615" s="126">
        <f t="shared" si="95"/>
        <v>2.0377303325805496</v>
      </c>
      <c r="X615" s="126">
        <f t="shared" si="96"/>
        <v>2.3584051347752313</v>
      </c>
      <c r="Y615" s="126">
        <f t="shared" si="97"/>
        <v>3.4850964325091178</v>
      </c>
      <c r="Z615" s="126">
        <f t="shared" si="98"/>
        <v>1.6600606490524932</v>
      </c>
      <c r="AA615" s="126">
        <f t="shared" si="99"/>
        <v>1.7820983123985752</v>
      </c>
      <c r="AB615" s="126">
        <f t="shared" si="100"/>
        <v>2.565320377029638</v>
      </c>
    </row>
    <row r="616" spans="1:28">
      <c r="A616">
        <v>615</v>
      </c>
      <c r="B616" s="119">
        <v>0.20438957475994513</v>
      </c>
      <c r="F616">
        <v>0.17543057460752934</v>
      </c>
      <c r="G616">
        <v>0.50876390794086268</v>
      </c>
      <c r="H616">
        <v>0.84209724127419583</v>
      </c>
      <c r="I616">
        <v>0.28654168571864042</v>
      </c>
      <c r="J616">
        <v>0.61987501905197373</v>
      </c>
      <c r="K616">
        <v>0.95320835238530699</v>
      </c>
      <c r="L616">
        <v>0.10135650053345527</v>
      </c>
      <c r="M616">
        <v>0.43468983386678856</v>
      </c>
      <c r="N616">
        <v>0.76802316720012187</v>
      </c>
      <c r="O616">
        <v>0.21246761164456637</v>
      </c>
      <c r="R616">
        <v>2.5</v>
      </c>
      <c r="S616" s="126">
        <f t="shared" si="91"/>
        <v>1.6487548227713242</v>
      </c>
      <c r="T616" s="126">
        <f t="shared" si="92"/>
        <v>2.008512161976995</v>
      </c>
      <c r="U616" s="126">
        <f t="shared" si="93"/>
        <v>2.9985746664366202</v>
      </c>
      <c r="V616" s="126">
        <f t="shared" si="94"/>
        <v>2.2040228322587483</v>
      </c>
      <c r="W616" s="126">
        <f t="shared" si="95"/>
        <v>2.5211591469294823</v>
      </c>
      <c r="X616" s="126">
        <f t="shared" si="96"/>
        <v>3.811879509887357</v>
      </c>
      <c r="Y616" s="126">
        <f t="shared" si="97"/>
        <v>2.0268982710293635</v>
      </c>
      <c r="Z616" s="126">
        <f t="shared" si="98"/>
        <v>2.0448110458299826</v>
      </c>
      <c r="AA616" s="126">
        <f t="shared" si="99"/>
        <v>2.7934935127409437</v>
      </c>
      <c r="AB616" s="126">
        <f t="shared" si="100"/>
        <v>1.9076388813233243</v>
      </c>
    </row>
    <row r="617" spans="1:28">
      <c r="A617">
        <v>616</v>
      </c>
      <c r="B617" s="119">
        <v>0.53772290809327838</v>
      </c>
      <c r="F617">
        <v>0.54580094497789966</v>
      </c>
      <c r="G617">
        <v>0.87913427831123292</v>
      </c>
      <c r="H617">
        <v>0.32357872275567745</v>
      </c>
      <c r="I617">
        <v>0.65691205608901082</v>
      </c>
      <c r="J617">
        <v>0.99024538942234408</v>
      </c>
      <c r="K617">
        <v>6.7062947721383938E-3</v>
      </c>
      <c r="L617">
        <v>0.34003962810547167</v>
      </c>
      <c r="M617">
        <v>0.67337296143880498</v>
      </c>
      <c r="N617">
        <v>0.1178174058832495</v>
      </c>
      <c r="O617">
        <v>0.45115073921658277</v>
      </c>
      <c r="R617">
        <v>2.5</v>
      </c>
      <c r="S617" s="126">
        <f t="shared" si="91"/>
        <v>2.5131283604646755</v>
      </c>
      <c r="T617" s="126">
        <f t="shared" si="92"/>
        <v>3.3903943802043943</v>
      </c>
      <c r="U617" s="126">
        <f t="shared" si="93"/>
        <v>2.4882165938624663</v>
      </c>
      <c r="V617" s="126">
        <f t="shared" si="94"/>
        <v>2.7455656117287228</v>
      </c>
      <c r="W617" s="126">
        <f t="shared" si="95"/>
        <v>4.4680970938641904</v>
      </c>
      <c r="X617" s="126">
        <f t="shared" si="96"/>
        <v>1.3679743487888265</v>
      </c>
      <c r="Y617" s="126">
        <f t="shared" si="97"/>
        <v>1.5091609605327525</v>
      </c>
      <c r="Z617" s="126">
        <f t="shared" si="98"/>
        <v>2.2907699885679973</v>
      </c>
      <c r="AA617" s="126">
        <f t="shared" si="99"/>
        <v>1.3348817683370782</v>
      </c>
      <c r="AB617" s="126">
        <f t="shared" si="100"/>
        <v>1.7313910770674119</v>
      </c>
    </row>
    <row r="618" spans="1:28">
      <c r="A618">
        <v>617</v>
      </c>
      <c r="B618" s="119">
        <v>0.87105624142661164</v>
      </c>
      <c r="F618">
        <v>0.78448407254991603</v>
      </c>
      <c r="G618">
        <v>0.22892851699436062</v>
      </c>
      <c r="H618">
        <v>0.56226185032769394</v>
      </c>
      <c r="I618">
        <v>0.89559518366102719</v>
      </c>
      <c r="J618">
        <v>4.3743331809175424E-2</v>
      </c>
      <c r="K618">
        <v>0.3770766651425087</v>
      </c>
      <c r="L618">
        <v>0.71040999847584207</v>
      </c>
      <c r="M618">
        <v>0.15485444292028655</v>
      </c>
      <c r="N618">
        <v>0.48818777625361981</v>
      </c>
      <c r="O618">
        <v>0.82152110958695301</v>
      </c>
      <c r="R618">
        <v>2.5</v>
      </c>
      <c r="S618" s="126">
        <f t="shared" si="91"/>
        <v>3.0676973584919587</v>
      </c>
      <c r="T618" s="126">
        <f t="shared" si="92"/>
        <v>2.0912369726578031</v>
      </c>
      <c r="U618" s="126">
        <f t="shared" si="93"/>
        <v>2.3420345221426597</v>
      </c>
      <c r="V618" s="126">
        <f t="shared" si="94"/>
        <v>3.3754800541316263</v>
      </c>
      <c r="W618" s="126">
        <f t="shared" si="95"/>
        <v>1.4488195144503782</v>
      </c>
      <c r="X618" s="126">
        <f t="shared" si="96"/>
        <v>1.6316034888996231</v>
      </c>
      <c r="Y618" s="126">
        <f t="shared" si="97"/>
        <v>2.4391913113094397</v>
      </c>
      <c r="Z618" s="126">
        <f t="shared" si="98"/>
        <v>1.5498058780431532</v>
      </c>
      <c r="AA618" s="126">
        <f t="shared" si="99"/>
        <v>1.9162349220992121</v>
      </c>
      <c r="AB618" s="126">
        <f t="shared" si="100"/>
        <v>2.8846142861613782</v>
      </c>
    </row>
    <row r="619" spans="1:28">
      <c r="A619">
        <v>618</v>
      </c>
      <c r="B619" s="119">
        <v>0.31550068587105623</v>
      </c>
      <c r="F619">
        <v>0.2659655540313976</v>
      </c>
      <c r="G619">
        <v>0.59929888736473091</v>
      </c>
      <c r="H619">
        <v>0.93263222069806417</v>
      </c>
      <c r="I619">
        <v>8.0780368846212466E-2</v>
      </c>
      <c r="J619">
        <v>0.41411370217954574</v>
      </c>
      <c r="K619">
        <v>0.74744703551287905</v>
      </c>
      <c r="L619">
        <v>0.19189147995732359</v>
      </c>
      <c r="M619">
        <v>0.52522481329065684</v>
      </c>
      <c r="N619">
        <v>0.8585581466239901</v>
      </c>
      <c r="O619">
        <v>0.30300259106843463</v>
      </c>
      <c r="R619">
        <v>2.5</v>
      </c>
      <c r="S619" s="126">
        <f t="shared" ref="S619:S682" si="101">NORMINV(F619,0,1)*0.8248+0.4974*(2.3356-R619)+R619</f>
        <v>1.9026772338229734</v>
      </c>
      <c r="T619" s="126">
        <f t="shared" ref="T619:T682" si="102">NORMINV(G619,0,1)*0.8248+0.4974*(2.3356-S619)+S619</f>
        <v>2.3254772510329946</v>
      </c>
      <c r="U619" s="126">
        <f t="shared" ref="U619:U682" si="103">NORMINV(H619,0,1)*0.8248+0.4974*(2.3356-T619)+T619</f>
        <v>3.5641539346583127</v>
      </c>
      <c r="V619" s="126">
        <f t="shared" ref="V619:V682" si="104">NORMINV(I619,0,1)*0.8248+0.4974*(2.3356-U619)+U619</f>
        <v>1.7984818016422297</v>
      </c>
      <c r="W619" s="126">
        <f t="shared" ref="W619:W682" si="105">NORMINV(J619,0,1)*0.8248+0.4974*(2.3356-V619)+V619</f>
        <v>1.8866829651988757</v>
      </c>
      <c r="X619" s="126">
        <f t="shared" ref="X619:X682" si="106">NORMINV(K619,0,1)*0.8248+0.4974*(2.3356-W619)+W619</f>
        <v>2.6596849552420183</v>
      </c>
      <c r="Y619" s="126">
        <f t="shared" ref="Y619:Y682" si="107">NORMINV(L619,0,1)*0.8248+0.4974*(2.3356-X619)+X619</f>
        <v>1.7801278126838145</v>
      </c>
      <c r="Z619" s="126">
        <f t="shared" ref="Z619:Z682" si="108">NORMINV(M619,0,1)*0.8248+0.4974*(2.3356-Y619)+Y619</f>
        <v>2.1086059461482574</v>
      </c>
      <c r="AA619" s="126">
        <f t="shared" ref="AA619:AA682" si="109">NORMINV(N619,0,1)*0.8248+0.4974*(2.3356-Z619)+Z619</f>
        <v>3.1072356935926173</v>
      </c>
      <c r="AB619" s="126">
        <f t="shared" ref="AB619:AB682" si="110">NORMINV(O619,0,1)*0.8248+0.4974*(2.3356-AA619)+AA619</f>
        <v>2.2980053424353439</v>
      </c>
    </row>
    <row r="620" spans="1:28">
      <c r="A620">
        <v>619</v>
      </c>
      <c r="B620" s="119">
        <v>0.64883401920438954</v>
      </c>
      <c r="F620">
        <v>0.636335924401768</v>
      </c>
      <c r="G620">
        <v>0.96966925773510126</v>
      </c>
      <c r="H620">
        <v>1.9051973784484071E-2</v>
      </c>
      <c r="I620">
        <v>0.35238530711781735</v>
      </c>
      <c r="J620">
        <v>0.68571864045115061</v>
      </c>
      <c r="K620">
        <v>0.13016308489559519</v>
      </c>
      <c r="L620">
        <v>0.46349641822892845</v>
      </c>
      <c r="M620">
        <v>0.79682975156226177</v>
      </c>
      <c r="N620">
        <v>0.2412741960067063</v>
      </c>
      <c r="O620">
        <v>0.57460752934003967</v>
      </c>
      <c r="R620">
        <v>2.5</v>
      </c>
      <c r="S620" s="126">
        <f t="shared" si="101"/>
        <v>2.7058202524249726</v>
      </c>
      <c r="T620" s="126">
        <f t="shared" si="102"/>
        <v>4.0689602314628042</v>
      </c>
      <c r="U620" s="126">
        <f t="shared" si="103"/>
        <v>1.4963703909659349</v>
      </c>
      <c r="V620" s="126">
        <f t="shared" si="104"/>
        <v>1.6012959080687736</v>
      </c>
      <c r="W620" s="126">
        <f t="shared" si="105"/>
        <v>2.3655364427490428</v>
      </c>
      <c r="X620" s="126">
        <f t="shared" si="106"/>
        <v>1.4222342339620928</v>
      </c>
      <c r="Y620" s="126">
        <f t="shared" si="107"/>
        <v>1.8009667945666576</v>
      </c>
      <c r="Z620" s="126">
        <f t="shared" si="108"/>
        <v>2.7517666575298652</v>
      </c>
      <c r="AA620" s="126">
        <f t="shared" si="109"/>
        <v>1.9655827945871072</v>
      </c>
      <c r="AB620" s="126">
        <f t="shared" si="110"/>
        <v>2.3047882474354173</v>
      </c>
    </row>
    <row r="621" spans="1:28">
      <c r="A621">
        <v>620</v>
      </c>
      <c r="B621" s="119">
        <v>0.9821673525377228</v>
      </c>
      <c r="F621">
        <v>0.90794086267337293</v>
      </c>
      <c r="G621">
        <v>5.6089010821521103E-2</v>
      </c>
      <c r="H621">
        <v>0.38942234415485438</v>
      </c>
      <c r="I621">
        <v>0.72275567748818781</v>
      </c>
      <c r="J621">
        <v>0.16720012193263223</v>
      </c>
      <c r="K621">
        <v>0.50053345526596549</v>
      </c>
      <c r="L621">
        <v>0.83386678859929875</v>
      </c>
      <c r="M621">
        <v>0.27831123304374328</v>
      </c>
      <c r="N621">
        <v>0.61164456637707665</v>
      </c>
      <c r="O621">
        <v>0.94497789971040991</v>
      </c>
      <c r="R621">
        <v>2.5</v>
      </c>
      <c r="S621" s="126">
        <f t="shared" si="101"/>
        <v>3.513711241048294</v>
      </c>
      <c r="T621" s="126">
        <f t="shared" si="102"/>
        <v>1.6175410686155423</v>
      </c>
      <c r="U621" s="126">
        <f t="shared" si="103"/>
        <v>1.7430791862837098</v>
      </c>
      <c r="V621" s="126">
        <f t="shared" si="104"/>
        <v>2.5252949553824298</v>
      </c>
      <c r="W621" s="126">
        <f t="shared" si="105"/>
        <v>1.6347705875603498</v>
      </c>
      <c r="X621" s="126">
        <f t="shared" si="106"/>
        <v>1.984466038795351</v>
      </c>
      <c r="Y621" s="126">
        <f t="shared" si="107"/>
        <v>2.9588122270043771</v>
      </c>
      <c r="Z621" s="126">
        <f t="shared" si="108"/>
        <v>2.1639548670322357</v>
      </c>
      <c r="AA621" s="126">
        <f t="shared" si="109"/>
        <v>2.4832509682717556</v>
      </c>
      <c r="AB621" s="126">
        <f t="shared" si="110"/>
        <v>3.7278352423143306</v>
      </c>
    </row>
    <row r="622" spans="1:28">
      <c r="A622">
        <v>621</v>
      </c>
      <c r="B622" s="119">
        <v>3.1550068587105622E-2</v>
      </c>
      <c r="F622">
        <v>9.3126047858558145E-2</v>
      </c>
      <c r="G622">
        <v>0.42645938119189142</v>
      </c>
      <c r="H622">
        <v>0.75979271452522479</v>
      </c>
      <c r="I622">
        <v>0.20423715896966926</v>
      </c>
      <c r="J622">
        <v>0.53757049230300247</v>
      </c>
      <c r="K622">
        <v>0.87090382563633573</v>
      </c>
      <c r="L622">
        <v>0.31534827008078031</v>
      </c>
      <c r="M622">
        <v>0.64868160341411363</v>
      </c>
      <c r="N622">
        <v>0.98201493674744689</v>
      </c>
      <c r="O622">
        <v>3.1397652796829753E-2</v>
      </c>
      <c r="R622">
        <v>2.5</v>
      </c>
      <c r="S622" s="126">
        <f t="shared" si="101"/>
        <v>1.3280497305735273</v>
      </c>
      <c r="T622" s="126">
        <f t="shared" si="102"/>
        <v>1.6762909469570284</v>
      </c>
      <c r="U622" s="126">
        <f t="shared" si="103"/>
        <v>2.5862397892100901</v>
      </c>
      <c r="V622" s="126">
        <f t="shared" si="104"/>
        <v>1.7798071532835529</v>
      </c>
      <c r="W622" s="126">
        <f t="shared" si="105"/>
        <v>2.134049443506588</v>
      </c>
      <c r="X622" s="126">
        <f t="shared" si="106"/>
        <v>3.1668805658866792</v>
      </c>
      <c r="Y622" s="126">
        <f t="shared" si="107"/>
        <v>2.3568817391494536</v>
      </c>
      <c r="Z622" s="126">
        <f t="shared" si="108"/>
        <v>2.6611747385061917</v>
      </c>
      <c r="AA622" s="126">
        <f t="shared" si="109"/>
        <v>4.2290580060119964</v>
      </c>
      <c r="AB622" s="126">
        <f t="shared" si="110"/>
        <v>1.752597717908424</v>
      </c>
    </row>
    <row r="623" spans="1:28">
      <c r="A623">
        <v>622</v>
      </c>
      <c r="B623" s="119">
        <v>0.36488340192043894</v>
      </c>
      <c r="F623">
        <v>0.36473098613016303</v>
      </c>
      <c r="G623">
        <v>0.69806431946349634</v>
      </c>
      <c r="H623">
        <v>0.14250876390794087</v>
      </c>
      <c r="I623">
        <v>0.47584209724127413</v>
      </c>
      <c r="J623">
        <v>0.80917543057460739</v>
      </c>
      <c r="K623">
        <v>0.25361987501905192</v>
      </c>
      <c r="L623">
        <v>0.58695320835238529</v>
      </c>
      <c r="M623">
        <v>0.92028654168571855</v>
      </c>
      <c r="N623">
        <v>6.8434689833866788E-2</v>
      </c>
      <c r="O623">
        <v>0.40176802316720006</v>
      </c>
      <c r="R623">
        <v>2.5</v>
      </c>
      <c r="S623" s="126">
        <f t="shared" si="101"/>
        <v>2.132977521557192</v>
      </c>
      <c r="T623" s="126">
        <f t="shared" si="102"/>
        <v>2.6617023101269002</v>
      </c>
      <c r="U623" s="126">
        <f t="shared" si="103"/>
        <v>1.6176923730032153</v>
      </c>
      <c r="V623" s="126">
        <f t="shared" si="104"/>
        <v>1.9248033964268596</v>
      </c>
      <c r="W623" s="126">
        <f t="shared" si="105"/>
        <v>2.8507195902761953</v>
      </c>
      <c r="X623" s="126">
        <f t="shared" si="106"/>
        <v>2.0475397600739385</v>
      </c>
      <c r="Y623" s="126">
        <f t="shared" si="107"/>
        <v>2.3720413666967812</v>
      </c>
      <c r="Z623" s="126">
        <f t="shared" si="108"/>
        <v>3.5144103441940322</v>
      </c>
      <c r="AA623" s="126">
        <f t="shared" si="109"/>
        <v>1.7011381258396991</v>
      </c>
      <c r="AB623" s="126">
        <f t="shared" si="110"/>
        <v>1.8115311385463249</v>
      </c>
    </row>
    <row r="624" spans="1:28">
      <c r="A624">
        <v>623</v>
      </c>
      <c r="B624" s="119">
        <v>0.69821673525377226</v>
      </c>
      <c r="F624">
        <v>0.73510135650053343</v>
      </c>
      <c r="G624">
        <v>0.17954580094497791</v>
      </c>
      <c r="H624">
        <v>0.51287913427831122</v>
      </c>
      <c r="I624">
        <v>0.84621246761164437</v>
      </c>
      <c r="J624">
        <v>0.29065691205608896</v>
      </c>
      <c r="K624">
        <v>0.62399024538942227</v>
      </c>
      <c r="L624">
        <v>0.95732357872275553</v>
      </c>
      <c r="M624">
        <v>0.10547172687090382</v>
      </c>
      <c r="N624">
        <v>0.4388050602042371</v>
      </c>
      <c r="O624">
        <v>0.77213839353757041</v>
      </c>
      <c r="R624">
        <v>2.5</v>
      </c>
      <c r="S624" s="126">
        <f t="shared" si="101"/>
        <v>2.9364620552280001</v>
      </c>
      <c r="T624" s="126">
        <f t="shared" si="102"/>
        <v>1.8811713310833615</v>
      </c>
      <c r="U624" s="126">
        <f t="shared" si="103"/>
        <v>2.1338359629760233</v>
      </c>
      <c r="V624" s="126">
        <f t="shared" si="104"/>
        <v>3.0757562124133466</v>
      </c>
      <c r="W624" s="126">
        <f t="shared" si="105"/>
        <v>2.2527528215602328</v>
      </c>
      <c r="X624" s="126">
        <f t="shared" si="106"/>
        <v>2.5545793338491083</v>
      </c>
      <c r="Y624" s="126">
        <f t="shared" si="107"/>
        <v>3.8646763301730802</v>
      </c>
      <c r="Z624" s="126">
        <f t="shared" si="108"/>
        <v>2.0723092560191785</v>
      </c>
      <c r="AA624" s="126">
        <f t="shared" si="109"/>
        <v>2.0762512746253101</v>
      </c>
      <c r="AB624" s="126">
        <f t="shared" si="110"/>
        <v>2.8204759477625148</v>
      </c>
    </row>
    <row r="625" spans="1:28">
      <c r="A625">
        <v>624</v>
      </c>
      <c r="B625" s="119">
        <v>0.14266117969821673</v>
      </c>
      <c r="F625">
        <v>0.21658283798201494</v>
      </c>
      <c r="G625">
        <v>0.5499161713153482</v>
      </c>
      <c r="H625">
        <v>0.88324950464868146</v>
      </c>
      <c r="I625">
        <v>0.32769394909312599</v>
      </c>
      <c r="J625">
        <v>0.66102728242645936</v>
      </c>
      <c r="K625">
        <v>0.99436061575979262</v>
      </c>
      <c r="L625">
        <v>1.0821521109586955E-2</v>
      </c>
      <c r="M625">
        <v>0.34415485444292027</v>
      </c>
      <c r="N625">
        <v>0.67748818777625353</v>
      </c>
      <c r="O625">
        <v>0.12193263222069807</v>
      </c>
      <c r="R625">
        <v>2.5</v>
      </c>
      <c r="S625" s="126">
        <f t="shared" si="101"/>
        <v>1.7717607274767277</v>
      </c>
      <c r="T625" s="126">
        <f t="shared" si="102"/>
        <v>2.1556851760101581</v>
      </c>
      <c r="U625" s="126">
        <f t="shared" si="103"/>
        <v>3.227832285381476</v>
      </c>
      <c r="V625" s="126">
        <f t="shared" si="104"/>
        <v>2.4159360909875698</v>
      </c>
      <c r="W625" s="126">
        <f t="shared" si="105"/>
        <v>2.7184902913556783</v>
      </c>
      <c r="X625" s="126">
        <f t="shared" si="106"/>
        <v>4.618035287733143</v>
      </c>
      <c r="Y625" s="126">
        <f t="shared" si="107"/>
        <v>1.5885371476233709</v>
      </c>
      <c r="Z625" s="126">
        <f t="shared" si="108"/>
        <v>1.6292577110743138</v>
      </c>
      <c r="AA625" s="126">
        <f t="shared" si="109"/>
        <v>2.3605664959759896</v>
      </c>
      <c r="AB625" s="126">
        <f t="shared" si="110"/>
        <v>1.3869428492903042</v>
      </c>
    </row>
    <row r="626" spans="1:28">
      <c r="A626">
        <v>625</v>
      </c>
      <c r="B626" s="119">
        <v>0.47599451303155005</v>
      </c>
      <c r="F626">
        <v>0.45526596555403137</v>
      </c>
      <c r="G626">
        <v>0.78859929888736457</v>
      </c>
      <c r="H626">
        <v>0.23304374333180916</v>
      </c>
      <c r="I626">
        <v>0.56637707666514248</v>
      </c>
      <c r="J626">
        <v>0.89971040999847574</v>
      </c>
      <c r="K626">
        <v>4.7858558146623986E-2</v>
      </c>
      <c r="L626">
        <v>0.3811918914799573</v>
      </c>
      <c r="M626">
        <v>0.71452522481329062</v>
      </c>
      <c r="N626">
        <v>0.15896966925773509</v>
      </c>
      <c r="O626">
        <v>0.49230300259106841</v>
      </c>
      <c r="R626">
        <v>2.5</v>
      </c>
      <c r="S626" s="126">
        <f t="shared" si="101"/>
        <v>2.325546630057834</v>
      </c>
      <c r="T626" s="126">
        <f t="shared" si="102"/>
        <v>2.9916825895517682</v>
      </c>
      <c r="U626" s="126">
        <f t="shared" si="103"/>
        <v>2.0641836264643936</v>
      </c>
      <c r="V626" s="126">
        <f t="shared" si="104"/>
        <v>2.3370579273132597</v>
      </c>
      <c r="W626" s="126">
        <f t="shared" si="105"/>
        <v>3.3919969184991605</v>
      </c>
      <c r="X626" s="126">
        <f t="shared" si="106"/>
        <v>1.4924436206670364</v>
      </c>
      <c r="Y626" s="126">
        <f t="shared" si="107"/>
        <v>1.6624497187042291</v>
      </c>
      <c r="Z626" s="126">
        <f t="shared" si="108"/>
        <v>2.4646505587702734</v>
      </c>
      <c r="AA626" s="126">
        <f t="shared" si="109"/>
        <v>1.5767318556698005</v>
      </c>
      <c r="AB626" s="126">
        <f t="shared" si="110"/>
        <v>1.9382785951226156</v>
      </c>
    </row>
    <row r="627" spans="1:28">
      <c r="A627">
        <v>626</v>
      </c>
      <c r="B627" s="119">
        <v>0.80932784636488331</v>
      </c>
      <c r="F627">
        <v>0.82563633592440155</v>
      </c>
      <c r="G627">
        <v>0.2700807803688462</v>
      </c>
      <c r="H627">
        <v>0.60341411370217946</v>
      </c>
      <c r="I627">
        <v>0.93674744703551271</v>
      </c>
      <c r="J627">
        <v>8.4895595183661035E-2</v>
      </c>
      <c r="K627">
        <v>0.41822892851699434</v>
      </c>
      <c r="L627">
        <v>0.7515622618503276</v>
      </c>
      <c r="M627">
        <v>0.19600670629477213</v>
      </c>
      <c r="N627">
        <v>0.52934003962810539</v>
      </c>
      <c r="O627">
        <v>0.86267337296143864</v>
      </c>
      <c r="R627">
        <v>2.5</v>
      </c>
      <c r="S627" s="126">
        <f t="shared" si="101"/>
        <v>3.1911151169930534</v>
      </c>
      <c r="T627" s="126">
        <f t="shared" si="102"/>
        <v>2.2603352355198165</v>
      </c>
      <c r="U627" s="126">
        <f t="shared" si="103"/>
        <v>2.5140296543463068</v>
      </c>
      <c r="V627" s="126">
        <f t="shared" si="104"/>
        <v>3.6855978340844313</v>
      </c>
      <c r="W627" s="126">
        <f t="shared" si="105"/>
        <v>1.8817615600192559</v>
      </c>
      <c r="X627" s="126">
        <f t="shared" si="106"/>
        <v>1.937240312069493</v>
      </c>
      <c r="Y627" s="126">
        <f t="shared" si="107"/>
        <v>2.695765225302619</v>
      </c>
      <c r="Z627" s="126">
        <f t="shared" si="108"/>
        <v>1.8106135532567813</v>
      </c>
      <c r="AA627" s="126">
        <f t="shared" si="109"/>
        <v>2.132456161981898</v>
      </c>
      <c r="AB627" s="126">
        <f t="shared" si="110"/>
        <v>3.1345190657529107</v>
      </c>
    </row>
    <row r="628" spans="1:28">
      <c r="A628">
        <v>627</v>
      </c>
      <c r="B628" s="119">
        <v>0.25377229080932784</v>
      </c>
      <c r="F628">
        <v>0.30711781740588323</v>
      </c>
      <c r="G628">
        <v>0.64045115073921655</v>
      </c>
      <c r="H628">
        <v>0.97378448407254981</v>
      </c>
      <c r="I628">
        <v>2.316720012193263E-2</v>
      </c>
      <c r="J628">
        <v>0.35650053345526594</v>
      </c>
      <c r="K628">
        <v>0.68983386678859915</v>
      </c>
      <c r="L628">
        <v>0.13427831123304373</v>
      </c>
      <c r="M628">
        <v>0.46761164456637705</v>
      </c>
      <c r="N628">
        <v>0.80094497789971031</v>
      </c>
      <c r="O628">
        <v>0.24538942234415484</v>
      </c>
      <c r="R628">
        <v>2.5</v>
      </c>
      <c r="S628" s="126">
        <f t="shared" si="101"/>
        <v>2.0024980254137499</v>
      </c>
      <c r="T628" s="126">
        <f t="shared" si="102"/>
        <v>2.4648346067648861</v>
      </c>
      <c r="U628" s="126">
        <f t="shared" si="103"/>
        <v>4.0003170092380813</v>
      </c>
      <c r="V628" s="126">
        <f t="shared" si="104"/>
        <v>1.5290095100727878</v>
      </c>
      <c r="W628" s="126">
        <f t="shared" si="105"/>
        <v>1.6268226179602574</v>
      </c>
      <c r="X628" s="126">
        <f t="shared" si="106"/>
        <v>2.3879574948735129</v>
      </c>
      <c r="Y628" s="126">
        <f t="shared" si="107"/>
        <v>1.4493622516893228</v>
      </c>
      <c r="Z628" s="126">
        <f t="shared" si="108"/>
        <v>1.8231413227757183</v>
      </c>
      <c r="AA628" s="126">
        <f t="shared" si="109"/>
        <v>2.7749954430176875</v>
      </c>
      <c r="AB628" s="126">
        <f t="shared" si="110"/>
        <v>1.9880947245674845</v>
      </c>
    </row>
    <row r="629" spans="1:28">
      <c r="A629">
        <v>628</v>
      </c>
      <c r="B629" s="119">
        <v>0.58710562414266121</v>
      </c>
      <c r="F629">
        <v>0.57872275567748821</v>
      </c>
      <c r="G629">
        <v>0.91205608901082147</v>
      </c>
      <c r="H629">
        <v>6.0204237158969665E-2</v>
      </c>
      <c r="I629">
        <v>0.39353757049230298</v>
      </c>
      <c r="J629">
        <v>0.72687090382563635</v>
      </c>
      <c r="K629">
        <v>0.17131534827008077</v>
      </c>
      <c r="L629">
        <v>0.50464868160341403</v>
      </c>
      <c r="M629">
        <v>0.83798201493674729</v>
      </c>
      <c r="N629">
        <v>0.28242645938119187</v>
      </c>
      <c r="O629">
        <v>0.61575979271452519</v>
      </c>
      <c r="R629">
        <v>2.5</v>
      </c>
      <c r="S629" s="126">
        <f t="shared" si="101"/>
        <v>2.5820550347501747</v>
      </c>
      <c r="T629" s="126">
        <f t="shared" si="102"/>
        <v>3.5758560999338704</v>
      </c>
      <c r="U629" s="126">
        <f t="shared" si="103"/>
        <v>1.6779876996222229</v>
      </c>
      <c r="V629" s="126">
        <f t="shared" si="104"/>
        <v>1.7822968065285101</v>
      </c>
      <c r="W629" s="126">
        <f t="shared" si="105"/>
        <v>2.555174826004905</v>
      </c>
      <c r="X629" s="126">
        <f t="shared" si="106"/>
        <v>1.6632394614102552</v>
      </c>
      <c r="Y629" s="126">
        <f t="shared" si="107"/>
        <v>2.0072828066266251</v>
      </c>
      <c r="Z629" s="126">
        <f t="shared" si="108"/>
        <v>2.9840038728902831</v>
      </c>
      <c r="AA629" s="126">
        <f t="shared" si="109"/>
        <v>2.186693058602811</v>
      </c>
      <c r="AB629" s="126">
        <f t="shared" si="110"/>
        <v>2.5035501055692748</v>
      </c>
    </row>
    <row r="630" spans="1:28">
      <c r="A630">
        <v>629</v>
      </c>
      <c r="B630" s="119">
        <v>0.92043895747599447</v>
      </c>
      <c r="F630">
        <v>0.94909312604785845</v>
      </c>
      <c r="G630">
        <v>9.7241274196006713E-2</v>
      </c>
      <c r="H630">
        <v>0.43057460752934001</v>
      </c>
      <c r="I630">
        <v>0.76390794086267333</v>
      </c>
      <c r="J630">
        <v>0.2083523853071178</v>
      </c>
      <c r="K630">
        <v>0.54168571864045101</v>
      </c>
      <c r="L630">
        <v>0.87501905197378427</v>
      </c>
      <c r="M630">
        <v>0.31946349641822891</v>
      </c>
      <c r="N630">
        <v>0.65279682975156217</v>
      </c>
      <c r="O630">
        <v>0.98613016308489543</v>
      </c>
      <c r="R630">
        <v>2.5</v>
      </c>
      <c r="S630" s="126">
        <f t="shared" si="101"/>
        <v>3.7677020827566556</v>
      </c>
      <c r="T630" s="126">
        <f t="shared" si="102"/>
        <v>1.985252498022954</v>
      </c>
      <c r="U630" s="126">
        <f t="shared" si="103"/>
        <v>2.015248383525313</v>
      </c>
      <c r="V630" s="126">
        <f t="shared" si="104"/>
        <v>2.7675646514616288</v>
      </c>
      <c r="W630" s="126">
        <f t="shared" si="105"/>
        <v>1.8828429706893761</v>
      </c>
      <c r="X630" s="126">
        <f t="shared" si="106"/>
        <v>2.1943855968971504</v>
      </c>
      <c r="Y630" s="126">
        <f t="shared" si="107"/>
        <v>3.2135101501584571</v>
      </c>
      <c r="Z630" s="126">
        <f t="shared" si="108"/>
        <v>2.3898418361519607</v>
      </c>
      <c r="AA630" s="126">
        <f t="shared" si="109"/>
        <v>2.6869113512332636</v>
      </c>
      <c r="AB630" s="126">
        <f t="shared" si="110"/>
        <v>4.3275113621236825</v>
      </c>
    </row>
    <row r="631" spans="1:28">
      <c r="A631">
        <v>630</v>
      </c>
      <c r="B631" s="119">
        <v>6.858710562414265E-2</v>
      </c>
      <c r="F631">
        <v>3.5512879134278308E-2</v>
      </c>
      <c r="G631">
        <v>0.36884621246761162</v>
      </c>
      <c r="H631">
        <v>0.70217954580094488</v>
      </c>
      <c r="I631">
        <v>0.14662399024538941</v>
      </c>
      <c r="J631">
        <v>0.47995732357872273</v>
      </c>
      <c r="K631">
        <v>0.81329065691205593</v>
      </c>
      <c r="L631">
        <v>0.25773510135650052</v>
      </c>
      <c r="M631">
        <v>0.59106843468983383</v>
      </c>
      <c r="N631">
        <v>0.92440176802316709</v>
      </c>
      <c r="O631">
        <v>7.2549916171315357E-2</v>
      </c>
      <c r="R631">
        <v>2.5</v>
      </c>
      <c r="S631" s="126">
        <f t="shared" si="101"/>
        <v>0.92920549793345897</v>
      </c>
      <c r="T631" s="126">
        <f t="shared" si="102"/>
        <v>1.3525117501229329</v>
      </c>
      <c r="U631" s="126">
        <f t="shared" si="103"/>
        <v>2.2792042803347115</v>
      </c>
      <c r="V631" s="126">
        <f t="shared" si="104"/>
        <v>1.4403716582852637</v>
      </c>
      <c r="W631" s="126">
        <f t="shared" si="105"/>
        <v>1.8442032164437818</v>
      </c>
      <c r="X631" s="126">
        <f t="shared" si="106"/>
        <v>2.8227684817544505</v>
      </c>
      <c r="Y631" s="126">
        <f t="shared" si="107"/>
        <v>2.0440473536610648</v>
      </c>
      <c r="Z631" s="126">
        <f t="shared" si="108"/>
        <v>2.3790123349760011</v>
      </c>
      <c r="AA631" s="126">
        <f t="shared" si="109"/>
        <v>3.5412694325285266</v>
      </c>
      <c r="AB631" s="126">
        <f t="shared" si="110"/>
        <v>1.7397864097108484</v>
      </c>
    </row>
    <row r="632" spans="1:28">
      <c r="A632">
        <v>631</v>
      </c>
      <c r="B632" s="119">
        <v>0.40192043895747598</v>
      </c>
      <c r="F632">
        <v>0.40588324950464866</v>
      </c>
      <c r="G632">
        <v>0.73921658283798197</v>
      </c>
      <c r="H632">
        <v>0.18366102728242645</v>
      </c>
      <c r="I632">
        <v>0.51699436061575976</v>
      </c>
      <c r="J632">
        <v>0.85032769394909291</v>
      </c>
      <c r="K632">
        <v>0.29477213839353755</v>
      </c>
      <c r="L632">
        <v>0.62810547172687081</v>
      </c>
      <c r="M632">
        <v>0.96143880506020407</v>
      </c>
      <c r="N632">
        <v>0.10958695320835239</v>
      </c>
      <c r="O632">
        <v>0.44292028654168569</v>
      </c>
      <c r="R632">
        <v>2.5</v>
      </c>
      <c r="S632" s="126">
        <f t="shared" si="101"/>
        <v>2.22180317395487</v>
      </c>
      <c r="T632" s="126">
        <f t="shared" si="102"/>
        <v>2.8070464666102044</v>
      </c>
      <c r="U632" s="126">
        <f t="shared" si="103"/>
        <v>1.8289910503212912</v>
      </c>
      <c r="V632" s="126">
        <f t="shared" si="104"/>
        <v>2.1161242547112344</v>
      </c>
      <c r="W632" s="126">
        <f t="shared" si="105"/>
        <v>3.0813018140841062</v>
      </c>
      <c r="X632" s="126">
        <f t="shared" si="106"/>
        <v>2.2654129772294507</v>
      </c>
      <c r="Y632" s="126">
        <f t="shared" si="107"/>
        <v>2.5699014677906074</v>
      </c>
      <c r="Z632" s="126">
        <f t="shared" si="108"/>
        <v>3.9113030617897726</v>
      </c>
      <c r="AA632" s="126">
        <f t="shared" si="109"/>
        <v>2.1140937287113952</v>
      </c>
      <c r="AB632" s="126">
        <f t="shared" si="110"/>
        <v>2.1058549774776125</v>
      </c>
    </row>
    <row r="633" spans="1:28">
      <c r="A633">
        <v>632</v>
      </c>
      <c r="B633" s="119">
        <v>0.73525377229080935</v>
      </c>
      <c r="F633">
        <v>0.77625361987501895</v>
      </c>
      <c r="G633">
        <v>0.22069806431946348</v>
      </c>
      <c r="H633">
        <v>0.55403139765279674</v>
      </c>
      <c r="I633">
        <v>0.88736473098613</v>
      </c>
      <c r="J633">
        <v>0.33180917543057459</v>
      </c>
      <c r="K633">
        <v>0.6651425087639079</v>
      </c>
      <c r="L633">
        <v>0.99847584209724116</v>
      </c>
      <c r="M633">
        <v>3.9628105471726871E-3</v>
      </c>
      <c r="N633">
        <v>0.33729614388050599</v>
      </c>
      <c r="O633">
        <v>0.67062947721383936</v>
      </c>
      <c r="R633">
        <v>2.5</v>
      </c>
      <c r="S633" s="126">
        <f t="shared" si="101"/>
        <v>3.0447468427260964</v>
      </c>
      <c r="T633" s="126">
        <f t="shared" si="102"/>
        <v>2.0570550060217832</v>
      </c>
      <c r="U633" s="126">
        <f t="shared" si="103"/>
        <v>2.3076551396218496</v>
      </c>
      <c r="V633" s="126">
        <f t="shared" si="104"/>
        <v>3.3217338097824656</v>
      </c>
      <c r="W633" s="126">
        <f t="shared" si="105"/>
        <v>2.4725063982887927</v>
      </c>
      <c r="X633" s="126">
        <f t="shared" si="106"/>
        <v>2.7562186968389533</v>
      </c>
      <c r="Y633" s="126">
        <f t="shared" si="107"/>
        <v>4.990739550454494</v>
      </c>
      <c r="Z633" s="126">
        <f t="shared" si="108"/>
        <v>1.4800459642503534</v>
      </c>
      <c r="AA633" s="126">
        <f t="shared" si="109"/>
        <v>1.5593031589814501</v>
      </c>
      <c r="AB633" s="126">
        <f t="shared" si="110"/>
        <v>2.3097077811669866</v>
      </c>
    </row>
    <row r="634" spans="1:28">
      <c r="A634">
        <v>633</v>
      </c>
      <c r="B634" s="119">
        <v>0.17969821673525377</v>
      </c>
      <c r="F634">
        <v>0.1150739216582838</v>
      </c>
      <c r="G634">
        <v>0.4484072549916171</v>
      </c>
      <c r="H634">
        <v>0.78174058832495041</v>
      </c>
      <c r="I634">
        <v>0.22618503276939489</v>
      </c>
      <c r="J634">
        <v>0.55951836610272832</v>
      </c>
      <c r="K634">
        <v>0.89285169943606157</v>
      </c>
      <c r="L634">
        <v>4.0999847584209714E-2</v>
      </c>
      <c r="M634">
        <v>0.37433318091754303</v>
      </c>
      <c r="N634">
        <v>0.70766651425087645</v>
      </c>
      <c r="O634">
        <v>0.15211095869532082</v>
      </c>
      <c r="R634">
        <v>2.5</v>
      </c>
      <c r="S634" s="126">
        <f t="shared" si="101"/>
        <v>1.4284854976243015</v>
      </c>
      <c r="T634" s="126">
        <f t="shared" si="102"/>
        <v>1.7727188740502693</v>
      </c>
      <c r="U634" s="126">
        <f t="shared" si="103"/>
        <v>2.6944605683484242</v>
      </c>
      <c r="V634" s="126">
        <f t="shared" si="104"/>
        <v>1.8961511626766543</v>
      </c>
      <c r="W634" s="126">
        <f t="shared" si="105"/>
        <v>2.2382453412264791</v>
      </c>
      <c r="X634" s="126">
        <f t="shared" si="106"/>
        <v>3.3109369454926711</v>
      </c>
      <c r="Y634" s="126">
        <f t="shared" si="107"/>
        <v>1.3913126846024886</v>
      </c>
      <c r="Z634" s="126">
        <f t="shared" si="108"/>
        <v>1.5967366205838498</v>
      </c>
      <c r="AA634" s="126">
        <f t="shared" si="109"/>
        <v>2.4150668588191273</v>
      </c>
      <c r="AB634" s="126">
        <f t="shared" si="110"/>
        <v>1.528122589403909</v>
      </c>
    </row>
    <row r="635" spans="1:28">
      <c r="A635">
        <v>634</v>
      </c>
      <c r="B635" s="119">
        <v>0.51303155006858714</v>
      </c>
      <c r="F635">
        <v>0.48544429202865413</v>
      </c>
      <c r="G635">
        <v>0.81877762536198739</v>
      </c>
      <c r="H635">
        <v>0.26322206980643192</v>
      </c>
      <c r="I635">
        <v>0.59655540313976529</v>
      </c>
      <c r="J635">
        <v>0.92988873647309855</v>
      </c>
      <c r="K635">
        <v>7.8036884621246763E-2</v>
      </c>
      <c r="L635">
        <v>0.41137021795458006</v>
      </c>
      <c r="M635">
        <v>0.74470355128791343</v>
      </c>
      <c r="N635">
        <v>0.18914799573235785</v>
      </c>
      <c r="O635">
        <v>0.52248132906569122</v>
      </c>
      <c r="R635">
        <v>2.5</v>
      </c>
      <c r="S635" s="126">
        <f t="shared" si="101"/>
        <v>2.3881273141994739</v>
      </c>
      <c r="T635" s="126">
        <f t="shared" si="102"/>
        <v>3.1131592266376442</v>
      </c>
      <c r="U635" s="126">
        <f t="shared" si="103"/>
        <v>2.2039371616438266</v>
      </c>
      <c r="V635" s="126">
        <f t="shared" si="104"/>
        <v>2.4710412980954071</v>
      </c>
      <c r="W635" s="126">
        <f t="shared" si="105"/>
        <v>3.6202221685947364</v>
      </c>
      <c r="X635" s="126">
        <f t="shared" si="106"/>
        <v>1.8113540854860752</v>
      </c>
      <c r="Y635" s="126">
        <f t="shared" si="107"/>
        <v>1.8873409240273995</v>
      </c>
      <c r="Z635" s="126">
        <f t="shared" si="108"/>
        <v>2.6529530930800376</v>
      </c>
      <c r="AA635" s="126">
        <f t="shared" si="109"/>
        <v>1.7684196000107035</v>
      </c>
      <c r="AB635" s="126">
        <f t="shared" si="110"/>
        <v>2.0970391642139168</v>
      </c>
    </row>
    <row r="636" spans="1:28">
      <c r="A636">
        <v>635</v>
      </c>
      <c r="B636" s="119">
        <v>0.84636488340192029</v>
      </c>
      <c r="F636">
        <v>0.85581466239902448</v>
      </c>
      <c r="G636">
        <v>0.30025910684346896</v>
      </c>
      <c r="H636">
        <v>0.63359244017680239</v>
      </c>
      <c r="I636">
        <v>0.96692577351013564</v>
      </c>
      <c r="J636">
        <v>1.6308489559518365E-2</v>
      </c>
      <c r="K636">
        <v>0.34964182289285167</v>
      </c>
      <c r="L636">
        <v>0.68297515622618499</v>
      </c>
      <c r="M636">
        <v>0.12741960067062946</v>
      </c>
      <c r="N636">
        <v>0.46075293400396278</v>
      </c>
      <c r="O636">
        <v>0.79408626733729615</v>
      </c>
      <c r="R636">
        <v>2.5</v>
      </c>
      <c r="S636" s="126">
        <f t="shared" si="101"/>
        <v>3.2939198233975899</v>
      </c>
      <c r="T636" s="126">
        <f t="shared" si="102"/>
        <v>2.3853405362670244</v>
      </c>
      <c r="U636" s="126">
        <f t="shared" si="103"/>
        <v>2.6421724581030173</v>
      </c>
      <c r="V636" s="126">
        <f t="shared" si="104"/>
        <v>4.0051843340161817</v>
      </c>
      <c r="W636" s="126">
        <f t="shared" si="105"/>
        <v>1.4123279856583757</v>
      </c>
      <c r="X636" s="126">
        <f t="shared" si="106"/>
        <v>1.5529534317173908</v>
      </c>
      <c r="Y636" s="126">
        <f t="shared" si="107"/>
        <v>2.3348752198911873</v>
      </c>
      <c r="Z636" s="126">
        <f t="shared" si="108"/>
        <v>1.3960575098848615</v>
      </c>
      <c r="AA636" s="126">
        <f t="shared" si="109"/>
        <v>1.7821126007492443</v>
      </c>
      <c r="AB636" s="126">
        <f t="shared" si="110"/>
        <v>2.734315690244415</v>
      </c>
    </row>
    <row r="637" spans="1:28">
      <c r="A637">
        <v>636</v>
      </c>
      <c r="B637" s="119">
        <v>0.29080932784636487</v>
      </c>
      <c r="F637">
        <v>0.23853071178174057</v>
      </c>
      <c r="G637">
        <v>0.57186404511507405</v>
      </c>
      <c r="H637">
        <v>0.90519737844840731</v>
      </c>
      <c r="I637">
        <v>5.3345526596555393E-2</v>
      </c>
      <c r="J637">
        <v>0.38667885992988871</v>
      </c>
      <c r="K637">
        <v>0.72001219326322219</v>
      </c>
      <c r="L637">
        <v>0.1644566377076665</v>
      </c>
      <c r="M637">
        <v>0.49778997104099981</v>
      </c>
      <c r="N637">
        <v>0.83112330437433313</v>
      </c>
      <c r="O637">
        <v>0.2755677488187776</v>
      </c>
      <c r="R637">
        <v>2.5</v>
      </c>
      <c r="S637" s="126">
        <f t="shared" si="101"/>
        <v>1.8317642762985311</v>
      </c>
      <c r="T637" s="126">
        <f t="shared" si="102"/>
        <v>2.2317614930420722</v>
      </c>
      <c r="U637" s="126">
        <f t="shared" si="103"/>
        <v>3.3653403512189257</v>
      </c>
      <c r="V637" s="126">
        <f t="shared" si="104"/>
        <v>1.5225421235373684</v>
      </c>
      <c r="W637" s="126">
        <f t="shared" si="105"/>
        <v>1.689426543565177</v>
      </c>
      <c r="X637" s="126">
        <f t="shared" si="106"/>
        <v>2.4915907724405919</v>
      </c>
      <c r="Y637" s="126">
        <f t="shared" si="107"/>
        <v>1.6087444858389182</v>
      </c>
      <c r="Z637" s="126">
        <f t="shared" si="108"/>
        <v>1.9657132332684601</v>
      </c>
      <c r="AA637" s="126">
        <f t="shared" si="109"/>
        <v>2.9403594859516415</v>
      </c>
      <c r="AB637" s="126">
        <f t="shared" si="110"/>
        <v>2.1479222653837917</v>
      </c>
    </row>
    <row r="638" spans="1:28">
      <c r="A638">
        <v>637</v>
      </c>
      <c r="B638" s="119">
        <v>0.62414266117969819</v>
      </c>
      <c r="F638">
        <v>0.60890108215211103</v>
      </c>
      <c r="G638">
        <v>0.94223441548544429</v>
      </c>
      <c r="H638">
        <v>9.0382563633592441E-2</v>
      </c>
      <c r="I638">
        <v>0.42371589696692574</v>
      </c>
      <c r="J638">
        <v>0.75704923030025917</v>
      </c>
      <c r="K638">
        <v>0.20149367474470353</v>
      </c>
      <c r="L638">
        <v>0.53482700807803685</v>
      </c>
      <c r="M638">
        <v>0.86816034141137011</v>
      </c>
      <c r="N638">
        <v>0.31260478585581464</v>
      </c>
      <c r="O638">
        <v>0.64593811918914801</v>
      </c>
      <c r="R638">
        <v>2.5</v>
      </c>
      <c r="S638" s="126">
        <f t="shared" si="101"/>
        <v>2.6462483642672421</v>
      </c>
      <c r="T638" s="126">
        <f t="shared" si="102"/>
        <v>3.7898111136612171</v>
      </c>
      <c r="U638" s="126">
        <f t="shared" si="103"/>
        <v>1.9625717765816388</v>
      </c>
      <c r="V638" s="126">
        <f t="shared" si="104"/>
        <v>1.9894275503534216</v>
      </c>
      <c r="W638" s="126">
        <f t="shared" si="105"/>
        <v>2.7363691916906494</v>
      </c>
      <c r="X638" s="126">
        <f t="shared" si="106"/>
        <v>1.8472481101531639</v>
      </c>
      <c r="Y638" s="126">
        <f t="shared" si="107"/>
        <v>2.1622497315956215</v>
      </c>
      <c r="Z638" s="126">
        <f t="shared" si="108"/>
        <v>3.1703836677942805</v>
      </c>
      <c r="AA638" s="126">
        <f t="shared" si="109"/>
        <v>2.3522635982579714</v>
      </c>
      <c r="AB638" s="126">
        <f t="shared" si="110"/>
        <v>2.6527613745139464</v>
      </c>
    </row>
    <row r="639" spans="1:28">
      <c r="A639">
        <v>638</v>
      </c>
      <c r="B639" s="119">
        <v>0.95747599451303145</v>
      </c>
      <c r="F639">
        <v>0.97927145252248127</v>
      </c>
      <c r="G639">
        <v>2.8654168571864043E-2</v>
      </c>
      <c r="H639">
        <v>0.36198750190519735</v>
      </c>
      <c r="I639">
        <v>0.69532083523853072</v>
      </c>
      <c r="J639">
        <v>0.13976527968297514</v>
      </c>
      <c r="K639">
        <v>0.47309861301630846</v>
      </c>
      <c r="L639">
        <v>0.80643194634964177</v>
      </c>
      <c r="M639">
        <v>0.25087639079408625</v>
      </c>
      <c r="N639">
        <v>0.58420972412741967</v>
      </c>
      <c r="O639">
        <v>0.91754305746075293</v>
      </c>
      <c r="R639">
        <v>2.5</v>
      </c>
      <c r="S639" s="126">
        <f t="shared" si="101"/>
        <v>4.0999362375191826</v>
      </c>
      <c r="T639" s="126">
        <f t="shared" si="102"/>
        <v>1.6544504168705441</v>
      </c>
      <c r="U639" s="126">
        <f t="shared" si="103"/>
        <v>1.701975014408144</v>
      </c>
      <c r="V639" s="126">
        <f t="shared" si="104"/>
        <v>2.4386043156552368</v>
      </c>
      <c r="W639" s="126">
        <f t="shared" si="105"/>
        <v>1.4954522803142911</v>
      </c>
      <c r="X639" s="126">
        <f t="shared" si="106"/>
        <v>1.8576818096241074</v>
      </c>
      <c r="Y639" s="126">
        <f t="shared" si="107"/>
        <v>2.8087040843947584</v>
      </c>
      <c r="Z639" s="126">
        <f t="shared" si="108"/>
        <v>2.019335559071691</v>
      </c>
      <c r="AA639" s="126">
        <f t="shared" si="109"/>
        <v>2.3520597432047556</v>
      </c>
      <c r="AB639" s="126">
        <f t="shared" si="110"/>
        <v>3.4892998362418775</v>
      </c>
    </row>
    <row r="640" spans="1:28">
      <c r="A640">
        <v>639</v>
      </c>
      <c r="B640" s="119">
        <v>0.10562414266117968</v>
      </c>
      <c r="F640">
        <v>6.5691205608901085E-2</v>
      </c>
      <c r="G640">
        <v>0.39902453894223439</v>
      </c>
      <c r="H640">
        <v>0.73235787227556781</v>
      </c>
      <c r="I640">
        <v>0.17680231672001218</v>
      </c>
      <c r="J640">
        <v>0.5101356500533456</v>
      </c>
      <c r="K640">
        <v>0.84346898338667875</v>
      </c>
      <c r="L640">
        <v>0.28791342783112328</v>
      </c>
      <c r="M640">
        <v>0.62124676116445665</v>
      </c>
      <c r="N640">
        <v>0.95458009449778991</v>
      </c>
      <c r="O640">
        <v>0.10272824264593812</v>
      </c>
      <c r="R640">
        <v>2.5</v>
      </c>
      <c r="S640" s="126">
        <f t="shared" si="101"/>
        <v>1.1738740867622477</v>
      </c>
      <c r="T640" s="126">
        <f t="shared" si="102"/>
        <v>1.5406726917282114</v>
      </c>
      <c r="U640" s="126">
        <f t="shared" si="103"/>
        <v>2.4474123756593595</v>
      </c>
      <c r="V640" s="126">
        <f t="shared" si="104"/>
        <v>1.6266957872316787</v>
      </c>
      <c r="W640" s="126">
        <f t="shared" si="105"/>
        <v>2.000262119543752</v>
      </c>
      <c r="X640" s="126">
        <f t="shared" si="106"/>
        <v>2.9991320848015848</v>
      </c>
      <c r="Y640" s="126">
        <f t="shared" si="107"/>
        <v>2.20762327131072</v>
      </c>
      <c r="Z640" s="126">
        <f t="shared" si="108"/>
        <v>2.5259415649163364</v>
      </c>
      <c r="AA640" s="126">
        <f t="shared" si="109"/>
        <v>3.8259894790062496</v>
      </c>
      <c r="AB640" s="126">
        <f t="shared" si="110"/>
        <v>2.0403425516592613</v>
      </c>
    </row>
    <row r="641" spans="1:28">
      <c r="A641">
        <v>640</v>
      </c>
      <c r="B641" s="119">
        <v>0.43895747599451301</v>
      </c>
      <c r="F641">
        <v>0.43606157597927142</v>
      </c>
      <c r="G641">
        <v>0.76939490931260479</v>
      </c>
      <c r="H641">
        <v>0.21383935375704921</v>
      </c>
      <c r="I641">
        <v>0.54717268709038258</v>
      </c>
      <c r="J641">
        <v>0.88050602042371584</v>
      </c>
      <c r="K641">
        <v>0.32495046486816032</v>
      </c>
      <c r="L641">
        <v>0.65828379820149374</v>
      </c>
      <c r="M641">
        <v>0.991617131534827</v>
      </c>
      <c r="N641">
        <v>8.078036884621248E-3</v>
      </c>
      <c r="O641">
        <v>0.34141137021795454</v>
      </c>
      <c r="R641">
        <v>2.5</v>
      </c>
      <c r="S641" s="126">
        <f t="shared" si="101"/>
        <v>2.2854657960325895</v>
      </c>
      <c r="T641" s="126">
        <f t="shared" si="102"/>
        <v>2.9181610287401929</v>
      </c>
      <c r="U641" s="126">
        <f t="shared" si="103"/>
        <v>1.9741884492666359</v>
      </c>
      <c r="V641" s="126">
        <f t="shared" si="104"/>
        <v>2.2517109158283199</v>
      </c>
      <c r="W641" s="126">
        <f t="shared" si="105"/>
        <v>3.2646559673293312</v>
      </c>
      <c r="X641" s="126">
        <f t="shared" si="106"/>
        <v>2.4281669537515191</v>
      </c>
      <c r="Y641" s="126">
        <f t="shared" si="107"/>
        <v>2.7184642342285854</v>
      </c>
      <c r="Z641" s="126">
        <f t="shared" si="108"/>
        <v>4.5007885162018599</v>
      </c>
      <c r="AA641" s="126">
        <f t="shared" si="109"/>
        <v>1.4398741016741399</v>
      </c>
      <c r="AB641" s="126">
        <f t="shared" si="110"/>
        <v>1.5483830952751279</v>
      </c>
    </row>
    <row r="642" spans="1:28">
      <c r="A642">
        <v>641</v>
      </c>
      <c r="B642" s="119">
        <v>0.77229080932784633</v>
      </c>
      <c r="F642">
        <v>0.67474470355128791</v>
      </c>
      <c r="G642">
        <v>0.11918914799573235</v>
      </c>
      <c r="H642">
        <v>0.45252248132906564</v>
      </c>
      <c r="I642">
        <v>0.78585581466239895</v>
      </c>
      <c r="J642">
        <v>0.23030025910684346</v>
      </c>
      <c r="K642">
        <v>0.56363359244017686</v>
      </c>
      <c r="L642">
        <v>0.89696692577351012</v>
      </c>
      <c r="M642">
        <v>4.5115073921658276E-2</v>
      </c>
      <c r="N642">
        <v>0.37844840725499157</v>
      </c>
      <c r="O642">
        <v>0.711781740588325</v>
      </c>
      <c r="R642">
        <v>2.5</v>
      </c>
      <c r="S642" s="126">
        <f t="shared" si="101"/>
        <v>2.7919055371619095</v>
      </c>
      <c r="T642" s="126">
        <f t="shared" si="102"/>
        <v>1.5924587837806297</v>
      </c>
      <c r="U642" s="126">
        <f t="shared" si="103"/>
        <v>1.8637061631720324</v>
      </c>
      <c r="V642" s="126">
        <f t="shared" si="104"/>
        <v>2.751770042209408</v>
      </c>
      <c r="W642" s="126">
        <f t="shared" si="105"/>
        <v>1.9361814788606853</v>
      </c>
      <c r="X642" s="126">
        <f t="shared" si="106"/>
        <v>2.2669754883513882</v>
      </c>
      <c r="Y642" s="126">
        <f t="shared" si="107"/>
        <v>3.344033216620252</v>
      </c>
      <c r="Z642" s="126">
        <f t="shared" si="108"/>
        <v>1.4450748056068421</v>
      </c>
      <c r="AA642" s="126">
        <f t="shared" si="109"/>
        <v>1.6326982898664324</v>
      </c>
      <c r="AB642" s="126">
        <f t="shared" si="110"/>
        <v>2.4430527312088333</v>
      </c>
    </row>
    <row r="643" spans="1:28">
      <c r="A643">
        <v>642</v>
      </c>
      <c r="B643" s="119">
        <v>0.2167352537722908</v>
      </c>
      <c r="F643">
        <v>0.15622618503276939</v>
      </c>
      <c r="G643">
        <v>0.48955951836610268</v>
      </c>
      <c r="H643">
        <v>0.82289285169943593</v>
      </c>
      <c r="I643">
        <v>0.26733729614388047</v>
      </c>
      <c r="J643">
        <v>0.60067062947721384</v>
      </c>
      <c r="K643">
        <v>0.93400396281054709</v>
      </c>
      <c r="L643">
        <v>8.2152110958695318E-2</v>
      </c>
      <c r="M643">
        <v>0.41548544429202861</v>
      </c>
      <c r="N643">
        <v>0.74881877762536198</v>
      </c>
      <c r="O643">
        <v>0.19326322206980642</v>
      </c>
      <c r="R643">
        <v>2.5</v>
      </c>
      <c r="S643" s="126">
        <f t="shared" si="101"/>
        <v>1.5851055476258902</v>
      </c>
      <c r="T643" s="126">
        <f t="shared" si="102"/>
        <v>1.9368136724617182</v>
      </c>
      <c r="U643" s="126">
        <f t="shared" si="103"/>
        <v>2.8993025752406361</v>
      </c>
      <c r="V643" s="126">
        <f t="shared" si="104"/>
        <v>2.1068100902087323</v>
      </c>
      <c r="W643" s="126">
        <f t="shared" si="105"/>
        <v>2.431002919859711</v>
      </c>
      <c r="X643" s="126">
        <f t="shared" si="106"/>
        <v>3.6259396522779541</v>
      </c>
      <c r="Y643" s="126">
        <f t="shared" si="107"/>
        <v>1.8370421902833372</v>
      </c>
      <c r="Z643" s="126">
        <f t="shared" si="108"/>
        <v>1.9089658955247717</v>
      </c>
      <c r="AA643" s="126">
        <f t="shared" si="109"/>
        <v>2.6744307717822093</v>
      </c>
      <c r="AB643" s="126">
        <f t="shared" si="110"/>
        <v>1.7916741144521735</v>
      </c>
    </row>
    <row r="644" spans="1:28">
      <c r="A644">
        <v>643</v>
      </c>
      <c r="B644" s="119">
        <v>0.55006858710562412</v>
      </c>
      <c r="F644">
        <v>0.52659655540313977</v>
      </c>
      <c r="G644">
        <v>0.85992988873647302</v>
      </c>
      <c r="H644">
        <v>0.3043743331809175</v>
      </c>
      <c r="I644">
        <v>0.63770766651425093</v>
      </c>
      <c r="J644">
        <v>0.97104099984758419</v>
      </c>
      <c r="K644">
        <v>2.0423715896966926E-2</v>
      </c>
      <c r="L644">
        <v>0.35375704923030021</v>
      </c>
      <c r="M644">
        <v>0.68709038256363353</v>
      </c>
      <c r="N644">
        <v>0.13153482700807803</v>
      </c>
      <c r="O644">
        <v>0.46486816034141132</v>
      </c>
      <c r="R644">
        <v>2.5</v>
      </c>
      <c r="S644" s="126">
        <f t="shared" si="101"/>
        <v>2.4732557368373431</v>
      </c>
      <c r="T644" s="126">
        <f t="shared" si="102"/>
        <v>3.2955733993137422</v>
      </c>
      <c r="U644" s="126">
        <f t="shared" si="103"/>
        <v>2.3959001156730264</v>
      </c>
      <c r="V644" s="126">
        <f t="shared" si="104"/>
        <v>2.6565153592619715</v>
      </c>
      <c r="W644" s="126">
        <f t="shared" si="105"/>
        <v>4.0609751909348768</v>
      </c>
      <c r="X644" s="126">
        <f t="shared" si="106"/>
        <v>1.5159954368118647</v>
      </c>
      <c r="Y644" s="126">
        <f t="shared" si="107"/>
        <v>1.6142044132238029</v>
      </c>
      <c r="Z644" s="126">
        <f t="shared" si="108"/>
        <v>2.3752153115322665</v>
      </c>
      <c r="AA644" s="126">
        <f t="shared" si="109"/>
        <v>1.4324231703228802</v>
      </c>
      <c r="AB644" s="126">
        <f t="shared" si="110"/>
        <v>1.8089352712519406</v>
      </c>
    </row>
    <row r="645" spans="1:28">
      <c r="A645">
        <v>644</v>
      </c>
      <c r="B645" s="119">
        <v>0.88340192043895738</v>
      </c>
      <c r="F645">
        <v>0.79820149367474469</v>
      </c>
      <c r="G645">
        <v>0.24264593811918914</v>
      </c>
      <c r="H645">
        <v>0.57597927145252259</v>
      </c>
      <c r="I645">
        <v>0.90931260478585585</v>
      </c>
      <c r="J645">
        <v>5.7460752934003954E-2</v>
      </c>
      <c r="K645">
        <v>0.39079408626733725</v>
      </c>
      <c r="L645">
        <v>0.72412741960067073</v>
      </c>
      <c r="M645">
        <v>0.16857186404511507</v>
      </c>
      <c r="N645">
        <v>0.50190519737844841</v>
      </c>
      <c r="O645">
        <v>0.83523853071178167</v>
      </c>
      <c r="R645">
        <v>2.5</v>
      </c>
      <c r="S645" s="126">
        <f t="shared" si="101"/>
        <v>3.1071122634510342</v>
      </c>
      <c r="T645" s="126">
        <f t="shared" si="102"/>
        <v>2.14780290536903</v>
      </c>
      <c r="U645" s="126">
        <f t="shared" si="103"/>
        <v>2.3992596905632984</v>
      </c>
      <c r="V645" s="126">
        <f t="shared" si="104"/>
        <v>3.4699686155110152</v>
      </c>
      <c r="W645" s="126">
        <f t="shared" si="105"/>
        <v>1.6054754596458034</v>
      </c>
      <c r="X645" s="126">
        <f t="shared" si="106"/>
        <v>1.7399636309460598</v>
      </c>
      <c r="Y645" s="126">
        <f t="shared" si="107"/>
        <v>2.5271104723275259</v>
      </c>
      <c r="Z645" s="126">
        <f t="shared" si="108"/>
        <v>1.6401902083575213</v>
      </c>
      <c r="AA645" s="126">
        <f t="shared" si="109"/>
        <v>1.9900259864030347</v>
      </c>
      <c r="AB645" s="126">
        <f t="shared" si="110"/>
        <v>2.9661565602072146</v>
      </c>
    </row>
    <row r="646" spans="1:28">
      <c r="A646">
        <v>645</v>
      </c>
      <c r="B646" s="119">
        <v>0.32784636488340191</v>
      </c>
      <c r="F646">
        <v>0.27968297515622614</v>
      </c>
      <c r="G646">
        <v>0.61301630848955957</v>
      </c>
      <c r="H646">
        <v>0.94634964182289283</v>
      </c>
      <c r="I646">
        <v>9.4497789971040996E-2</v>
      </c>
      <c r="J646">
        <v>0.42783112330437428</v>
      </c>
      <c r="K646">
        <v>0.76116445663770771</v>
      </c>
      <c r="L646">
        <v>0.2056089010821521</v>
      </c>
      <c r="M646">
        <v>0.53894223441548539</v>
      </c>
      <c r="N646">
        <v>0.87227556774881865</v>
      </c>
      <c r="O646">
        <v>0.31672001219326318</v>
      </c>
      <c r="R646">
        <v>2.5</v>
      </c>
      <c r="S646" s="126">
        <f t="shared" si="101"/>
        <v>1.9367227719861153</v>
      </c>
      <c r="T646" s="126">
        <f t="shared" si="102"/>
        <v>2.3719980352498484</v>
      </c>
      <c r="U646" s="126">
        <f t="shared" si="103"/>
        <v>3.6821887905839521</v>
      </c>
      <c r="V646" s="126">
        <f t="shared" si="104"/>
        <v>1.9289743315797043</v>
      </c>
      <c r="W646" s="126">
        <f t="shared" si="105"/>
        <v>1.9811999142874936</v>
      </c>
      <c r="X646" s="126">
        <f t="shared" si="106"/>
        <v>2.7431304756410246</v>
      </c>
      <c r="Y646" s="126">
        <f t="shared" si="107"/>
        <v>1.8626433976812775</v>
      </c>
      <c r="Z646" s="126">
        <f t="shared" si="108"/>
        <v>2.1785320829945953</v>
      </c>
      <c r="AA646" s="126">
        <f t="shared" si="109"/>
        <v>3.1946317154299004</v>
      </c>
      <c r="AB646" s="126">
        <f t="shared" si="110"/>
        <v>2.3740099714998868</v>
      </c>
    </row>
    <row r="647" spans="1:28">
      <c r="A647">
        <v>646</v>
      </c>
      <c r="B647" s="119">
        <v>0.66117969821673528</v>
      </c>
      <c r="F647">
        <v>0.65005334552659655</v>
      </c>
      <c r="G647">
        <v>0.98338667885992981</v>
      </c>
      <c r="H647">
        <v>3.2769394909312598E-2</v>
      </c>
      <c r="I647">
        <v>0.36610272824264589</v>
      </c>
      <c r="J647">
        <v>0.69943606157597926</v>
      </c>
      <c r="K647">
        <v>0.14388050602042371</v>
      </c>
      <c r="L647">
        <v>0.477213839353757</v>
      </c>
      <c r="M647">
        <v>0.81054717268709031</v>
      </c>
      <c r="N647">
        <v>0.25499161713153479</v>
      </c>
      <c r="O647">
        <v>0.58832495046486821</v>
      </c>
      <c r="R647">
        <v>2.5</v>
      </c>
      <c r="S647" s="126">
        <f t="shared" si="101"/>
        <v>2.7361585531596653</v>
      </c>
      <c r="T647" s="126">
        <f t="shared" si="102"/>
        <v>4.2931953565082743</v>
      </c>
      <c r="U647" s="126">
        <f t="shared" si="103"/>
        <v>1.8005645309871614</v>
      </c>
      <c r="V647" s="126">
        <f t="shared" si="104"/>
        <v>1.7844501717020043</v>
      </c>
      <c r="W647" s="126">
        <f t="shared" si="105"/>
        <v>2.4897804266578918</v>
      </c>
      <c r="X647" s="126">
        <f t="shared" si="106"/>
        <v>1.5362905976991299</v>
      </c>
      <c r="Y647" s="126">
        <f t="shared" si="107"/>
        <v>1.8867318157098327</v>
      </c>
      <c r="Z647" s="126">
        <f t="shared" si="108"/>
        <v>2.8357522912158593</v>
      </c>
      <c r="AA647" s="126">
        <f t="shared" si="109"/>
        <v>2.0435456802454435</v>
      </c>
      <c r="AB647" s="126">
        <f t="shared" si="110"/>
        <v>2.3729403913049065</v>
      </c>
    </row>
    <row r="648" spans="1:28">
      <c r="A648">
        <v>647</v>
      </c>
      <c r="B648" s="119">
        <v>0.99451303155006854</v>
      </c>
      <c r="F648">
        <v>0.92165828379820147</v>
      </c>
      <c r="G648">
        <v>6.980643194634964E-2</v>
      </c>
      <c r="H648">
        <v>0.40313976527968293</v>
      </c>
      <c r="I648">
        <v>0.73647309861301635</v>
      </c>
      <c r="J648">
        <v>0.18091754305746074</v>
      </c>
      <c r="K648">
        <v>0.51425087639079414</v>
      </c>
      <c r="L648">
        <v>0.84758420972412729</v>
      </c>
      <c r="M648">
        <v>0.29202865416857182</v>
      </c>
      <c r="N648">
        <v>0.62536198750190519</v>
      </c>
      <c r="O648">
        <v>0.95869532083523845</v>
      </c>
      <c r="R648">
        <v>2.5</v>
      </c>
      <c r="S648" s="126">
        <f t="shared" si="101"/>
        <v>3.5864036731937992</v>
      </c>
      <c r="T648" s="126">
        <f t="shared" si="102"/>
        <v>1.7458311416550223</v>
      </c>
      <c r="U648" s="126">
        <f t="shared" si="103"/>
        <v>1.8369177267134684</v>
      </c>
      <c r="V648" s="126">
        <f t="shared" si="104"/>
        <v>2.6066563775473512</v>
      </c>
      <c r="W648" s="126">
        <f t="shared" si="105"/>
        <v>1.7197193170527894</v>
      </c>
      <c r="X648" s="126">
        <f t="shared" si="106"/>
        <v>2.0555278542449766</v>
      </c>
      <c r="Y648" s="126">
        <f t="shared" si="107"/>
        <v>3.0411855419681686</v>
      </c>
      <c r="Z648" s="126">
        <f t="shared" si="108"/>
        <v>2.2386757580035979</v>
      </c>
      <c r="AA648" s="126">
        <f t="shared" si="109"/>
        <v>2.5504871141453096</v>
      </c>
      <c r="AB648" s="126">
        <f t="shared" si="110"/>
        <v>3.8752427559802145</v>
      </c>
    </row>
    <row r="649" spans="1:28">
      <c r="A649">
        <v>648</v>
      </c>
      <c r="B649" s="119">
        <v>1.0973936899862827E-2</v>
      </c>
      <c r="F649">
        <v>0.10684346898338667</v>
      </c>
      <c r="G649">
        <v>0.44017680231671996</v>
      </c>
      <c r="H649">
        <v>0.77351013565005333</v>
      </c>
      <c r="I649">
        <v>0.21795458009449778</v>
      </c>
      <c r="J649">
        <v>0.55128791342783112</v>
      </c>
      <c r="K649">
        <v>0.88462124676116438</v>
      </c>
      <c r="L649">
        <v>0.32906569120560886</v>
      </c>
      <c r="M649">
        <v>0.66239902453894228</v>
      </c>
      <c r="N649">
        <v>0.99573235787227554</v>
      </c>
      <c r="O649">
        <v>1.2193263222069808E-2</v>
      </c>
      <c r="R649">
        <v>2.5</v>
      </c>
      <c r="S649" s="126">
        <f t="shared" si="101"/>
        <v>1.3925960241381916</v>
      </c>
      <c r="T649" s="126">
        <f t="shared" si="102"/>
        <v>1.737496502633386</v>
      </c>
      <c r="U649" s="126">
        <f t="shared" si="103"/>
        <v>2.6539698193871955</v>
      </c>
      <c r="V649" s="126">
        <f t="shared" si="104"/>
        <v>1.8529946778542505</v>
      </c>
      <c r="W649" s="126">
        <f t="shared" si="105"/>
        <v>2.199372422477496</v>
      </c>
      <c r="X649" s="126">
        <f t="shared" si="106"/>
        <v>3.2555804494202643</v>
      </c>
      <c r="Y649" s="126">
        <f t="shared" si="107"/>
        <v>2.4330126795141673</v>
      </c>
      <c r="Z649" s="126">
        <f t="shared" si="108"/>
        <v>2.730166817623549</v>
      </c>
      <c r="AA649" s="126">
        <f t="shared" si="109"/>
        <v>4.7032384702036039</v>
      </c>
      <c r="AB649" s="126">
        <f t="shared" si="110"/>
        <v>1.6689631750016294</v>
      </c>
    </row>
    <row r="650" spans="1:28">
      <c r="A650">
        <v>649</v>
      </c>
      <c r="B650" s="119">
        <v>0.34430727023319618</v>
      </c>
      <c r="F650">
        <v>0.34552659655540313</v>
      </c>
      <c r="G650">
        <v>0.67885992988873645</v>
      </c>
      <c r="H650">
        <v>0.12330437433318092</v>
      </c>
      <c r="I650">
        <v>0.45663770766651424</v>
      </c>
      <c r="J650">
        <v>0.7899710409998475</v>
      </c>
      <c r="K650">
        <v>0.234415485444292</v>
      </c>
      <c r="L650">
        <v>0.5677488187776254</v>
      </c>
      <c r="M650">
        <v>0.90108215211095866</v>
      </c>
      <c r="N650">
        <v>4.9230300259106838E-2</v>
      </c>
      <c r="O650">
        <v>0.38256363359244017</v>
      </c>
      <c r="R650">
        <v>2.5</v>
      </c>
      <c r="S650" s="126">
        <f t="shared" si="101"/>
        <v>2.0904303045152046</v>
      </c>
      <c r="T650" s="126">
        <f t="shared" si="102"/>
        <v>2.5955081573171679</v>
      </c>
      <c r="U650" s="126">
        <f t="shared" si="103"/>
        <v>1.5105952819717656</v>
      </c>
      <c r="V650" s="126">
        <f t="shared" si="104"/>
        <v>1.8311252625092114</v>
      </c>
      <c r="W650" s="126">
        <f t="shared" si="105"/>
        <v>2.7471043673991948</v>
      </c>
      <c r="X650" s="126">
        <f t="shared" si="106"/>
        <v>1.944951449842959</v>
      </c>
      <c r="Y650" s="126">
        <f t="shared" si="107"/>
        <v>2.2800086110802766</v>
      </c>
      <c r="Z650" s="126">
        <f t="shared" si="108"/>
        <v>3.3697895881979836</v>
      </c>
      <c r="AA650" s="126">
        <f t="shared" si="109"/>
        <v>1.492514794219806</v>
      </c>
      <c r="AB650" s="126">
        <f t="shared" si="110"/>
        <v>1.6654525529084532</v>
      </c>
    </row>
    <row r="651" spans="1:28">
      <c r="A651">
        <v>650</v>
      </c>
      <c r="B651" s="119">
        <v>0.67764060356652944</v>
      </c>
      <c r="F651">
        <v>0.71589696692577354</v>
      </c>
      <c r="G651">
        <v>0.16034141137021793</v>
      </c>
      <c r="H651">
        <v>0.49367474470355127</v>
      </c>
      <c r="I651">
        <v>0.82700807803688448</v>
      </c>
      <c r="J651">
        <v>0.27145252248132906</v>
      </c>
      <c r="K651">
        <v>0.60478585581466238</v>
      </c>
      <c r="L651">
        <v>0.93811918914799564</v>
      </c>
      <c r="M651">
        <v>8.6267337296143887E-2</v>
      </c>
      <c r="N651">
        <v>0.4196006706294772</v>
      </c>
      <c r="O651">
        <v>0.75293400396281052</v>
      </c>
      <c r="R651">
        <v>2.5</v>
      </c>
      <c r="S651" s="126">
        <f t="shared" si="101"/>
        <v>2.8889370927233129</v>
      </c>
      <c r="T651" s="126">
        <f t="shared" si="102"/>
        <v>1.7946349013127276</v>
      </c>
      <c r="U651" s="126">
        <f t="shared" si="103"/>
        <v>2.0506331368536883</v>
      </c>
      <c r="V651" s="126">
        <f t="shared" si="104"/>
        <v>2.9696736908635257</v>
      </c>
      <c r="W651" s="126">
        <f t="shared" si="105"/>
        <v>2.1524557634103507</v>
      </c>
      <c r="X651" s="126">
        <f t="shared" si="106"/>
        <v>2.4627460169695201</v>
      </c>
      <c r="Y651" s="126">
        <f t="shared" si="107"/>
        <v>3.6690149842816902</v>
      </c>
      <c r="Z651" s="126">
        <f t="shared" si="108"/>
        <v>1.8806609687275675</v>
      </c>
      <c r="AA651" s="126">
        <f t="shared" si="109"/>
        <v>1.9395832151679586</v>
      </c>
      <c r="AB651" s="126">
        <f t="shared" si="110"/>
        <v>2.7005203383662981</v>
      </c>
    </row>
    <row r="652" spans="1:28">
      <c r="A652">
        <v>651</v>
      </c>
      <c r="B652" s="119">
        <v>0.12208504801097393</v>
      </c>
      <c r="F652">
        <v>0.19737844840725496</v>
      </c>
      <c r="G652">
        <v>0.53071178174058831</v>
      </c>
      <c r="H652">
        <v>0.86404511507392157</v>
      </c>
      <c r="I652">
        <v>0.3084895595183661</v>
      </c>
      <c r="J652">
        <v>0.64182289285169947</v>
      </c>
      <c r="K652">
        <v>0.97515622618503273</v>
      </c>
      <c r="L652">
        <v>2.4538942234415485E-2</v>
      </c>
      <c r="M652">
        <v>0.35787227556774881</v>
      </c>
      <c r="N652">
        <v>0.69120560890108207</v>
      </c>
      <c r="O652">
        <v>0.13565005334552657</v>
      </c>
      <c r="R652">
        <v>2.5</v>
      </c>
      <c r="S652" s="126">
        <f t="shared" si="101"/>
        <v>1.7163041452448071</v>
      </c>
      <c r="T652" s="126">
        <f t="shared" si="102"/>
        <v>2.0879003456728089</v>
      </c>
      <c r="U652" s="126">
        <f t="shared" si="103"/>
        <v>3.1172934469577465</v>
      </c>
      <c r="V652" s="126">
        <f t="shared" si="104"/>
        <v>2.3159667194645461</v>
      </c>
      <c r="W652" s="126">
        <f t="shared" si="105"/>
        <v>2.6254115034237331</v>
      </c>
      <c r="X652" s="126">
        <f t="shared" si="106"/>
        <v>4.1000480801955295</v>
      </c>
      <c r="Y652" s="126">
        <f t="shared" si="107"/>
        <v>1.5992757851273565</v>
      </c>
      <c r="Z652" s="126">
        <f t="shared" si="108"/>
        <v>1.6651709274639908</v>
      </c>
      <c r="AA652" s="126">
        <f t="shared" si="109"/>
        <v>2.4104407176797595</v>
      </c>
      <c r="AB652" s="126">
        <f t="shared" si="110"/>
        <v>1.4658743366229281</v>
      </c>
    </row>
    <row r="653" spans="1:28">
      <c r="A653">
        <v>652</v>
      </c>
      <c r="B653" s="119">
        <v>0.45541838134430729</v>
      </c>
      <c r="F653">
        <v>0.46898338667885991</v>
      </c>
      <c r="G653">
        <v>0.80231672001219323</v>
      </c>
      <c r="H653">
        <v>0.24676116445663768</v>
      </c>
      <c r="I653">
        <v>0.58009449778997113</v>
      </c>
      <c r="J653">
        <v>0.91342783112330439</v>
      </c>
      <c r="K653">
        <v>6.1575979271452516E-2</v>
      </c>
      <c r="L653">
        <v>0.39490931260478584</v>
      </c>
      <c r="M653">
        <v>0.72824264593811927</v>
      </c>
      <c r="N653">
        <v>0.17268709038256361</v>
      </c>
      <c r="O653">
        <v>0.50602042371589695</v>
      </c>
      <c r="R653">
        <v>2.5</v>
      </c>
      <c r="S653" s="126">
        <f t="shared" si="101"/>
        <v>2.3540368757963228</v>
      </c>
      <c r="T653" s="126">
        <f t="shared" si="102"/>
        <v>3.045884848041335</v>
      </c>
      <c r="U653" s="126">
        <f t="shared" si="103"/>
        <v>2.1278343340710828</v>
      </c>
      <c r="V653" s="126">
        <f t="shared" si="104"/>
        <v>2.3978981164406092</v>
      </c>
      <c r="W653" s="126">
        <f t="shared" si="105"/>
        <v>3.4904285967467201</v>
      </c>
      <c r="X653" s="126">
        <f t="shared" si="106"/>
        <v>1.6444411705074486</v>
      </c>
      <c r="Y653" s="126">
        <f t="shared" si="107"/>
        <v>1.7683763113119439</v>
      </c>
      <c r="Z653" s="126">
        <f t="shared" si="108"/>
        <v>2.5515848871553004</v>
      </c>
      <c r="AA653" s="126">
        <f t="shared" si="109"/>
        <v>1.6658728670972567</v>
      </c>
      <c r="AB653" s="126">
        <f t="shared" si="110"/>
        <v>2.0114426428467569</v>
      </c>
    </row>
    <row r="654" spans="1:28">
      <c r="A654">
        <v>653</v>
      </c>
      <c r="B654" s="119">
        <v>0.78875171467764049</v>
      </c>
      <c r="F654">
        <v>0.83935375704923021</v>
      </c>
      <c r="G654">
        <v>0.28379820149367474</v>
      </c>
      <c r="H654">
        <v>0.61713153482700811</v>
      </c>
      <c r="I654">
        <v>0.95046486816034137</v>
      </c>
      <c r="J654">
        <v>9.8613016308489565E-2</v>
      </c>
      <c r="K654">
        <v>0.43194634964182288</v>
      </c>
      <c r="L654">
        <v>0.76527968297515625</v>
      </c>
      <c r="M654">
        <v>0.20972412741960064</v>
      </c>
      <c r="N654">
        <v>0.54305746075293393</v>
      </c>
      <c r="O654">
        <v>0.87639079408626719</v>
      </c>
      <c r="R654">
        <v>2.5</v>
      </c>
      <c r="S654" s="126">
        <f t="shared" si="101"/>
        <v>3.2362684951523555</v>
      </c>
      <c r="T654" s="126">
        <f t="shared" si="102"/>
        <v>2.3168244532552444</v>
      </c>
      <c r="U654" s="126">
        <f t="shared" si="103"/>
        <v>2.5719173198432386</v>
      </c>
      <c r="V654" s="126">
        <f t="shared" si="104"/>
        <v>3.8147798790764798</v>
      </c>
      <c r="W654" s="126">
        <f t="shared" si="105"/>
        <v>2.015460281680844</v>
      </c>
      <c r="X654" s="126">
        <f t="shared" si="106"/>
        <v>2.0333096903294132</v>
      </c>
      <c r="Y654" s="126">
        <f t="shared" si="107"/>
        <v>2.7803205314794623</v>
      </c>
      <c r="Z654" s="126">
        <f t="shared" si="108"/>
        <v>1.8931904729520515</v>
      </c>
      <c r="AA654" s="126">
        <f t="shared" si="109"/>
        <v>2.2024383864854262</v>
      </c>
      <c r="AB654" s="126">
        <f t="shared" si="110"/>
        <v>3.2230754924494009</v>
      </c>
    </row>
    <row r="655" spans="1:28">
      <c r="A655">
        <v>654</v>
      </c>
      <c r="B655" s="119">
        <v>0.23319615912208502</v>
      </c>
      <c r="F655">
        <v>0.32083523853071177</v>
      </c>
      <c r="G655">
        <v>0.65416857186404509</v>
      </c>
      <c r="H655">
        <v>0.98750190519737835</v>
      </c>
      <c r="I655">
        <v>3.6884621246761159E-2</v>
      </c>
      <c r="J655">
        <v>0.37021795458009449</v>
      </c>
      <c r="K655">
        <v>0.7035512879134278</v>
      </c>
      <c r="L655">
        <v>0.14799573235787225</v>
      </c>
      <c r="M655">
        <v>0.48132906569120559</v>
      </c>
      <c r="N655">
        <v>0.81466239902453885</v>
      </c>
      <c r="O655">
        <v>0.25910684346898338</v>
      </c>
      <c r="R655">
        <v>2.5</v>
      </c>
      <c r="S655" s="126">
        <f t="shared" si="101"/>
        <v>2.0343948292461307</v>
      </c>
      <c r="T655" s="126">
        <f t="shared" si="102"/>
        <v>2.5113295096988879</v>
      </c>
      <c r="U655" s="126">
        <f t="shared" si="103"/>
        <v>4.272679187069409</v>
      </c>
      <c r="V655" s="126">
        <f t="shared" si="104"/>
        <v>1.8343990117199533</v>
      </c>
      <c r="W655" s="126">
        <f t="shared" si="105"/>
        <v>1.8104598196144777</v>
      </c>
      <c r="X655" s="126">
        <f t="shared" si="106"/>
        <v>2.5126372799517016</v>
      </c>
      <c r="Y655" s="126">
        <f t="shared" si="107"/>
        <v>1.5626067116920943</v>
      </c>
      <c r="Z655" s="126">
        <f t="shared" si="108"/>
        <v>1.9084779301596237</v>
      </c>
      <c r="AA655" s="126">
        <f t="shared" si="109"/>
        <v>2.8592970972644203</v>
      </c>
      <c r="AB655" s="126">
        <f t="shared" si="110"/>
        <v>2.0659057240262388</v>
      </c>
    </row>
    <row r="656" spans="1:28">
      <c r="A656">
        <v>655</v>
      </c>
      <c r="B656" s="119">
        <v>0.56652949245541839</v>
      </c>
      <c r="F656">
        <v>0.59244017680231675</v>
      </c>
      <c r="G656">
        <v>0.92577351013565001</v>
      </c>
      <c r="H656">
        <v>7.3921658283798208E-2</v>
      </c>
      <c r="I656">
        <v>0.40725499161713152</v>
      </c>
      <c r="J656">
        <v>0.74058832495046489</v>
      </c>
      <c r="K656">
        <v>0.18503276939490929</v>
      </c>
      <c r="L656">
        <v>0.51836610272824268</v>
      </c>
      <c r="M656">
        <v>0.85169943606157583</v>
      </c>
      <c r="N656">
        <v>0.29614388050602042</v>
      </c>
      <c r="O656">
        <v>0.62947721383935373</v>
      </c>
      <c r="R656">
        <v>2.5</v>
      </c>
      <c r="S656" s="126">
        <f t="shared" si="101"/>
        <v>2.6110875683980459</v>
      </c>
      <c r="T656" s="126">
        <f t="shared" si="102"/>
        <v>3.6659104578433261</v>
      </c>
      <c r="U656" s="126">
        <f t="shared" si="103"/>
        <v>1.8105705459375954</v>
      </c>
      <c r="V656" s="126">
        <f t="shared" si="104"/>
        <v>1.8782123127171071</v>
      </c>
      <c r="W656" s="126">
        <f t="shared" si="105"/>
        <v>2.6378451132428076</v>
      </c>
      <c r="X656" s="126">
        <f t="shared" si="106"/>
        <v>1.7481984136619317</v>
      </c>
      <c r="Y656" s="126">
        <f t="shared" si="107"/>
        <v>2.0783566967535649</v>
      </c>
      <c r="Z656" s="126">
        <f t="shared" si="108"/>
        <v>3.0671944128669266</v>
      </c>
      <c r="AA656" s="126">
        <f t="shared" si="109"/>
        <v>2.2615993889803274</v>
      </c>
      <c r="AB656" s="126">
        <f t="shared" si="110"/>
        <v>2.5709781679875214</v>
      </c>
    </row>
    <row r="657" spans="1:28">
      <c r="A657">
        <v>656</v>
      </c>
      <c r="B657" s="119">
        <v>0.89986282578875165</v>
      </c>
      <c r="F657">
        <v>0.96281054717268699</v>
      </c>
      <c r="G657">
        <v>0.11095869532083524</v>
      </c>
      <c r="H657">
        <v>0.44429202865416856</v>
      </c>
      <c r="I657">
        <v>0.77762536198750187</v>
      </c>
      <c r="J657">
        <v>0.22206980643194632</v>
      </c>
      <c r="K657">
        <v>0.55540313976527966</v>
      </c>
      <c r="L657">
        <v>0.88873647309861292</v>
      </c>
      <c r="M657">
        <v>0.33318091754305745</v>
      </c>
      <c r="N657">
        <v>0.66651425087639082</v>
      </c>
      <c r="O657">
        <v>0.99984758420972408</v>
      </c>
      <c r="R657">
        <v>2.5</v>
      </c>
      <c r="S657" s="126">
        <f t="shared" si="101"/>
        <v>3.8898978908774691</v>
      </c>
      <c r="T657" s="126">
        <f t="shared" si="102"/>
        <v>2.1093418757719489</v>
      </c>
      <c r="U657" s="126">
        <f t="shared" si="103"/>
        <v>2.1063313986327357</v>
      </c>
      <c r="V657" s="126">
        <f t="shared" si="104"/>
        <v>2.8506800867379969</v>
      </c>
      <c r="W657" s="126">
        <f t="shared" si="105"/>
        <v>1.9633244942856245</v>
      </c>
      <c r="X657" s="126">
        <f t="shared" si="106"/>
        <v>2.2634091888844035</v>
      </c>
      <c r="Y657" s="126">
        <f t="shared" si="107"/>
        <v>3.3054376256262277</v>
      </c>
      <c r="Z657" s="126">
        <f t="shared" si="108"/>
        <v>2.4674307386699175</v>
      </c>
      <c r="AA657" s="126">
        <f t="shared" si="109"/>
        <v>2.7567762926292194</v>
      </c>
      <c r="AB657" s="126">
        <f t="shared" si="110"/>
        <v>5.5257672297255382</v>
      </c>
    </row>
    <row r="658" spans="1:28">
      <c r="A658">
        <v>657</v>
      </c>
      <c r="B658" s="119">
        <v>4.8010973936899862E-2</v>
      </c>
      <c r="F658">
        <v>5.0805263425290857E-5</v>
      </c>
      <c r="G658">
        <v>0.33338413859675858</v>
      </c>
      <c r="H658">
        <v>0.6667174719300919</v>
      </c>
      <c r="I658">
        <v>0.1111619163745364</v>
      </c>
      <c r="J658">
        <v>0.44449524970786969</v>
      </c>
      <c r="K658">
        <v>0.77782858304120295</v>
      </c>
      <c r="L658">
        <v>0.22227302748564751</v>
      </c>
      <c r="M658">
        <v>0.55560636081898085</v>
      </c>
      <c r="N658">
        <v>0.88893969415231411</v>
      </c>
      <c r="O658">
        <v>3.7087842300462324E-2</v>
      </c>
      <c r="R658">
        <v>2.5</v>
      </c>
      <c r="S658" s="126">
        <f t="shared" si="101"/>
        <v>-0.78753392059922955</v>
      </c>
      <c r="T658" s="126">
        <f t="shared" si="102"/>
        <v>0.41076425967507402</v>
      </c>
      <c r="U658" s="126">
        <f t="shared" si="103"/>
        <v>1.72355668493492</v>
      </c>
      <c r="V658" s="126">
        <f t="shared" si="104"/>
        <v>1.0214240866263724</v>
      </c>
      <c r="W658" s="126">
        <f t="shared" si="105"/>
        <v>1.5599681988110143</v>
      </c>
      <c r="X658" s="126">
        <f t="shared" si="106"/>
        <v>2.5766407167488663</v>
      </c>
      <c r="Y658" s="126">
        <f t="shared" si="107"/>
        <v>1.8261552280290716</v>
      </c>
      <c r="Z658" s="126">
        <f t="shared" si="108"/>
        <v>2.194892181421217</v>
      </c>
      <c r="AA658" s="126">
        <f t="shared" si="109"/>
        <v>3.2718856990652965</v>
      </c>
      <c r="AB658" s="126">
        <f t="shared" si="110"/>
        <v>1.33347354929123</v>
      </c>
    </row>
    <row r="659" spans="1:28">
      <c r="A659">
        <v>658</v>
      </c>
      <c r="B659" s="119">
        <v>0.38134430727023322</v>
      </c>
      <c r="F659">
        <v>0.37042117563379562</v>
      </c>
      <c r="G659">
        <v>0.70375450896712899</v>
      </c>
      <c r="H659">
        <v>0.14819895341157344</v>
      </c>
      <c r="I659">
        <v>0.48153228674490672</v>
      </c>
      <c r="J659">
        <v>0.81486562007823993</v>
      </c>
      <c r="K659">
        <v>0.25931006452268451</v>
      </c>
      <c r="L659">
        <v>0.59264339785601783</v>
      </c>
      <c r="M659">
        <v>0.92597673118935109</v>
      </c>
      <c r="N659">
        <v>7.4124879337499366E-2</v>
      </c>
      <c r="O659">
        <v>0.40745821267083265</v>
      </c>
      <c r="R659">
        <v>2.5</v>
      </c>
      <c r="S659" s="126">
        <f t="shared" si="101"/>
        <v>2.1454346884661093</v>
      </c>
      <c r="T659" s="126">
        <f t="shared" si="102"/>
        <v>2.6814804297848336</v>
      </c>
      <c r="U659" s="126">
        <f t="shared" si="103"/>
        <v>1.6481923305246573</v>
      </c>
      <c r="V659" s="126">
        <f t="shared" si="104"/>
        <v>1.9519138707323842</v>
      </c>
      <c r="W659" s="126">
        <f t="shared" si="105"/>
        <v>2.881755447839609</v>
      </c>
      <c r="X659" s="126">
        <f t="shared" si="106"/>
        <v>2.0777108582201649</v>
      </c>
      <c r="Y659" s="126">
        <f t="shared" si="107"/>
        <v>2.399276869346544</v>
      </c>
      <c r="Z659" s="126">
        <f t="shared" si="108"/>
        <v>3.5606491633616466</v>
      </c>
      <c r="AA659" s="126">
        <f t="shared" si="109"/>
        <v>1.7588622348712941</v>
      </c>
      <c r="AB659" s="126">
        <f t="shared" si="110"/>
        <v>1.8526555656601102</v>
      </c>
    </row>
    <row r="660" spans="1:28">
      <c r="A660">
        <v>659</v>
      </c>
      <c r="B660" s="119">
        <v>0.71467764060356653</v>
      </c>
      <c r="F660">
        <v>0.74079154600416597</v>
      </c>
      <c r="G660">
        <v>0.18523599044861047</v>
      </c>
      <c r="H660">
        <v>0.51856932378194376</v>
      </c>
      <c r="I660">
        <v>0.85190265711527702</v>
      </c>
      <c r="J660">
        <v>0.29634710155972155</v>
      </c>
      <c r="K660">
        <v>0.62968043489305492</v>
      </c>
      <c r="L660">
        <v>0.96301376822638818</v>
      </c>
      <c r="M660">
        <v>1.239648427577097E-2</v>
      </c>
      <c r="N660">
        <v>0.34572981760910426</v>
      </c>
      <c r="O660">
        <v>0.67906315094243752</v>
      </c>
      <c r="R660">
        <v>2.5</v>
      </c>
      <c r="S660" s="126">
        <f t="shared" si="101"/>
        <v>2.9508730672443453</v>
      </c>
      <c r="T660" s="126">
        <f t="shared" si="102"/>
        <v>1.9061539240439678</v>
      </c>
      <c r="U660" s="126">
        <f t="shared" si="103"/>
        <v>2.1581657398391441</v>
      </c>
      <c r="V660" s="126">
        <f t="shared" si="104"/>
        <v>3.1080311569651449</v>
      </c>
      <c r="W660" s="126">
        <f t="shared" si="105"/>
        <v>2.2826087935556463</v>
      </c>
      <c r="X660" s="126">
        <f t="shared" si="106"/>
        <v>2.5819812673650864</v>
      </c>
      <c r="Y660" s="126">
        <f t="shared" si="107"/>
        <v>3.9331703762956938</v>
      </c>
      <c r="Z660" s="126">
        <f t="shared" si="108"/>
        <v>1.2871818258400123</v>
      </c>
      <c r="AA660" s="126">
        <f t="shared" si="109"/>
        <v>1.4813225196912554</v>
      </c>
      <c r="AB660" s="126">
        <f t="shared" si="110"/>
        <v>2.2898386634371546</v>
      </c>
    </row>
    <row r="661" spans="1:28">
      <c r="A661">
        <v>660</v>
      </c>
      <c r="B661" s="119">
        <v>0.15912208504801095</v>
      </c>
      <c r="F661">
        <v>0.12350759538688208</v>
      </c>
      <c r="G661">
        <v>0.45684092872021537</v>
      </c>
      <c r="H661">
        <v>0.79017426205354868</v>
      </c>
      <c r="I661">
        <v>0.23461870649799318</v>
      </c>
      <c r="J661">
        <v>0.56795203983132658</v>
      </c>
      <c r="K661">
        <v>0.90128537316465984</v>
      </c>
      <c r="L661">
        <v>4.9433521312808003E-2</v>
      </c>
      <c r="M661">
        <v>0.3827668546461413</v>
      </c>
      <c r="N661">
        <v>0.71610018797947472</v>
      </c>
      <c r="O661">
        <v>0.16054463242391911</v>
      </c>
      <c r="R661">
        <v>2.5</v>
      </c>
      <c r="S661" s="126">
        <f t="shared" si="101"/>
        <v>1.4634144778043112</v>
      </c>
      <c r="T661" s="126">
        <f t="shared" si="102"/>
        <v>1.8078348304945078</v>
      </c>
      <c r="U661" s="126">
        <f t="shared" si="103"/>
        <v>2.7359803106126925</v>
      </c>
      <c r="V661" s="126">
        <f t="shared" si="104"/>
        <v>1.9399065670308868</v>
      </c>
      <c r="W661" s="126">
        <f t="shared" si="105"/>
        <v>2.2778993867894939</v>
      </c>
      <c r="X661" s="126">
        <f t="shared" si="106"/>
        <v>3.3696929326457292</v>
      </c>
      <c r="Y661" s="126">
        <f t="shared" si="107"/>
        <v>1.4941089615205763</v>
      </c>
      <c r="Z661" s="126">
        <f t="shared" si="108"/>
        <v>1.666693074193736</v>
      </c>
      <c r="AA661" s="126">
        <f t="shared" si="109"/>
        <v>2.4706115759166702</v>
      </c>
      <c r="AB661" s="126">
        <f t="shared" si="110"/>
        <v>1.5850721496118747</v>
      </c>
    </row>
    <row r="662" spans="1:28">
      <c r="A662">
        <v>661</v>
      </c>
      <c r="B662" s="119">
        <v>0.49245541838134432</v>
      </c>
      <c r="F662">
        <v>0.4938779657572524</v>
      </c>
      <c r="G662">
        <v>0.82721129909058566</v>
      </c>
      <c r="H662">
        <v>0.27165574353503019</v>
      </c>
      <c r="I662">
        <v>0.60498907686836356</v>
      </c>
      <c r="J662">
        <v>0.93832241020169682</v>
      </c>
      <c r="K662">
        <v>8.6470558349845045E-2</v>
      </c>
      <c r="L662">
        <v>0.41980389168317833</v>
      </c>
      <c r="M662">
        <v>0.7531372250165117</v>
      </c>
      <c r="N662">
        <v>0.19758166946095615</v>
      </c>
      <c r="O662">
        <v>0.53091500279428938</v>
      </c>
      <c r="R662">
        <v>2.5</v>
      </c>
      <c r="S662" s="126">
        <f t="shared" si="101"/>
        <v>2.4055698394147167</v>
      </c>
      <c r="T662" s="126">
        <f t="shared" si="102"/>
        <v>3.1487201553734261</v>
      </c>
      <c r="U662" s="126">
        <f t="shared" si="103"/>
        <v>2.2429500038951788</v>
      </c>
      <c r="V662" s="126">
        <f t="shared" si="104"/>
        <v>2.5086637074186284</v>
      </c>
      <c r="W662" s="126">
        <f t="shared" si="105"/>
        <v>3.6934685214737972</v>
      </c>
      <c r="X662" s="126">
        <f t="shared" si="106"/>
        <v>1.8940156766347065</v>
      </c>
      <c r="Y662" s="126">
        <f t="shared" si="107"/>
        <v>1.9467241610349399</v>
      </c>
      <c r="Z662" s="126">
        <f t="shared" si="108"/>
        <v>2.7046402900339803</v>
      </c>
      <c r="AA662" s="126">
        <f t="shared" si="109"/>
        <v>1.8197596624570651</v>
      </c>
      <c r="AB662" s="126">
        <f t="shared" si="110"/>
        <v>2.1403184990733832</v>
      </c>
    </row>
    <row r="663" spans="1:28">
      <c r="A663">
        <v>662</v>
      </c>
      <c r="B663" s="119">
        <v>0.82578875171467747</v>
      </c>
      <c r="F663">
        <v>0.86424833612762264</v>
      </c>
      <c r="G663">
        <v>0.30869278057206723</v>
      </c>
      <c r="H663">
        <v>0.64202611390540054</v>
      </c>
      <c r="I663">
        <v>0.9753594472387338</v>
      </c>
      <c r="J663">
        <v>2.4742163288116646E-2</v>
      </c>
      <c r="K663">
        <v>0.35807549662144994</v>
      </c>
      <c r="L663">
        <v>0.69140882995478326</v>
      </c>
      <c r="M663">
        <v>0.13585327439922776</v>
      </c>
      <c r="N663">
        <v>0.46918660773256105</v>
      </c>
      <c r="O663">
        <v>0.8025199410658943</v>
      </c>
      <c r="R663">
        <v>2.5</v>
      </c>
      <c r="S663" s="126">
        <f t="shared" si="101"/>
        <v>3.3251834127558721</v>
      </c>
      <c r="T663" s="126">
        <f t="shared" si="102"/>
        <v>2.420928275551022</v>
      </c>
      <c r="U663" s="126">
        <f t="shared" si="103"/>
        <v>2.6786140472402278</v>
      </c>
      <c r="V663" s="126">
        <f t="shared" si="104"/>
        <v>4.1296806703778284</v>
      </c>
      <c r="W663" s="126">
        <f t="shared" si="105"/>
        <v>1.6170721221594868</v>
      </c>
      <c r="X663" s="126">
        <f t="shared" si="106"/>
        <v>1.6745642766154563</v>
      </c>
      <c r="Y663" s="126">
        <f t="shared" si="107"/>
        <v>2.4156378055971208</v>
      </c>
      <c r="Z663" s="126">
        <f t="shared" si="108"/>
        <v>1.4692554665288804</v>
      </c>
      <c r="AA663" s="126">
        <f t="shared" si="109"/>
        <v>1.8364060920606162</v>
      </c>
      <c r="AB663" s="126">
        <f t="shared" si="110"/>
        <v>2.7863267359804835</v>
      </c>
    </row>
    <row r="664" spans="1:28">
      <c r="A664">
        <v>663</v>
      </c>
      <c r="B664" s="119">
        <v>0.27023319615912211</v>
      </c>
      <c r="F664">
        <v>0.24696438551033886</v>
      </c>
      <c r="G664">
        <v>0.58029771884367221</v>
      </c>
      <c r="H664">
        <v>0.91363105217700546</v>
      </c>
      <c r="I664">
        <v>6.1779200325153681E-2</v>
      </c>
      <c r="J664">
        <v>0.39511253365848698</v>
      </c>
      <c r="K664">
        <v>0.72844586699182035</v>
      </c>
      <c r="L664">
        <v>0.17289031143626479</v>
      </c>
      <c r="M664">
        <v>0.50622364476959814</v>
      </c>
      <c r="N664">
        <v>0.83955697810293128</v>
      </c>
      <c r="O664">
        <v>0.28400142254737587</v>
      </c>
      <c r="R664">
        <v>2.5</v>
      </c>
      <c r="S664" s="126">
        <f t="shared" si="101"/>
        <v>1.8540036386616294</v>
      </c>
      <c r="T664" s="126">
        <f t="shared" si="102"/>
        <v>2.2606996560204489</v>
      </c>
      <c r="U664" s="126">
        <f t="shared" si="103"/>
        <v>3.4225360753423031</v>
      </c>
      <c r="V664" s="126">
        <f t="shared" si="104"/>
        <v>1.6116954637794962</v>
      </c>
      <c r="W664" s="126">
        <f t="shared" si="105"/>
        <v>1.7523536348641027</v>
      </c>
      <c r="X664" s="126">
        <f t="shared" si="106"/>
        <v>2.5440372832403608</v>
      </c>
      <c r="Y664" s="126">
        <f t="shared" si="107"/>
        <v>1.6627349647271514</v>
      </c>
      <c r="Z664" s="126">
        <f t="shared" si="108"/>
        <v>2.0102857354200734</v>
      </c>
      <c r="AA664" s="126">
        <f t="shared" si="109"/>
        <v>2.9908254744527456</v>
      </c>
      <c r="AB664" s="126">
        <f t="shared" si="110"/>
        <v>2.1939594198491452</v>
      </c>
    </row>
    <row r="665" spans="1:28">
      <c r="A665">
        <v>664</v>
      </c>
      <c r="B665" s="119">
        <v>0.60356652949245537</v>
      </c>
      <c r="F665">
        <v>0.61733475588070919</v>
      </c>
      <c r="G665">
        <v>0.95066808921404244</v>
      </c>
      <c r="H665">
        <v>9.8816237362190723E-2</v>
      </c>
      <c r="I665">
        <v>0.43214957069552401</v>
      </c>
      <c r="J665">
        <v>0.76548290402885732</v>
      </c>
      <c r="K665">
        <v>0.20992734847330183</v>
      </c>
      <c r="L665">
        <v>0.54326068180663512</v>
      </c>
      <c r="M665">
        <v>0.87659401513996837</v>
      </c>
      <c r="N665">
        <v>0.32103845958441291</v>
      </c>
      <c r="O665">
        <v>0.65437179291774628</v>
      </c>
      <c r="R665">
        <v>2.5</v>
      </c>
      <c r="S665" s="126">
        <f t="shared" si="101"/>
        <v>2.6644206075368118</v>
      </c>
      <c r="T665" s="126">
        <f t="shared" si="102"/>
        <v>3.8629120815897116</v>
      </c>
      <c r="U665" s="126">
        <f t="shared" si="103"/>
        <v>2.0406156928826986</v>
      </c>
      <c r="V665" s="126">
        <f t="shared" si="104"/>
        <v>2.0463791526561077</v>
      </c>
      <c r="W665" s="126">
        <f t="shared" si="105"/>
        <v>2.7874351805515856</v>
      </c>
      <c r="X665" s="126">
        <f t="shared" si="106"/>
        <v>1.8973481754804609</v>
      </c>
      <c r="Y665" s="126">
        <f t="shared" si="107"/>
        <v>2.2049506761850433</v>
      </c>
      <c r="Z665" s="126">
        <f t="shared" si="108"/>
        <v>3.2251592914193568</v>
      </c>
      <c r="AA665" s="126">
        <f t="shared" si="109"/>
        <v>2.3993280296467208</v>
      </c>
      <c r="AB665" s="126">
        <f t="shared" si="110"/>
        <v>2.6951995159904785</v>
      </c>
    </row>
    <row r="666" spans="1:28">
      <c r="A666">
        <v>665</v>
      </c>
      <c r="B666" s="119">
        <v>0.93689986282578863</v>
      </c>
      <c r="F666">
        <v>0.98770512625107953</v>
      </c>
      <c r="G666">
        <v>4.1660316008738513E-3</v>
      </c>
      <c r="H666">
        <v>0.33749936493420712</v>
      </c>
      <c r="I666">
        <v>0.67083269826754044</v>
      </c>
      <c r="J666">
        <v>0.11527714271198496</v>
      </c>
      <c r="K666">
        <v>0.44861047604531823</v>
      </c>
      <c r="L666">
        <v>0.78194380937865149</v>
      </c>
      <c r="M666">
        <v>0.22638825382309608</v>
      </c>
      <c r="N666">
        <v>0.55972158715642939</v>
      </c>
      <c r="O666">
        <v>0.89305492048976265</v>
      </c>
      <c r="R666">
        <v>2.5</v>
      </c>
      <c r="S666" s="126">
        <f t="shared" si="101"/>
        <v>4.2722025159730634</v>
      </c>
      <c r="T666" s="126">
        <f t="shared" si="102"/>
        <v>1.132859195015655</v>
      </c>
      <c r="U666" s="126">
        <f t="shared" si="103"/>
        <v>1.3852659006868595</v>
      </c>
      <c r="V666" s="126">
        <f t="shared" si="104"/>
        <v>2.2226999069859183</v>
      </c>
      <c r="W666" s="126">
        <f t="shared" si="105"/>
        <v>1.2899770827569395</v>
      </c>
      <c r="X666" s="126">
        <f t="shared" si="106"/>
        <v>1.7035282315491136</v>
      </c>
      <c r="Y666" s="126">
        <f t="shared" si="107"/>
        <v>2.6602541891105371</v>
      </c>
      <c r="Z666" s="126">
        <f t="shared" si="108"/>
        <v>1.8795161216239906</v>
      </c>
      <c r="AA666" s="126">
        <f t="shared" si="109"/>
        <v>2.2303094761968465</v>
      </c>
      <c r="AB666" s="126">
        <f t="shared" si="110"/>
        <v>3.3078574140869681</v>
      </c>
    </row>
    <row r="667" spans="1:28">
      <c r="A667">
        <v>666</v>
      </c>
      <c r="B667" s="119">
        <v>8.5048010973936897E-2</v>
      </c>
      <c r="F667">
        <v>4.1203068637910886E-2</v>
      </c>
      <c r="G667">
        <v>0.37453640197124416</v>
      </c>
      <c r="H667">
        <v>0.70786973530457753</v>
      </c>
      <c r="I667">
        <v>0.15231417974902201</v>
      </c>
      <c r="J667">
        <v>0.48564751308235526</v>
      </c>
      <c r="K667">
        <v>0.81898084641568847</v>
      </c>
      <c r="L667">
        <v>0.26342529086013305</v>
      </c>
      <c r="M667">
        <v>0.59675862419346637</v>
      </c>
      <c r="N667">
        <v>0.93009195752679963</v>
      </c>
      <c r="O667">
        <v>7.8240105674947921E-2</v>
      </c>
      <c r="R667">
        <v>2.5</v>
      </c>
      <c r="S667" s="126">
        <f t="shared" si="101"/>
        <v>0.98563845822158491</v>
      </c>
      <c r="T667" s="126">
        <f t="shared" si="102"/>
        <v>1.3932869977193891</v>
      </c>
      <c r="U667" s="126">
        <f t="shared" si="103"/>
        <v>2.3133010002664669</v>
      </c>
      <c r="V667" s="126">
        <f t="shared" si="104"/>
        <v>1.4776869941380431</v>
      </c>
      <c r="W667" s="126">
        <f t="shared" si="105"/>
        <v>1.8747332262565481</v>
      </c>
      <c r="X667" s="126">
        <f t="shared" si="106"/>
        <v>2.8557636593303108</v>
      </c>
      <c r="Y667" s="126">
        <f t="shared" si="107"/>
        <v>2.0750835451086722</v>
      </c>
      <c r="Z667" s="126">
        <f t="shared" si="108"/>
        <v>2.4067123927986089</v>
      </c>
      <c r="AA667" s="126">
        <f t="shared" si="109"/>
        <v>3.5891387041237408</v>
      </c>
      <c r="AB667" s="126">
        <f t="shared" si="110"/>
        <v>1.7968792902281994</v>
      </c>
    </row>
    <row r="668" spans="1:28">
      <c r="A668">
        <v>667</v>
      </c>
      <c r="B668" s="119">
        <v>0.41838134430727025</v>
      </c>
      <c r="F668">
        <v>0.41157343900828119</v>
      </c>
      <c r="G668">
        <v>0.74490677234161451</v>
      </c>
      <c r="H668">
        <v>0.18935121678605904</v>
      </c>
      <c r="I668">
        <v>0.5226845501193923</v>
      </c>
      <c r="J668">
        <v>0.85601788345272556</v>
      </c>
      <c r="K668">
        <v>0.30046232789717009</v>
      </c>
      <c r="L668">
        <v>0.63379566123050346</v>
      </c>
      <c r="M668">
        <v>0.96712899456383672</v>
      </c>
      <c r="N668">
        <v>1.651171061321953E-2</v>
      </c>
      <c r="O668">
        <v>0.3498450439465528</v>
      </c>
      <c r="R668">
        <v>2.5</v>
      </c>
      <c r="S668" s="126">
        <f t="shared" si="101"/>
        <v>2.2338851645215692</v>
      </c>
      <c r="T668" s="126">
        <f t="shared" si="102"/>
        <v>2.8276480117716152</v>
      </c>
      <c r="U668" s="126">
        <f t="shared" si="103"/>
        <v>1.8568404510311514</v>
      </c>
      <c r="V668" s="126">
        <f t="shared" si="104"/>
        <v>2.1419003111842176</v>
      </c>
      <c r="W668" s="126">
        <f t="shared" si="105"/>
        <v>3.1146774782564801</v>
      </c>
      <c r="X668" s="126">
        <f t="shared" si="106"/>
        <v>2.2957351548130092</v>
      </c>
      <c r="Y668" s="126">
        <f t="shared" si="107"/>
        <v>2.5975821974914823</v>
      </c>
      <c r="Z668" s="126">
        <f t="shared" si="108"/>
        <v>3.985051617042096</v>
      </c>
      <c r="AA668" s="126">
        <f t="shared" si="109"/>
        <v>1.4063070421988559</v>
      </c>
      <c r="AB668" s="126">
        <f t="shared" si="110"/>
        <v>1.5503799566360312</v>
      </c>
    </row>
    <row r="669" spans="1:28">
      <c r="A669">
        <v>668</v>
      </c>
      <c r="B669" s="119">
        <v>0.75171467764060351</v>
      </c>
      <c r="F669">
        <v>0.68317837727988606</v>
      </c>
      <c r="G669">
        <v>0.12762282172433065</v>
      </c>
      <c r="H669">
        <v>0.46095615505766391</v>
      </c>
      <c r="I669">
        <v>0.79428948839099722</v>
      </c>
      <c r="J669">
        <v>0.23873393283544175</v>
      </c>
      <c r="K669">
        <v>0.57206726616877512</v>
      </c>
      <c r="L669">
        <v>0.90540059950210838</v>
      </c>
      <c r="M669">
        <v>5.3548747650256565E-2</v>
      </c>
      <c r="N669">
        <v>0.38688208098358984</v>
      </c>
      <c r="O669">
        <v>0.72021541431692326</v>
      </c>
      <c r="R669">
        <v>2.5</v>
      </c>
      <c r="S669" s="126">
        <f t="shared" si="101"/>
        <v>2.811331448824558</v>
      </c>
      <c r="T669" s="126">
        <f t="shared" si="102"/>
        <v>1.6363274095143236</v>
      </c>
      <c r="U669" s="126">
        <f t="shared" si="103"/>
        <v>1.903294439202595</v>
      </c>
      <c r="V669" s="126">
        <f t="shared" si="104"/>
        <v>2.7958102375000196</v>
      </c>
      <c r="W669" s="126">
        <f t="shared" si="105"/>
        <v>1.9809793679657544</v>
      </c>
      <c r="X669" s="126">
        <f t="shared" si="106"/>
        <v>2.3071841194008993</v>
      </c>
      <c r="Y669" s="126">
        <f t="shared" si="107"/>
        <v>3.4042417761630395</v>
      </c>
      <c r="Z669" s="126">
        <f t="shared" si="108"/>
        <v>1.5436352971988523</v>
      </c>
      <c r="AA669" s="126">
        <f t="shared" si="109"/>
        <v>1.7004658811423852</v>
      </c>
      <c r="AB669" s="126">
        <f t="shared" si="110"/>
        <v>2.4976371772167916</v>
      </c>
    </row>
    <row r="670" spans="1:28">
      <c r="A670">
        <v>669</v>
      </c>
      <c r="B670" s="119">
        <v>0.19615912208504799</v>
      </c>
      <c r="F670">
        <v>0.16465985876136768</v>
      </c>
      <c r="G670">
        <v>0.49799319209470094</v>
      </c>
      <c r="H670">
        <v>0.8313265254280342</v>
      </c>
      <c r="I670">
        <v>0.27577096987247873</v>
      </c>
      <c r="J670">
        <v>0.6091043032058121</v>
      </c>
      <c r="K670">
        <v>0.94243763653914536</v>
      </c>
      <c r="L670">
        <v>9.05857846872936E-2</v>
      </c>
      <c r="M670">
        <v>0.42391911802062687</v>
      </c>
      <c r="N670">
        <v>0.75725245135396024</v>
      </c>
      <c r="O670">
        <v>0.20169689579840472</v>
      </c>
      <c r="R670">
        <v>2.5</v>
      </c>
      <c r="S670" s="126">
        <f t="shared" si="101"/>
        <v>1.6136473768036754</v>
      </c>
      <c r="T670" s="126">
        <f t="shared" si="102"/>
        <v>1.9685975849621427</v>
      </c>
      <c r="U670" s="126">
        <f t="shared" si="103"/>
        <v>2.942474619035413</v>
      </c>
      <c r="V670" s="126">
        <f t="shared" si="104"/>
        <v>2.1494870705981111</v>
      </c>
      <c r="W670" s="126">
        <f t="shared" si="105"/>
        <v>2.4705171171565601</v>
      </c>
      <c r="X670" s="126">
        <f t="shared" si="106"/>
        <v>3.7029402213384488</v>
      </c>
      <c r="Y670" s="126">
        <f t="shared" si="107"/>
        <v>1.9199385434743452</v>
      </c>
      <c r="Z670" s="126">
        <f t="shared" si="108"/>
        <v>1.9684280675383476</v>
      </c>
      <c r="AA670" s="126">
        <f t="shared" si="109"/>
        <v>2.7263505865133109</v>
      </c>
      <c r="AB670" s="126">
        <f t="shared" si="110"/>
        <v>1.8428086238508021</v>
      </c>
    </row>
    <row r="671" spans="1:28">
      <c r="A671">
        <v>670</v>
      </c>
      <c r="B671" s="119">
        <v>0.5294924554183813</v>
      </c>
      <c r="F671">
        <v>0.53503022913173792</v>
      </c>
      <c r="G671">
        <v>0.86836356246507118</v>
      </c>
      <c r="H671">
        <v>0.31280800690951577</v>
      </c>
      <c r="I671">
        <v>0.64614134024284908</v>
      </c>
      <c r="J671">
        <v>0.97947467357618234</v>
      </c>
      <c r="K671">
        <v>2.8857389625565208E-2</v>
      </c>
      <c r="L671">
        <v>0.36219072295889848</v>
      </c>
      <c r="M671">
        <v>0.6955240562922318</v>
      </c>
      <c r="N671">
        <v>0.13996850073667633</v>
      </c>
      <c r="O671">
        <v>0.47330183407000959</v>
      </c>
      <c r="R671">
        <v>2.5</v>
      </c>
      <c r="S671" s="126">
        <f t="shared" si="101"/>
        <v>2.4907446018429331</v>
      </c>
      <c r="T671" s="126">
        <f t="shared" si="102"/>
        <v>3.3362702954957935</v>
      </c>
      <c r="U671" s="126">
        <f t="shared" si="103"/>
        <v>2.4361115436261525</v>
      </c>
      <c r="V671" s="126">
        <f t="shared" si="104"/>
        <v>2.6953540509668725</v>
      </c>
      <c r="W671" s="126">
        <f t="shared" si="105"/>
        <v>4.2014936611418783</v>
      </c>
      <c r="X671" s="126">
        <f t="shared" si="106"/>
        <v>1.7080448062140889</v>
      </c>
      <c r="Y671" s="126">
        <f t="shared" si="107"/>
        <v>1.7293586985212697</v>
      </c>
      <c r="Z671" s="126">
        <f t="shared" si="108"/>
        <v>2.4528461740124836</v>
      </c>
      <c r="AA671" s="126">
        <f t="shared" si="109"/>
        <v>1.5033637993659483</v>
      </c>
      <c r="AB671" s="126">
        <f t="shared" si="110"/>
        <v>1.8620792424533226</v>
      </c>
    </row>
    <row r="672" spans="1:28">
      <c r="A672">
        <v>671</v>
      </c>
      <c r="B672" s="119">
        <v>0.86282578875171456</v>
      </c>
      <c r="F672">
        <v>0.80663516740334285</v>
      </c>
      <c r="G672">
        <v>0.25107961184778738</v>
      </c>
      <c r="H672">
        <v>0.58441294518112075</v>
      </c>
      <c r="I672">
        <v>0.91774627851445401</v>
      </c>
      <c r="J672">
        <v>6.5894426662602243E-2</v>
      </c>
      <c r="K672">
        <v>0.39922775999593552</v>
      </c>
      <c r="L672">
        <v>0.73256109332926889</v>
      </c>
      <c r="M672">
        <v>0.17700553777371336</v>
      </c>
      <c r="N672">
        <v>0.51033887110704668</v>
      </c>
      <c r="O672">
        <v>0.84367220444037982</v>
      </c>
      <c r="R672">
        <v>2.5</v>
      </c>
      <c r="S672" s="126">
        <f t="shared" si="101"/>
        <v>3.1321440853245193</v>
      </c>
      <c r="T672" s="126">
        <f t="shared" si="102"/>
        <v>2.1824228805941472</v>
      </c>
      <c r="U672" s="126">
        <f t="shared" si="103"/>
        <v>2.4344572178003077</v>
      </c>
      <c r="V672" s="126">
        <f t="shared" si="104"/>
        <v>3.5318158601991474</v>
      </c>
      <c r="W672" s="126">
        <f t="shared" si="105"/>
        <v>1.6937743260689806</v>
      </c>
      <c r="X672" s="126">
        <f t="shared" si="106"/>
        <v>1.8024086570977584</v>
      </c>
      <c r="Y672" s="126">
        <f t="shared" si="107"/>
        <v>2.5794701452713609</v>
      </c>
      <c r="Z672" s="126">
        <f t="shared" si="108"/>
        <v>1.6937138255717112</v>
      </c>
      <c r="AA672" s="126">
        <f t="shared" si="109"/>
        <v>2.0343656768262237</v>
      </c>
      <c r="AB672" s="126">
        <f t="shared" si="110"/>
        <v>3.0169717089271222</v>
      </c>
    </row>
    <row r="673" spans="1:28">
      <c r="A673">
        <v>672</v>
      </c>
      <c r="B673" s="119">
        <v>0.30727023319615915</v>
      </c>
      <c r="F673">
        <v>0.28811664888482441</v>
      </c>
      <c r="G673">
        <v>0.62144998221815773</v>
      </c>
      <c r="H673">
        <v>0.95478331555149099</v>
      </c>
      <c r="I673">
        <v>0.10293146369963928</v>
      </c>
      <c r="J673">
        <v>0.43626479703297255</v>
      </c>
      <c r="K673">
        <v>0.76959813036630587</v>
      </c>
      <c r="L673">
        <v>0.2140425748107504</v>
      </c>
      <c r="M673">
        <v>0.54737590814408366</v>
      </c>
      <c r="N673">
        <v>0.88070924147741692</v>
      </c>
      <c r="O673">
        <v>0.32515368592186145</v>
      </c>
      <c r="R673">
        <v>2.5</v>
      </c>
      <c r="S673" s="126">
        <f t="shared" si="101"/>
        <v>1.9572507422293135</v>
      </c>
      <c r="T673" s="126">
        <f t="shared" si="102"/>
        <v>2.4005450327132376</v>
      </c>
      <c r="U673" s="126">
        <f t="shared" si="103"/>
        <v>3.7647235387953222</v>
      </c>
      <c r="V673" s="126">
        <f t="shared" si="104"/>
        <v>2.0104861618803898</v>
      </c>
      <c r="W673" s="126">
        <f t="shared" si="105"/>
        <v>2.0398617544016799</v>
      </c>
      <c r="X673" s="126">
        <f t="shared" si="106"/>
        <v>2.7952717725859784</v>
      </c>
      <c r="Y673" s="126">
        <f t="shared" si="107"/>
        <v>1.9129996147263031</v>
      </c>
      <c r="Z673" s="126">
        <f t="shared" si="108"/>
        <v>2.221380534685935</v>
      </c>
      <c r="AA673" s="126">
        <f t="shared" si="109"/>
        <v>3.2502528371033881</v>
      </c>
      <c r="AB673" s="126">
        <f t="shared" si="110"/>
        <v>2.4213936224767645</v>
      </c>
    </row>
    <row r="674" spans="1:28">
      <c r="A674">
        <v>673</v>
      </c>
      <c r="B674" s="119">
        <v>0.64060356652949246</v>
      </c>
      <c r="F674">
        <v>0.65848701925519482</v>
      </c>
      <c r="G674">
        <v>0.99182035258852808</v>
      </c>
      <c r="H674">
        <v>8.2812579383224113E-3</v>
      </c>
      <c r="I674">
        <v>0.34161459127165572</v>
      </c>
      <c r="J674">
        <v>0.67494792460498898</v>
      </c>
      <c r="K674">
        <v>0.11939236904943352</v>
      </c>
      <c r="L674">
        <v>0.45272570238276683</v>
      </c>
      <c r="M674">
        <v>0.78605903571610003</v>
      </c>
      <c r="N674">
        <v>0.23050348016054462</v>
      </c>
      <c r="O674">
        <v>0.56383681349387793</v>
      </c>
      <c r="R674">
        <v>2.5</v>
      </c>
      <c r="S674" s="126">
        <f t="shared" si="101"/>
        <v>2.7550241541032889</v>
      </c>
      <c r="T674" s="126">
        <f t="shared" si="102"/>
        <v>4.52658205374793</v>
      </c>
      <c r="U674" s="126">
        <f t="shared" si="103"/>
        <v>1.4603373532843045</v>
      </c>
      <c r="V674" s="126">
        <f t="shared" si="104"/>
        <v>1.5591246079673666</v>
      </c>
      <c r="W674" s="126">
        <f t="shared" si="105"/>
        <v>2.3194871874958327</v>
      </c>
      <c r="X674" s="126">
        <f t="shared" si="106"/>
        <v>1.3558627459818007</v>
      </c>
      <c r="Y674" s="126">
        <f t="shared" si="107"/>
        <v>1.7452161345775874</v>
      </c>
      <c r="Z674" s="126">
        <f t="shared" si="108"/>
        <v>2.6927921004474777</v>
      </c>
      <c r="AA674" s="126">
        <f t="shared" si="109"/>
        <v>1.9070906364062905</v>
      </c>
      <c r="AB674" s="126">
        <f t="shared" si="110"/>
        <v>2.2527800267093738</v>
      </c>
    </row>
    <row r="675" spans="1:28">
      <c r="A675">
        <v>674</v>
      </c>
      <c r="B675" s="119">
        <v>0.97393689986282572</v>
      </c>
      <c r="F675">
        <v>0.89717014682721119</v>
      </c>
      <c r="G675">
        <v>4.5318294975359448E-2</v>
      </c>
      <c r="H675">
        <v>0.37865162830869276</v>
      </c>
      <c r="I675">
        <v>0.71198496164202607</v>
      </c>
      <c r="J675">
        <v>0.15642940608647055</v>
      </c>
      <c r="K675">
        <v>0.48976273941980386</v>
      </c>
      <c r="L675">
        <v>0.82309607275313701</v>
      </c>
      <c r="M675">
        <v>0.26754051719758165</v>
      </c>
      <c r="N675">
        <v>0.60087385053091491</v>
      </c>
      <c r="O675">
        <v>0.93420718386424817</v>
      </c>
      <c r="R675">
        <v>2.5</v>
      </c>
      <c r="S675" s="126">
        <f t="shared" si="101"/>
        <v>3.4620865366122189</v>
      </c>
      <c r="T675" s="126">
        <f t="shared" si="102"/>
        <v>1.5061699392298187</v>
      </c>
      <c r="U675" s="126">
        <f t="shared" si="103"/>
        <v>1.6638454413405428</v>
      </c>
      <c r="V675" s="126">
        <f t="shared" si="104"/>
        <v>2.4591984645061764</v>
      </c>
      <c r="W675" s="126">
        <f t="shared" si="105"/>
        <v>1.565298171394641</v>
      </c>
      <c r="X675" s="126">
        <f t="shared" si="106"/>
        <v>1.9272787791424921</v>
      </c>
      <c r="Y675" s="126">
        <f t="shared" si="107"/>
        <v>2.8951559068983101</v>
      </c>
      <c r="Z675" s="126">
        <f t="shared" si="108"/>
        <v>2.1052353456822246</v>
      </c>
      <c r="AA675" s="126">
        <f t="shared" si="109"/>
        <v>2.4306455291712967</v>
      </c>
      <c r="AB675" s="126">
        <f t="shared" si="110"/>
        <v>3.6270680502942891</v>
      </c>
    </row>
    <row r="676" spans="1:28">
      <c r="A676">
        <v>675</v>
      </c>
      <c r="B676" s="119">
        <v>2.3319615912208505E-2</v>
      </c>
      <c r="F676">
        <v>8.235533201239649E-2</v>
      </c>
      <c r="G676">
        <v>0.41568866534572979</v>
      </c>
      <c r="H676">
        <v>0.74902199867906305</v>
      </c>
      <c r="I676">
        <v>0.19346644312350758</v>
      </c>
      <c r="J676">
        <v>0.52679977645684084</v>
      </c>
      <c r="K676">
        <v>0.8601331097901741</v>
      </c>
      <c r="L676">
        <v>0.30457755423461869</v>
      </c>
      <c r="M676">
        <v>0.637910887567952</v>
      </c>
      <c r="N676">
        <v>0.97124422090128526</v>
      </c>
      <c r="O676">
        <v>2.0626936950668088E-2</v>
      </c>
      <c r="R676">
        <v>2.5</v>
      </c>
      <c r="S676" s="126">
        <f t="shared" si="101"/>
        <v>1.2722490002818021</v>
      </c>
      <c r="T676" s="126">
        <f t="shared" si="102"/>
        <v>1.6255306488880761</v>
      </c>
      <c r="U676" s="126">
        <f t="shared" si="103"/>
        <v>2.532502481155344</v>
      </c>
      <c r="V676" s="126">
        <f t="shared" si="104"/>
        <v>1.720952029858559</v>
      </c>
      <c r="W676" s="126">
        <f t="shared" si="105"/>
        <v>2.0821273231851367</v>
      </c>
      <c r="X676" s="126">
        <f t="shared" si="106"/>
        <v>3.0997454478231257</v>
      </c>
      <c r="Y676" s="126">
        <f t="shared" si="107"/>
        <v>2.2979558770660851</v>
      </c>
      <c r="Z676" s="126">
        <f t="shared" si="108"/>
        <v>2.6077356862172687</v>
      </c>
      <c r="AA676" s="126">
        <f t="shared" si="109"/>
        <v>4.0390026836974107</v>
      </c>
      <c r="AB676" s="126">
        <f t="shared" si="110"/>
        <v>1.5083386704985022</v>
      </c>
    </row>
    <row r="677" spans="1:28">
      <c r="A677">
        <v>676</v>
      </c>
      <c r="B677" s="119">
        <v>0.35665294924554186</v>
      </c>
      <c r="F677">
        <v>0.3539602702840014</v>
      </c>
      <c r="G677">
        <v>0.6872936036173346</v>
      </c>
      <c r="H677">
        <v>0.13173804806177919</v>
      </c>
      <c r="I677">
        <v>0.4650713813951125</v>
      </c>
      <c r="J677">
        <v>0.79840471472844576</v>
      </c>
      <c r="K677">
        <v>0.24284915917289029</v>
      </c>
      <c r="L677">
        <v>0.57618249250622366</v>
      </c>
      <c r="M677">
        <v>0.90951582583955692</v>
      </c>
      <c r="N677">
        <v>5.7663973987705126E-2</v>
      </c>
      <c r="O677">
        <v>0.39099730732103843</v>
      </c>
      <c r="R677">
        <v>2.5</v>
      </c>
      <c r="S677" s="126">
        <f t="shared" si="101"/>
        <v>2.109215851948564</v>
      </c>
      <c r="T677" s="126">
        <f t="shared" si="102"/>
        <v>2.6244813206462769</v>
      </c>
      <c r="U677" s="126">
        <f t="shared" si="103"/>
        <v>1.558489790563043</v>
      </c>
      <c r="V677" s="126">
        <f t="shared" si="104"/>
        <v>1.8727181344626178</v>
      </c>
      <c r="W677" s="126">
        <f t="shared" si="105"/>
        <v>2.7924360826604944</v>
      </c>
      <c r="X677" s="126">
        <f t="shared" si="106"/>
        <v>1.9901825131441901</v>
      </c>
      <c r="Y677" s="126">
        <f t="shared" si="107"/>
        <v>2.3204676402568682</v>
      </c>
      <c r="Z677" s="126">
        <f t="shared" si="108"/>
        <v>3.4313949521627141</v>
      </c>
      <c r="AA677" s="126">
        <f t="shared" si="109"/>
        <v>1.5875419838252527</v>
      </c>
      <c r="AB677" s="126">
        <f t="shared" si="110"/>
        <v>1.7313868491923046</v>
      </c>
    </row>
    <row r="678" spans="1:28">
      <c r="A678">
        <v>677</v>
      </c>
      <c r="B678" s="119">
        <v>0.68998628257887507</v>
      </c>
      <c r="F678">
        <v>0.7243306406543718</v>
      </c>
      <c r="G678">
        <v>0.16877508509881622</v>
      </c>
      <c r="H678">
        <v>0.50210841843214948</v>
      </c>
      <c r="I678">
        <v>0.83544175176548274</v>
      </c>
      <c r="J678">
        <v>0.27988619620992733</v>
      </c>
      <c r="K678">
        <v>0.61321952954326064</v>
      </c>
      <c r="L678">
        <v>0.9465528628765939</v>
      </c>
      <c r="M678">
        <v>9.4701011024742168E-2</v>
      </c>
      <c r="N678">
        <v>0.42803434435807547</v>
      </c>
      <c r="O678">
        <v>0.76136767769140878</v>
      </c>
      <c r="R678">
        <v>2.5</v>
      </c>
      <c r="S678" s="126">
        <f t="shared" si="101"/>
        <v>2.9096063998630215</v>
      </c>
      <c r="T678" s="126">
        <f t="shared" si="102"/>
        <v>1.8330983770608804</v>
      </c>
      <c r="U678" s="126">
        <f t="shared" si="103"/>
        <v>2.0874017901361843</v>
      </c>
      <c r="V678" s="126">
        <f t="shared" si="104"/>
        <v>3.015773781846649</v>
      </c>
      <c r="W678" s="126">
        <f t="shared" si="105"/>
        <v>2.1964487961784953</v>
      </c>
      <c r="X678" s="126">
        <f t="shared" si="106"/>
        <v>2.5029742100747683</v>
      </c>
      <c r="Y678" s="126">
        <f t="shared" si="107"/>
        <v>3.749556415737112</v>
      </c>
      <c r="Z678" s="126">
        <f t="shared" si="108"/>
        <v>1.9638280997801569</v>
      </c>
      <c r="AA678" s="126">
        <f t="shared" si="109"/>
        <v>1.9991445595464532</v>
      </c>
      <c r="AB678" s="126">
        <f t="shared" si="110"/>
        <v>2.7526901946707789</v>
      </c>
    </row>
    <row r="679" spans="1:28">
      <c r="A679">
        <v>678</v>
      </c>
      <c r="B679" s="119">
        <v>0.1344307270233196</v>
      </c>
      <c r="F679">
        <v>0.20581212213585326</v>
      </c>
      <c r="G679">
        <v>0.53914545546918646</v>
      </c>
      <c r="H679">
        <v>0.87247878880251972</v>
      </c>
      <c r="I679">
        <v>0.31692323324696436</v>
      </c>
      <c r="J679">
        <v>0.65025656658029762</v>
      </c>
      <c r="K679">
        <v>0.98358989991363088</v>
      </c>
      <c r="L679">
        <v>3.297261596301377E-2</v>
      </c>
      <c r="M679">
        <v>0.36630594929634708</v>
      </c>
      <c r="N679">
        <v>0.69963928262968034</v>
      </c>
      <c r="O679">
        <v>0.14408372707412487</v>
      </c>
      <c r="R679">
        <v>2.5</v>
      </c>
      <c r="S679" s="126">
        <f t="shared" si="101"/>
        <v>1.7410347483698811</v>
      </c>
      <c r="T679" s="126">
        <f t="shared" si="102"/>
        <v>2.117833752144942</v>
      </c>
      <c r="U679" s="126">
        <f t="shared" si="103"/>
        <v>3.1649272887510729</v>
      </c>
      <c r="V679" s="126">
        <f t="shared" si="104"/>
        <v>2.3595512143474968</v>
      </c>
      <c r="W679" s="126">
        <f t="shared" si="105"/>
        <v>2.6660215966684087</v>
      </c>
      <c r="X679" s="126">
        <f t="shared" si="106"/>
        <v>4.2620206837600145</v>
      </c>
      <c r="Y679" s="126">
        <f t="shared" si="107"/>
        <v>1.7871802916337671</v>
      </c>
      <c r="Z679" s="126">
        <f t="shared" si="108"/>
        <v>1.7781686982183005</v>
      </c>
      <c r="AA679" s="126">
        <f t="shared" si="109"/>
        <v>2.4871051056766618</v>
      </c>
      <c r="AB679" s="126">
        <f t="shared" si="110"/>
        <v>1.5356848912912129</v>
      </c>
    </row>
    <row r="680" spans="1:28">
      <c r="A680">
        <v>679</v>
      </c>
      <c r="B680" s="119">
        <v>0.46776406035665297</v>
      </c>
      <c r="F680">
        <v>0.47741706040745818</v>
      </c>
      <c r="G680">
        <v>0.81075039374079139</v>
      </c>
      <c r="H680">
        <v>0.25519483818523597</v>
      </c>
      <c r="I680">
        <v>0.58852817151856929</v>
      </c>
      <c r="J680">
        <v>0.92186150485190255</v>
      </c>
      <c r="K680">
        <v>7.0009653000050812E-2</v>
      </c>
      <c r="L680">
        <v>0.40334298633338411</v>
      </c>
      <c r="M680">
        <v>0.73667631966671743</v>
      </c>
      <c r="N680">
        <v>0.1811207641111619</v>
      </c>
      <c r="O680">
        <v>0.51445409744449522</v>
      </c>
      <c r="R680">
        <v>2.5</v>
      </c>
      <c r="S680" s="126">
        <f t="shared" si="101"/>
        <v>2.371512994647849</v>
      </c>
      <c r="T680" s="126">
        <f t="shared" si="102"/>
        <v>3.0800222920686142</v>
      </c>
      <c r="U680" s="126">
        <f t="shared" si="103"/>
        <v>2.1668376747796216</v>
      </c>
      <c r="V680" s="126">
        <f t="shared" si="104"/>
        <v>2.4353377264587333</v>
      </c>
      <c r="W680" s="126">
        <f t="shared" si="105"/>
        <v>3.5550510377371727</v>
      </c>
      <c r="X680" s="126">
        <f t="shared" si="106"/>
        <v>1.7313229461976498</v>
      </c>
      <c r="Y680" s="126">
        <f t="shared" si="107"/>
        <v>1.8300588578694241</v>
      </c>
      <c r="Z680" s="126">
        <f t="shared" si="108"/>
        <v>2.6037224045420198</v>
      </c>
      <c r="AA680" s="126">
        <f t="shared" si="109"/>
        <v>1.7188812272608793</v>
      </c>
      <c r="AB680" s="126">
        <f t="shared" si="110"/>
        <v>2.0555270552494136</v>
      </c>
    </row>
    <row r="681" spans="1:28">
      <c r="A681">
        <v>680</v>
      </c>
      <c r="B681" s="119">
        <v>0.80109739368998623</v>
      </c>
      <c r="F681">
        <v>0.84778743077782837</v>
      </c>
      <c r="G681">
        <v>0.29223187522227301</v>
      </c>
      <c r="H681">
        <v>0.62556520855560627</v>
      </c>
      <c r="I681">
        <v>0.95889854188893953</v>
      </c>
      <c r="J681">
        <v>0.10704669003708785</v>
      </c>
      <c r="K681">
        <v>0.44038002337042115</v>
      </c>
      <c r="L681">
        <v>0.77371335670375441</v>
      </c>
      <c r="M681">
        <v>0.21815780114819894</v>
      </c>
      <c r="N681">
        <v>0.5514911344815322</v>
      </c>
      <c r="O681">
        <v>0.88482446781486546</v>
      </c>
      <c r="R681">
        <v>2.5</v>
      </c>
      <c r="S681" s="126">
        <f t="shared" si="101"/>
        <v>3.2652888523318753</v>
      </c>
      <c r="T681" s="126">
        <f t="shared" si="102"/>
        <v>2.3517980826498954</v>
      </c>
      <c r="U681" s="126">
        <f t="shared" si="103"/>
        <v>2.6077845998911209</v>
      </c>
      <c r="V681" s="126">
        <f t="shared" si="104"/>
        <v>3.9059393493206729</v>
      </c>
      <c r="W681" s="126">
        <f t="shared" si="105"/>
        <v>2.1001307983863651</v>
      </c>
      <c r="X681" s="126">
        <f t="shared" si="106"/>
        <v>2.0935284032065389</v>
      </c>
      <c r="Y681" s="126">
        <f t="shared" si="107"/>
        <v>2.8334683965225835</v>
      </c>
      <c r="Z681" s="126">
        <f t="shared" si="108"/>
        <v>1.9437796531730096</v>
      </c>
      <c r="AA681" s="126">
        <f t="shared" si="109"/>
        <v>2.2454246238137157</v>
      </c>
      <c r="AB681" s="126">
        <f t="shared" si="110"/>
        <v>3.2795883571015905</v>
      </c>
    </row>
    <row r="682" spans="1:28">
      <c r="A682">
        <v>681</v>
      </c>
      <c r="B682" s="119">
        <v>0.2455418381344307</v>
      </c>
      <c r="F682">
        <v>0.32926891225931004</v>
      </c>
      <c r="G682">
        <v>0.66260224559264336</v>
      </c>
      <c r="H682">
        <v>0.99593557892597662</v>
      </c>
      <c r="I682">
        <v>1.4225473759081439E-3</v>
      </c>
      <c r="J682">
        <v>0.33475588070924145</v>
      </c>
      <c r="K682">
        <v>0.66808921404257471</v>
      </c>
      <c r="L682">
        <v>0.11253365848701925</v>
      </c>
      <c r="M682">
        <v>0.44586699182035255</v>
      </c>
      <c r="N682">
        <v>0.77920032515368576</v>
      </c>
      <c r="O682">
        <v>0.22364476959813037</v>
      </c>
      <c r="R682">
        <v>2.5</v>
      </c>
      <c r="S682" s="126">
        <f t="shared" si="101"/>
        <v>2.0537212549913422</v>
      </c>
      <c r="T682" s="126">
        <f t="shared" si="102"/>
        <v>2.5399937060623441</v>
      </c>
      <c r="U682" s="126">
        <f t="shared" si="103"/>
        <v>4.6213024274560581</v>
      </c>
      <c r="V682" s="126">
        <f t="shared" si="104"/>
        <v>1.023193238070311</v>
      </c>
      <c r="W682" s="126">
        <f t="shared" si="105"/>
        <v>1.3239447239183288</v>
      </c>
      <c r="X682" s="126">
        <f t="shared" si="106"/>
        <v>2.1856356116559912</v>
      </c>
      <c r="Y682" s="126">
        <f t="shared" si="107"/>
        <v>1.2596106456135303</v>
      </c>
      <c r="Z682" s="126">
        <f t="shared" si="108"/>
        <v>1.682543869202445</v>
      </c>
      <c r="AA682" s="126">
        <f t="shared" si="109"/>
        <v>2.6420536897320819</v>
      </c>
      <c r="AB682" s="126">
        <f t="shared" si="110"/>
        <v>1.862823855214081</v>
      </c>
    </row>
    <row r="683" spans="1:28">
      <c r="A683">
        <v>682</v>
      </c>
      <c r="B683" s="119">
        <v>0.57887517146776413</v>
      </c>
      <c r="F683">
        <v>0.55697810293146366</v>
      </c>
      <c r="G683">
        <v>0.89031143626479692</v>
      </c>
      <c r="H683">
        <v>3.8459584412945176E-2</v>
      </c>
      <c r="I683">
        <v>0.37179291774627848</v>
      </c>
      <c r="J683">
        <v>0.7051262510796118</v>
      </c>
      <c r="K683">
        <v>0.1495706955240563</v>
      </c>
      <c r="L683">
        <v>0.48290402885738959</v>
      </c>
      <c r="M683">
        <v>0.81623736219072274</v>
      </c>
      <c r="N683">
        <v>0.26068180663516738</v>
      </c>
      <c r="O683">
        <v>0.59401513996850064</v>
      </c>
      <c r="R683">
        <v>2.5</v>
      </c>
      <c r="S683" s="126">
        <f t="shared" ref="S683:S746" si="111">NORMINV(F683,0,1)*0.8248+0.4974*(2.3356-R683)+R683</f>
        <v>2.5364311618218962</v>
      </c>
      <c r="T683" s="126">
        <f t="shared" ref="T683:T746" si="112">NORMINV(G683,0,1)*0.8248+0.4974*(2.3356-S683)+S683</f>
        <v>3.4495456107540061</v>
      </c>
      <c r="U683" s="126">
        <f t="shared" ref="U683:U746" si="113">NORMINV(H683,0,1)*0.8248+0.4974*(2.3356-T683)+T683</f>
        <v>1.4365228622676036</v>
      </c>
      <c r="V683" s="126">
        <f t="shared" ref="V683:V746" si="114">NORMINV(I683,0,1)*0.8248+0.4974*(2.3356-U683)+U683</f>
        <v>1.6139247533025045</v>
      </c>
      <c r="W683" s="126">
        <f t="shared" ref="W683:W746" si="115">NORMINV(J683,0,1)*0.8248+0.4974*(2.3356-V683)+V683</f>
        <v>2.4176198098725017</v>
      </c>
      <c r="X683" s="126">
        <f t="shared" ref="X683:X746" si="116">NORMINV(K683,0,1)*0.8248+0.4974*(2.3356-W683)+W683</f>
        <v>1.5204527789004314</v>
      </c>
      <c r="Y683" s="126">
        <f t="shared" ref="Y683:Y746" si="117">NORMINV(L683,0,1)*0.8248+0.4974*(2.3356-X683)+X683</f>
        <v>1.8905508254919461</v>
      </c>
      <c r="Z683" s="126">
        <f t="shared" ref="Z683:Z746" si="118">NORMINV(M683,0,1)*0.8248+0.4974*(2.3356-Y683)+Y683</f>
        <v>2.8551608888371982</v>
      </c>
      <c r="AA683" s="126">
        <f t="shared" ref="AA683:AA746" si="119">NORMINV(N683,0,1)*0.8248+0.4974*(2.3356-Z683)+Z683</f>
        <v>2.0678325490414022</v>
      </c>
      <c r="AB683" s="126">
        <f t="shared" ref="AB683:AB746" si="120">NORMINV(O683,0,1)*0.8248+0.4974*(2.3356-AA683)+AA683</f>
        <v>2.3972282330802264</v>
      </c>
    </row>
    <row r="684" spans="1:28">
      <c r="A684">
        <v>683</v>
      </c>
      <c r="B684" s="119">
        <v>0.91220850480109739</v>
      </c>
      <c r="F684">
        <v>0.9273484733018339</v>
      </c>
      <c r="G684">
        <v>7.5496621449982218E-2</v>
      </c>
      <c r="H684">
        <v>0.40882995478331552</v>
      </c>
      <c r="I684">
        <v>0.74216328811664878</v>
      </c>
      <c r="J684">
        <v>0.18660773256109334</v>
      </c>
      <c r="K684">
        <v>0.51994106589442657</v>
      </c>
      <c r="L684">
        <v>0.85327439922775983</v>
      </c>
      <c r="M684">
        <v>0.29771884367220441</v>
      </c>
      <c r="N684">
        <v>0.63105217700553773</v>
      </c>
      <c r="O684">
        <v>0.96438551033887099</v>
      </c>
      <c r="R684">
        <v>2.5</v>
      </c>
      <c r="S684" s="126">
        <f t="shared" si="111"/>
        <v>3.6194035366553425</v>
      </c>
      <c r="T684" s="126">
        <f t="shared" si="112"/>
        <v>1.7964004844749986</v>
      </c>
      <c r="U684" s="126">
        <f t="shared" si="113"/>
        <v>1.8744359002940936</v>
      </c>
      <c r="V684" s="126">
        <f t="shared" si="114"/>
        <v>2.6399629264849072</v>
      </c>
      <c r="W684" s="126">
        <f t="shared" si="115"/>
        <v>1.7541160629487622</v>
      </c>
      <c r="X684" s="126">
        <f t="shared" si="116"/>
        <v>2.0845908516744145</v>
      </c>
      <c r="Y684" s="126">
        <f t="shared" si="117"/>
        <v>3.0759617768433705</v>
      </c>
      <c r="Z684" s="126">
        <f t="shared" si="118"/>
        <v>2.2697595342082</v>
      </c>
      <c r="AA684" s="126">
        <f t="shared" si="119"/>
        <v>2.5785207703732627</v>
      </c>
      <c r="AB684" s="126">
        <f t="shared" si="120"/>
        <v>3.9456434257958755</v>
      </c>
    </row>
    <row r="685" spans="1:28">
      <c r="A685">
        <v>684</v>
      </c>
      <c r="B685" s="119">
        <v>6.035665294924554E-2</v>
      </c>
      <c r="F685">
        <v>1.3768226388253823E-2</v>
      </c>
      <c r="G685">
        <v>0.34710155972158713</v>
      </c>
      <c r="H685">
        <v>0.68043489305492033</v>
      </c>
      <c r="I685">
        <v>0.12487933749936493</v>
      </c>
      <c r="J685">
        <v>0.45821267083269823</v>
      </c>
      <c r="K685">
        <v>0.79154600416603149</v>
      </c>
      <c r="L685">
        <v>0.23599044861047605</v>
      </c>
      <c r="M685">
        <v>0.56932378194380939</v>
      </c>
      <c r="N685">
        <v>0.90265711527714265</v>
      </c>
      <c r="O685">
        <v>5.0805263425290854E-2</v>
      </c>
      <c r="R685">
        <v>2.5</v>
      </c>
      <c r="S685" s="126">
        <f t="shared" si="111"/>
        <v>0.60051022460667758</v>
      </c>
      <c r="T685" s="126">
        <f t="shared" si="112"/>
        <v>1.1392675304155269</v>
      </c>
      <c r="U685" s="126">
        <f t="shared" si="113"/>
        <v>2.1210846006711908</v>
      </c>
      <c r="V685" s="126">
        <f t="shared" si="114"/>
        <v>1.2784927659208918</v>
      </c>
      <c r="W685" s="126">
        <f t="shared" si="115"/>
        <v>1.7177453908882785</v>
      </c>
      <c r="X685" s="126">
        <f t="shared" si="116"/>
        <v>2.6946366289255339</v>
      </c>
      <c r="Y685" s="126">
        <f t="shared" si="117"/>
        <v>1.9228063765100469</v>
      </c>
      <c r="Z685" s="126">
        <f t="shared" si="118"/>
        <v>2.2721835769810905</v>
      </c>
      <c r="AA685" s="126">
        <f t="shared" si="119"/>
        <v>3.3733616763279493</v>
      </c>
      <c r="AB685" s="126">
        <f t="shared" si="120"/>
        <v>1.5069026901509763</v>
      </c>
    </row>
    <row r="686" spans="1:28">
      <c r="A686">
        <v>685</v>
      </c>
      <c r="B686" s="119">
        <v>0.3936899862825789</v>
      </c>
      <c r="F686">
        <v>0.38413859675862416</v>
      </c>
      <c r="G686">
        <v>0.71747193009195753</v>
      </c>
      <c r="H686">
        <v>0.16191637453640198</v>
      </c>
      <c r="I686">
        <v>0.49524970786973527</v>
      </c>
      <c r="J686">
        <v>0.82858304120306847</v>
      </c>
      <c r="K686">
        <v>0.27302748564751306</v>
      </c>
      <c r="L686">
        <v>0.60636081898084637</v>
      </c>
      <c r="M686">
        <v>0.93969415231417963</v>
      </c>
      <c r="N686">
        <v>8.7842300462327896E-2</v>
      </c>
      <c r="O686">
        <v>0.4211756337956612</v>
      </c>
      <c r="R686">
        <v>2.5</v>
      </c>
      <c r="S686" s="126">
        <f t="shared" si="111"/>
        <v>2.1752173191169457</v>
      </c>
      <c r="T686" s="126">
        <f t="shared" si="112"/>
        <v>2.7295384813739636</v>
      </c>
      <c r="U686" s="126">
        <f t="shared" si="113"/>
        <v>1.7198356742572578</v>
      </c>
      <c r="V686" s="126">
        <f t="shared" si="114"/>
        <v>2.0162955455712557</v>
      </c>
      <c r="W686" s="126">
        <f t="shared" si="115"/>
        <v>2.9575069315859213</v>
      </c>
      <c r="X686" s="126">
        <f t="shared" si="116"/>
        <v>2.1502533709111891</v>
      </c>
      <c r="Y686" s="126">
        <f t="shared" si="117"/>
        <v>2.4650141618207408</v>
      </c>
      <c r="Z686" s="126">
        <f t="shared" si="118"/>
        <v>3.680907361417312</v>
      </c>
      <c r="AA686" s="126">
        <f t="shared" si="119"/>
        <v>1.8948384074756668</v>
      </c>
      <c r="AB686" s="126">
        <f t="shared" si="120"/>
        <v>1.9500313617204932</v>
      </c>
    </row>
    <row r="687" spans="1:28">
      <c r="A687">
        <v>686</v>
      </c>
      <c r="B687" s="119">
        <v>0.72702331961591227</v>
      </c>
      <c r="F687">
        <v>0.75450896712899451</v>
      </c>
      <c r="G687">
        <v>0.19895341157343902</v>
      </c>
      <c r="H687">
        <v>0.53228674490677219</v>
      </c>
      <c r="I687">
        <v>0.86562007824010545</v>
      </c>
      <c r="J687">
        <v>0.31006452268455009</v>
      </c>
      <c r="K687">
        <v>0.64339785601788335</v>
      </c>
      <c r="L687">
        <v>0.97673118935121661</v>
      </c>
      <c r="M687">
        <v>2.6113905400599498E-2</v>
      </c>
      <c r="N687">
        <v>0.35944723873393281</v>
      </c>
      <c r="O687">
        <v>0.69278057206726606</v>
      </c>
      <c r="R687">
        <v>2.5</v>
      </c>
      <c r="S687" s="126">
        <f t="shared" si="111"/>
        <v>2.9863065262808814</v>
      </c>
      <c r="T687" s="126">
        <f t="shared" si="112"/>
        <v>1.9653876688942971</v>
      </c>
      <c r="U687" s="126">
        <f t="shared" si="113"/>
        <v>2.2163560980954382</v>
      </c>
      <c r="V687" s="126">
        <f t="shared" si="114"/>
        <v>3.1878333152363041</v>
      </c>
      <c r="W687" s="126">
        <f t="shared" si="115"/>
        <v>2.3551059392272196</v>
      </c>
      <c r="X687" s="126">
        <f t="shared" si="116"/>
        <v>2.6485639185458227</v>
      </c>
      <c r="Y687" s="126">
        <f t="shared" si="117"/>
        <v>4.1346470447503707</v>
      </c>
      <c r="Z687" s="126">
        <f t="shared" si="118"/>
        <v>1.6386570225511159</v>
      </c>
      <c r="AA687" s="126">
        <f t="shared" si="119"/>
        <v>1.6884406763025495</v>
      </c>
      <c r="AB687" s="126">
        <f t="shared" si="120"/>
        <v>2.425828625231186</v>
      </c>
    </row>
    <row r="688" spans="1:28">
      <c r="A688">
        <v>687</v>
      </c>
      <c r="B688" s="119">
        <v>0.17146776406035663</v>
      </c>
      <c r="F688">
        <v>0.13722501651171062</v>
      </c>
      <c r="G688">
        <v>0.47055834984504391</v>
      </c>
      <c r="H688">
        <v>0.80389168317837711</v>
      </c>
      <c r="I688">
        <v>0.24833612762282173</v>
      </c>
      <c r="J688">
        <v>0.58166946095615502</v>
      </c>
      <c r="K688">
        <v>0.91500279428948827</v>
      </c>
      <c r="L688">
        <v>6.315094243763654E-2</v>
      </c>
      <c r="M688">
        <v>0.39648427577096984</v>
      </c>
      <c r="N688">
        <v>0.72981760910430316</v>
      </c>
      <c r="O688">
        <v>0.17426205354874766</v>
      </c>
      <c r="R688">
        <v>2.5</v>
      </c>
      <c r="S688" s="126">
        <f t="shared" si="111"/>
        <v>1.5168266697639468</v>
      </c>
      <c r="T688" s="126">
        <f t="shared" si="112"/>
        <v>1.8631595257852631</v>
      </c>
      <c r="U688" s="126">
        <f t="shared" si="113"/>
        <v>2.8038539293235352</v>
      </c>
      <c r="V688" s="126">
        <f t="shared" si="114"/>
        <v>2.0102989773164666</v>
      </c>
      <c r="W688" s="126">
        <f t="shared" si="115"/>
        <v>2.3421495994500185</v>
      </c>
      <c r="X688" s="126">
        <f t="shared" si="116"/>
        <v>3.4707003415808169</v>
      </c>
      <c r="Y688" s="126">
        <f t="shared" si="117"/>
        <v>1.6451067866606239</v>
      </c>
      <c r="Z688" s="126">
        <f t="shared" si="118"/>
        <v>1.7720829556055484</v>
      </c>
      <c r="AA688" s="126">
        <f t="shared" si="119"/>
        <v>2.5573695886279224</v>
      </c>
      <c r="AB688" s="126">
        <f t="shared" si="120"/>
        <v>1.6738477832799707</v>
      </c>
    </row>
    <row r="689" spans="1:28">
      <c r="A689">
        <v>688</v>
      </c>
      <c r="B689" s="119">
        <v>0.50480109739368995</v>
      </c>
      <c r="F689">
        <v>0.50759538688208095</v>
      </c>
      <c r="G689">
        <v>0.84092872021541409</v>
      </c>
      <c r="H689">
        <v>0.28537316465985874</v>
      </c>
      <c r="I689">
        <v>0.618706497993192</v>
      </c>
      <c r="J689">
        <v>0.95203983132652525</v>
      </c>
      <c r="K689">
        <v>0.10018797947467357</v>
      </c>
      <c r="L689">
        <v>0.43352131280800688</v>
      </c>
      <c r="M689">
        <v>0.76685464614134013</v>
      </c>
      <c r="N689">
        <v>0.21129909058578469</v>
      </c>
      <c r="O689">
        <v>0.54463242391911793</v>
      </c>
      <c r="R689">
        <v>2.5</v>
      </c>
      <c r="S689" s="126">
        <f t="shared" si="111"/>
        <v>2.4339316005320604</v>
      </c>
      <c r="T689" s="126">
        <f t="shared" si="112"/>
        <v>3.2084045817369056</v>
      </c>
      <c r="U689" s="126">
        <f t="shared" si="113"/>
        <v>2.306649009601986</v>
      </c>
      <c r="V689" s="126">
        <f t="shared" si="114"/>
        <v>2.5702092246382824</v>
      </c>
      <c r="W689" s="126">
        <f t="shared" si="115"/>
        <v>3.8267752538961788</v>
      </c>
      <c r="X689" s="126">
        <f t="shared" si="116"/>
        <v>2.0289238040837057</v>
      </c>
      <c r="Y689" s="126">
        <f t="shared" si="117"/>
        <v>2.0433797107190195</v>
      </c>
      <c r="Z689" s="126">
        <f t="shared" si="118"/>
        <v>2.7896196093716514</v>
      </c>
      <c r="AA689" s="126">
        <f t="shared" si="119"/>
        <v>1.9023651354586617</v>
      </c>
      <c r="AB689" s="126">
        <f t="shared" si="120"/>
        <v>2.2103255631962391</v>
      </c>
    </row>
    <row r="690" spans="1:28">
      <c r="A690">
        <v>689</v>
      </c>
      <c r="B690" s="119">
        <v>0.83813443072702321</v>
      </c>
      <c r="F690">
        <v>0.87796575725245118</v>
      </c>
      <c r="G690">
        <v>0.32241020169689577</v>
      </c>
      <c r="H690">
        <v>0.65574353503022909</v>
      </c>
      <c r="I690">
        <v>0.98907686836356234</v>
      </c>
      <c r="J690">
        <v>5.5377737133567046E-3</v>
      </c>
      <c r="K690">
        <v>0.33887110704668999</v>
      </c>
      <c r="L690">
        <v>0.67220444038002325</v>
      </c>
      <c r="M690">
        <v>0.11664888482446781</v>
      </c>
      <c r="N690">
        <v>0.44998221815780109</v>
      </c>
      <c r="O690">
        <v>0.7833155514911343</v>
      </c>
      <c r="R690">
        <v>2.5</v>
      </c>
      <c r="S690" s="126">
        <f t="shared" si="111"/>
        <v>3.3790185992437154</v>
      </c>
      <c r="T690" s="126">
        <f t="shared" si="112"/>
        <v>2.479814447707795</v>
      </c>
      <c r="U690" s="126">
        <f t="shared" si="113"/>
        <v>2.7387230154256579</v>
      </c>
      <c r="V690" s="126">
        <f t="shared" si="114"/>
        <v>4.4295009803606344</v>
      </c>
      <c r="W690" s="126">
        <f t="shared" si="115"/>
        <v>1.2927501264908576</v>
      </c>
      <c r="X690" s="126">
        <f t="shared" si="116"/>
        <v>1.4687212744713933</v>
      </c>
      <c r="Y690" s="126">
        <f t="shared" si="117"/>
        <v>2.2677745482161038</v>
      </c>
      <c r="Z690" s="126">
        <f t="shared" si="118"/>
        <v>1.3184261531903785</v>
      </c>
      <c r="AA690" s="126">
        <f t="shared" si="119"/>
        <v>1.7206858908209153</v>
      </c>
      <c r="AB690" s="126">
        <f t="shared" si="120"/>
        <v>2.6727253087536864</v>
      </c>
    </row>
    <row r="691" spans="1:28">
      <c r="A691">
        <v>690</v>
      </c>
      <c r="B691" s="119">
        <v>0.28257887517146779</v>
      </c>
      <c r="F691">
        <v>0.22775999593557894</v>
      </c>
      <c r="G691">
        <v>0.5610933292689122</v>
      </c>
      <c r="H691">
        <v>0.89442666260224546</v>
      </c>
      <c r="I691">
        <v>4.2574810750393738E-2</v>
      </c>
      <c r="J691">
        <v>0.37590814408372702</v>
      </c>
      <c r="K691">
        <v>0.70924147741706034</v>
      </c>
      <c r="L691">
        <v>0.15368592186150487</v>
      </c>
      <c r="M691">
        <v>0.48701925519483813</v>
      </c>
      <c r="N691">
        <v>0.82035258852817128</v>
      </c>
      <c r="O691">
        <v>0.26479703297261592</v>
      </c>
      <c r="R691">
        <v>2.5</v>
      </c>
      <c r="S691" s="126">
        <f t="shared" si="111"/>
        <v>1.8027253325808241</v>
      </c>
      <c r="T691" s="126">
        <f t="shared" si="112"/>
        <v>2.1945834115119265</v>
      </c>
      <c r="U691" s="126">
        <f t="shared" si="113"/>
        <v>3.2960703210311855</v>
      </c>
      <c r="V691" s="126">
        <f t="shared" si="114"/>
        <v>1.398391365469281</v>
      </c>
      <c r="W691" s="126">
        <f t="shared" si="115"/>
        <v>1.6037197754120289</v>
      </c>
      <c r="X691" s="126">
        <f t="shared" si="116"/>
        <v>2.4223621331883702</v>
      </c>
      <c r="Y691" s="126">
        <f t="shared" si="117"/>
        <v>1.5372902117094662</v>
      </c>
      <c r="Z691" s="126">
        <f t="shared" si="118"/>
        <v>1.9075275016154787</v>
      </c>
      <c r="AA691" s="126">
        <f t="shared" si="119"/>
        <v>2.8765528581126407</v>
      </c>
      <c r="AB691" s="126">
        <f t="shared" si="120"/>
        <v>2.0889923471737806</v>
      </c>
    </row>
    <row r="692" spans="1:28">
      <c r="A692">
        <v>691</v>
      </c>
      <c r="B692" s="119">
        <v>0.61591220850480111</v>
      </c>
      <c r="F692">
        <v>0.59813036630594918</v>
      </c>
      <c r="G692">
        <v>0.93146369963928244</v>
      </c>
      <c r="H692">
        <v>7.9611847787430773E-2</v>
      </c>
      <c r="I692">
        <v>0.41294518112076406</v>
      </c>
      <c r="J692">
        <v>0.74627851445409732</v>
      </c>
      <c r="K692">
        <v>0.19072295889854191</v>
      </c>
      <c r="L692">
        <v>0.52405629223187511</v>
      </c>
      <c r="M692">
        <v>0.85738962556520837</v>
      </c>
      <c r="N692">
        <v>0.30183407000965295</v>
      </c>
      <c r="O692">
        <v>0.63516740334298627</v>
      </c>
      <c r="R692">
        <v>2.5</v>
      </c>
      <c r="S692" s="126">
        <f t="shared" si="111"/>
        <v>2.6231990919161015</v>
      </c>
      <c r="T692" s="126">
        <f t="shared" si="112"/>
        <v>3.7064444613614622</v>
      </c>
      <c r="U692" s="126">
        <f t="shared" si="113"/>
        <v>1.8635259732996641</v>
      </c>
      <c r="V692" s="126">
        <f t="shared" si="114"/>
        <v>1.9168999359644472</v>
      </c>
      <c r="W692" s="126">
        <f t="shared" si="115"/>
        <v>2.6718589818182394</v>
      </c>
      <c r="X692" s="126">
        <f t="shared" si="116"/>
        <v>1.7827097312661957</v>
      </c>
      <c r="Y692" s="126">
        <f t="shared" si="117"/>
        <v>2.1074831204027826</v>
      </c>
      <c r="Z692" s="126">
        <f t="shared" si="118"/>
        <v>3.1023831636527746</v>
      </c>
      <c r="AA692" s="126">
        <f t="shared" si="119"/>
        <v>2.2928044884981769</v>
      </c>
      <c r="AB692" s="126">
        <f t="shared" si="120"/>
        <v>2.5991178818912104</v>
      </c>
    </row>
    <row r="693" spans="1:28">
      <c r="A693">
        <v>692</v>
      </c>
      <c r="B693" s="119">
        <v>0.94924554183813437</v>
      </c>
      <c r="F693">
        <v>0.96850073667631953</v>
      </c>
      <c r="G693">
        <v>1.7883452725702381E-2</v>
      </c>
      <c r="H693">
        <v>0.35121678605903567</v>
      </c>
      <c r="I693">
        <v>0.68455011939236887</v>
      </c>
      <c r="J693">
        <v>0.12899456383681351</v>
      </c>
      <c r="K693">
        <v>0.46232789717014677</v>
      </c>
      <c r="L693">
        <v>0.79566123050348003</v>
      </c>
      <c r="M693">
        <v>0.24010567494792462</v>
      </c>
      <c r="N693">
        <v>0.57343900828125793</v>
      </c>
      <c r="O693">
        <v>0.90677234161459119</v>
      </c>
      <c r="R693">
        <v>2.5</v>
      </c>
      <c r="S693" s="126">
        <f t="shared" si="111"/>
        <v>3.9516971611214</v>
      </c>
      <c r="T693" s="126">
        <f t="shared" si="112"/>
        <v>1.4161271707360941</v>
      </c>
      <c r="U693" s="126">
        <f t="shared" si="113"/>
        <v>1.5583684511674578</v>
      </c>
      <c r="V693" s="126">
        <f t="shared" si="114"/>
        <v>2.341247502168442</v>
      </c>
      <c r="W693" s="126">
        <f t="shared" si="115"/>
        <v>1.4054603583362333</v>
      </c>
      <c r="X693" s="126">
        <f t="shared" si="116"/>
        <v>1.7901098724469275</v>
      </c>
      <c r="Y693" s="126">
        <f t="shared" si="117"/>
        <v>2.7429054860210536</v>
      </c>
      <c r="Z693" s="126">
        <f t="shared" si="118"/>
        <v>1.9580337235917638</v>
      </c>
      <c r="AA693" s="126">
        <f t="shared" si="119"/>
        <v>2.2985357643009614</v>
      </c>
      <c r="AB693" s="126">
        <f t="shared" si="120"/>
        <v>3.406646231108609</v>
      </c>
    </row>
    <row r="694" spans="1:28">
      <c r="A694">
        <v>693</v>
      </c>
      <c r="B694" s="119">
        <v>9.7393689986282575E-2</v>
      </c>
      <c r="F694">
        <v>5.4920489762739416E-2</v>
      </c>
      <c r="G694">
        <v>0.3882538230960727</v>
      </c>
      <c r="H694">
        <v>0.72158715642940607</v>
      </c>
      <c r="I694">
        <v>0.16603160087385055</v>
      </c>
      <c r="J694">
        <v>0.49936493420718381</v>
      </c>
      <c r="K694">
        <v>0.83269826754051701</v>
      </c>
      <c r="L694">
        <v>0.2771427119849616</v>
      </c>
      <c r="M694">
        <v>0.61047604531829491</v>
      </c>
      <c r="N694">
        <v>0.94380937865162817</v>
      </c>
      <c r="O694">
        <v>9.1957526799776451E-2</v>
      </c>
      <c r="R694">
        <v>2.5</v>
      </c>
      <c r="S694" s="126">
        <f t="shared" si="111"/>
        <v>1.0994478741102225</v>
      </c>
      <c r="T694" s="126">
        <f t="shared" si="112"/>
        <v>1.4801714240161195</v>
      </c>
      <c r="U694" s="126">
        <f t="shared" si="113"/>
        <v>2.3902835171481072</v>
      </c>
      <c r="V694" s="126">
        <f t="shared" si="114"/>
        <v>1.563055584879754</v>
      </c>
      <c r="W694" s="126">
        <f t="shared" si="115"/>
        <v>1.9460061988359783</v>
      </c>
      <c r="X694" s="126">
        <f t="shared" si="116"/>
        <v>2.9356255753055285</v>
      </c>
      <c r="Y694" s="126">
        <f t="shared" si="117"/>
        <v>2.1494267455693965</v>
      </c>
      <c r="Z694" s="126">
        <f t="shared" si="118"/>
        <v>2.4734351997667678</v>
      </c>
      <c r="AA694" s="126">
        <f t="shared" si="119"/>
        <v>3.7143123234861166</v>
      </c>
      <c r="AB694" s="126">
        <f t="shared" si="120"/>
        <v>1.9325493015707202</v>
      </c>
    </row>
    <row r="695" spans="1:28">
      <c r="A695">
        <v>694</v>
      </c>
      <c r="B695" s="119">
        <v>0.43072702331961593</v>
      </c>
      <c r="F695">
        <v>0.42529086013310974</v>
      </c>
      <c r="G695">
        <v>0.75862419346644305</v>
      </c>
      <c r="H695">
        <v>0.20306863791088758</v>
      </c>
      <c r="I695">
        <v>0.53640197124422073</v>
      </c>
      <c r="J695">
        <v>0.86973530457755399</v>
      </c>
      <c r="K695">
        <v>0.31417974902199863</v>
      </c>
      <c r="L695">
        <v>0.64751308235533189</v>
      </c>
      <c r="M695">
        <v>0.98084641568866515</v>
      </c>
      <c r="N695">
        <v>3.022913173804806E-2</v>
      </c>
      <c r="O695">
        <v>0.36356246507138135</v>
      </c>
      <c r="R695">
        <v>2.5</v>
      </c>
      <c r="S695" s="126">
        <f t="shared" si="111"/>
        <v>2.2628547133240366</v>
      </c>
      <c r="T695" s="126">
        <f t="shared" si="112"/>
        <v>2.8779520029200967</v>
      </c>
      <c r="U695" s="126">
        <f t="shared" si="113"/>
        <v>1.9230162167893874</v>
      </c>
      <c r="V695" s="126">
        <f t="shared" si="114"/>
        <v>2.2036000042990276</v>
      </c>
      <c r="W695" s="126">
        <f t="shared" si="115"/>
        <v>3.1972729022508863</v>
      </c>
      <c r="X695" s="126">
        <f t="shared" si="116"/>
        <v>2.3694429522285949</v>
      </c>
      <c r="Y695" s="126">
        <f t="shared" si="117"/>
        <v>2.6648910602318989</v>
      </c>
      <c r="Z695" s="126">
        <f t="shared" si="118"/>
        <v>4.2097184094823445</v>
      </c>
      <c r="AA695" s="126">
        <f t="shared" si="119"/>
        <v>1.729022110586242</v>
      </c>
      <c r="AB695" s="126">
        <f t="shared" si="120"/>
        <v>1.7429178868204329</v>
      </c>
    </row>
    <row r="696" spans="1:28">
      <c r="A696">
        <v>695</v>
      </c>
      <c r="B696" s="119">
        <v>0.76406035665294925</v>
      </c>
      <c r="F696">
        <v>0.69689579840471461</v>
      </c>
      <c r="G696">
        <v>0.14134024284915919</v>
      </c>
      <c r="H696">
        <v>0.47467357618249245</v>
      </c>
      <c r="I696">
        <v>0.80800690951582566</v>
      </c>
      <c r="J696">
        <v>0.25245135396027024</v>
      </c>
      <c r="K696">
        <v>0.58578468729360356</v>
      </c>
      <c r="L696">
        <v>0.91911802062693682</v>
      </c>
      <c r="M696">
        <v>6.7266168775085095E-2</v>
      </c>
      <c r="N696">
        <v>0.40059950210841838</v>
      </c>
      <c r="O696">
        <v>0.7339328354417517</v>
      </c>
      <c r="R696">
        <v>2.5</v>
      </c>
      <c r="S696" s="126">
        <f t="shared" si="111"/>
        <v>2.8434062513906238</v>
      </c>
      <c r="T696" s="126">
        <f t="shared" si="112"/>
        <v>1.7047264978828232</v>
      </c>
      <c r="U696" s="126">
        <f t="shared" si="113"/>
        <v>1.9661262113118227</v>
      </c>
      <c r="V696" s="126">
        <f t="shared" si="114"/>
        <v>2.8679528406318715</v>
      </c>
      <c r="W696" s="126">
        <f t="shared" si="115"/>
        <v>2.0531875323456674</v>
      </c>
      <c r="X696" s="126">
        <f t="shared" si="116"/>
        <v>2.3724058480445653</v>
      </c>
      <c r="Y696" s="126">
        <f t="shared" si="117"/>
        <v>3.5081286753374199</v>
      </c>
      <c r="Z696" s="126">
        <f t="shared" si="118"/>
        <v>1.6906279958807153</v>
      </c>
      <c r="AA696" s="126">
        <f t="shared" si="119"/>
        <v>1.8037560019661401</v>
      </c>
      <c r="AB696" s="126">
        <f t="shared" si="120"/>
        <v>2.5835900397903986</v>
      </c>
    </row>
    <row r="697" spans="1:28">
      <c r="A697">
        <v>696</v>
      </c>
      <c r="B697" s="119">
        <v>0.20850480109739367</v>
      </c>
      <c r="F697">
        <v>0.17837727988619623</v>
      </c>
      <c r="G697">
        <v>0.51171061321952949</v>
      </c>
      <c r="H697">
        <v>0.84504394655286263</v>
      </c>
      <c r="I697">
        <v>0.28948839099730728</v>
      </c>
      <c r="J697">
        <v>0.62282172433064054</v>
      </c>
      <c r="K697">
        <v>0.9561550576639738</v>
      </c>
      <c r="L697">
        <v>0.10430320581212213</v>
      </c>
      <c r="M697">
        <v>0.43763653914545542</v>
      </c>
      <c r="N697">
        <v>0.77096987247878868</v>
      </c>
      <c r="O697">
        <v>0.21541431692323326</v>
      </c>
      <c r="R697">
        <v>2.5</v>
      </c>
      <c r="S697" s="126">
        <f t="shared" si="111"/>
        <v>1.6581191072236545</v>
      </c>
      <c r="T697" s="126">
        <f t="shared" si="112"/>
        <v>2.0193128877428839</v>
      </c>
      <c r="U697" s="126">
        <f t="shared" si="113"/>
        <v>3.0141413595363966</v>
      </c>
      <c r="V697" s="126">
        <f t="shared" si="114"/>
        <v>2.2189699107496774</v>
      </c>
      <c r="W697" s="126">
        <f t="shared" si="115"/>
        <v>2.5350617307645269</v>
      </c>
      <c r="X697" s="126">
        <f t="shared" si="116"/>
        <v>3.8443699225161563</v>
      </c>
      <c r="Y697" s="126">
        <f t="shared" si="117"/>
        <v>2.0567987334643147</v>
      </c>
      <c r="Z697" s="126">
        <f t="shared" si="118"/>
        <v>2.0660104277335241</v>
      </c>
      <c r="AA697" s="126">
        <f t="shared" si="119"/>
        <v>2.8121427470385427</v>
      </c>
      <c r="AB697" s="126">
        <f t="shared" si="120"/>
        <v>1.9253539975924623</v>
      </c>
    </row>
    <row r="698" spans="1:28">
      <c r="A698">
        <v>697</v>
      </c>
      <c r="B698" s="119">
        <v>0.54183813443072693</v>
      </c>
      <c r="F698">
        <v>0.54874765025656647</v>
      </c>
      <c r="G698">
        <v>0.88208098358989973</v>
      </c>
      <c r="H698">
        <v>0.32652542803434431</v>
      </c>
      <c r="I698">
        <v>0.65985876136767763</v>
      </c>
      <c r="J698">
        <v>0.99319209470101089</v>
      </c>
      <c r="K698">
        <v>9.6530000508052646E-3</v>
      </c>
      <c r="L698">
        <v>0.34298633338413859</v>
      </c>
      <c r="M698">
        <v>0.67631966671747179</v>
      </c>
      <c r="N698">
        <v>0.12076411116191638</v>
      </c>
      <c r="O698">
        <v>0.45409744449524969</v>
      </c>
      <c r="R698">
        <v>2.5</v>
      </c>
      <c r="S698" s="126">
        <f t="shared" si="111"/>
        <v>2.5192637178548627</v>
      </c>
      <c r="T698" s="126">
        <f t="shared" si="112"/>
        <v>3.4056717584575087</v>
      </c>
      <c r="U698" s="126">
        <f t="shared" si="113"/>
        <v>2.5026474193266548</v>
      </c>
      <c r="V698" s="126">
        <f t="shared" si="114"/>
        <v>2.7594397152316761</v>
      </c>
      <c r="W698" s="126">
        <f t="shared" si="115"/>
        <v>4.5836034684430409</v>
      </c>
      <c r="X698" s="126">
        <f t="shared" si="116"/>
        <v>1.5357699538092673</v>
      </c>
      <c r="Y698" s="126">
        <f t="shared" si="117"/>
        <v>1.6001169504965933</v>
      </c>
      <c r="Z698" s="126">
        <f t="shared" si="118"/>
        <v>2.3432360199526601</v>
      </c>
      <c r="AA698" s="126">
        <f t="shared" si="119"/>
        <v>1.3734522727620102</v>
      </c>
      <c r="AB698" s="126">
        <f t="shared" si="120"/>
        <v>1.7569121571166861</v>
      </c>
    </row>
    <row r="699" spans="1:28">
      <c r="A699">
        <v>698</v>
      </c>
      <c r="B699" s="119">
        <v>0.87517146776406018</v>
      </c>
      <c r="F699">
        <v>0.78743077782858284</v>
      </c>
      <c r="G699">
        <v>0.23187522227302748</v>
      </c>
      <c r="H699">
        <v>0.56520855560636074</v>
      </c>
      <c r="I699">
        <v>0.898541888939694</v>
      </c>
      <c r="J699">
        <v>4.66900370878423E-2</v>
      </c>
      <c r="K699">
        <v>0.38002337042117562</v>
      </c>
      <c r="L699">
        <v>0.71335670375450888</v>
      </c>
      <c r="M699">
        <v>0.15780114819895341</v>
      </c>
      <c r="N699">
        <v>0.49113448153228673</v>
      </c>
      <c r="O699">
        <v>0.82446781486561982</v>
      </c>
      <c r="R699">
        <v>2.5</v>
      </c>
      <c r="S699" s="126">
        <f t="shared" si="111"/>
        <v>3.07603706409735</v>
      </c>
      <c r="T699" s="126">
        <f t="shared" si="112"/>
        <v>2.103424904358973</v>
      </c>
      <c r="U699" s="126">
        <f t="shared" si="113"/>
        <v>2.3543313304247393</v>
      </c>
      <c r="V699" s="126">
        <f t="shared" si="114"/>
        <v>3.3952214748687548</v>
      </c>
      <c r="W699" s="126">
        <f t="shared" si="115"/>
        <v>1.4842906535504101</v>
      </c>
      <c r="X699" s="126">
        <f t="shared" si="116"/>
        <v>1.6558219934355507</v>
      </c>
      <c r="Y699" s="126">
        <f t="shared" si="117"/>
        <v>2.4584856044811261</v>
      </c>
      <c r="Z699" s="126">
        <f t="shared" si="118"/>
        <v>1.5696457779302004</v>
      </c>
      <c r="AA699" s="126">
        <f t="shared" si="119"/>
        <v>1.9323007322297345</v>
      </c>
      <c r="AB699" s="126">
        <f t="shared" si="120"/>
        <v>2.9020498493143423</v>
      </c>
    </row>
    <row r="700" spans="1:28">
      <c r="A700">
        <v>699</v>
      </c>
      <c r="B700" s="119">
        <v>0.31961591220850483</v>
      </c>
      <c r="F700">
        <v>0.26891225931006452</v>
      </c>
      <c r="G700">
        <v>0.60224559264339772</v>
      </c>
      <c r="H700">
        <v>0.93557892597673098</v>
      </c>
      <c r="I700">
        <v>8.3727074124879342E-2</v>
      </c>
      <c r="J700">
        <v>0.41706040745821266</v>
      </c>
      <c r="K700">
        <v>0.75039374079154586</v>
      </c>
      <c r="L700">
        <v>0.19483818523599045</v>
      </c>
      <c r="M700">
        <v>0.52817151856932365</v>
      </c>
      <c r="N700">
        <v>0.86150485190265691</v>
      </c>
      <c r="O700">
        <v>0.30594929634710155</v>
      </c>
      <c r="R700">
        <v>2.5</v>
      </c>
      <c r="S700" s="126">
        <f t="shared" si="111"/>
        <v>1.9100631565444925</v>
      </c>
      <c r="T700" s="126">
        <f t="shared" si="112"/>
        <v>2.3354835336780484</v>
      </c>
      <c r="U700" s="126">
        <f t="shared" si="113"/>
        <v>3.5881517253934181</v>
      </c>
      <c r="V700" s="126">
        <f t="shared" si="114"/>
        <v>1.8265534570358026</v>
      </c>
      <c r="W700" s="126">
        <f t="shared" si="115"/>
        <v>1.9070240498388265</v>
      </c>
      <c r="X700" s="126">
        <f t="shared" si="116"/>
        <v>2.6775392686901847</v>
      </c>
      <c r="Y700" s="126">
        <f t="shared" si="117"/>
        <v>1.7979620735623891</v>
      </c>
      <c r="Z700" s="126">
        <f t="shared" si="118"/>
        <v>2.123675353709304</v>
      </c>
      <c r="AA700" s="126">
        <f t="shared" si="119"/>
        <v>3.1257310862008851</v>
      </c>
      <c r="AB700" s="126">
        <f t="shared" si="120"/>
        <v>2.3142450601300983</v>
      </c>
    </row>
    <row r="701" spans="1:28">
      <c r="A701">
        <v>700</v>
      </c>
      <c r="B701" s="119">
        <v>0.65294924554183809</v>
      </c>
      <c r="F701">
        <v>0.63928262968043481</v>
      </c>
      <c r="G701">
        <v>0.97261596301376807</v>
      </c>
      <c r="H701">
        <v>2.1998679063150939E-2</v>
      </c>
      <c r="I701">
        <v>0.35533201239648426</v>
      </c>
      <c r="J701">
        <v>0.68866534572981741</v>
      </c>
      <c r="K701">
        <v>0.13310979017426205</v>
      </c>
      <c r="L701">
        <v>0.46644312350759537</v>
      </c>
      <c r="M701">
        <v>0.79977645684092857</v>
      </c>
      <c r="N701">
        <v>0.24422090128537316</v>
      </c>
      <c r="O701">
        <v>0.57755423461870647</v>
      </c>
      <c r="R701">
        <v>2.5</v>
      </c>
      <c r="S701" s="126">
        <f t="shared" si="111"/>
        <v>2.7123032417118251</v>
      </c>
      <c r="T701" s="126">
        <f t="shared" si="112"/>
        <v>4.1091339926565391</v>
      </c>
      <c r="U701" s="126">
        <f t="shared" si="113"/>
        <v>1.5657353241275942</v>
      </c>
      <c r="V701" s="126">
        <f t="shared" si="114"/>
        <v>1.6426945516417319</v>
      </c>
      <c r="W701" s="126">
        <f t="shared" si="115"/>
        <v>2.3932057002443328</v>
      </c>
      <c r="X701" s="126">
        <f t="shared" si="116"/>
        <v>1.4475312171890948</v>
      </c>
      <c r="Y701" s="126">
        <f t="shared" si="117"/>
        <v>1.8197968807266176</v>
      </c>
      <c r="Z701" s="126">
        <f t="shared" si="118"/>
        <v>2.7698681829807348</v>
      </c>
      <c r="AA701" s="126">
        <f t="shared" si="119"/>
        <v>1.982450593181873</v>
      </c>
      <c r="AB701" s="126">
        <f t="shared" si="120"/>
        <v>2.3194714216211825</v>
      </c>
    </row>
    <row r="702" spans="1:28">
      <c r="A702">
        <v>701</v>
      </c>
      <c r="B702" s="119">
        <v>0.98628257887517135</v>
      </c>
      <c r="F702">
        <v>0.91088756795203973</v>
      </c>
      <c r="G702">
        <v>5.9035716100187978E-2</v>
      </c>
      <c r="H702">
        <v>0.3923690494335213</v>
      </c>
      <c r="I702">
        <v>0.72570238276685461</v>
      </c>
      <c r="J702">
        <v>0.17014682721129909</v>
      </c>
      <c r="K702">
        <v>0.50348016054463229</v>
      </c>
      <c r="L702">
        <v>0.83681349387796555</v>
      </c>
      <c r="M702">
        <v>0.28125793832241019</v>
      </c>
      <c r="N702">
        <v>0.61459127165574345</v>
      </c>
      <c r="O702">
        <v>0.94792460498907671</v>
      </c>
      <c r="R702">
        <v>2.5</v>
      </c>
      <c r="S702" s="126">
        <f t="shared" si="111"/>
        <v>3.5286068693751629</v>
      </c>
      <c r="T702" s="126">
        <f t="shared" si="112"/>
        <v>1.6461089045278796</v>
      </c>
      <c r="U702" s="126">
        <f t="shared" si="113"/>
        <v>1.7637678547583382</v>
      </c>
      <c r="V702" s="126">
        <f t="shared" si="114"/>
        <v>2.5429670227642882</v>
      </c>
      <c r="W702" s="126">
        <f t="shared" si="115"/>
        <v>1.6533055994921959</v>
      </c>
      <c r="X702" s="126">
        <f t="shared" si="116"/>
        <v>1.9998740426478832</v>
      </c>
      <c r="Y702" s="126">
        <f t="shared" si="117"/>
        <v>2.9763605254200383</v>
      </c>
      <c r="Z702" s="126">
        <f t="shared" si="118"/>
        <v>2.1799974412497973</v>
      </c>
      <c r="AA702" s="126">
        <f t="shared" si="119"/>
        <v>2.4976631727083598</v>
      </c>
      <c r="AB702" s="126">
        <f t="shared" si="120"/>
        <v>3.7573985086413897</v>
      </c>
    </row>
    <row r="703" spans="1:28">
      <c r="A703">
        <v>702</v>
      </c>
      <c r="B703" s="119">
        <v>3.5665294924554183E-2</v>
      </c>
      <c r="F703">
        <v>9.607275313722502E-2</v>
      </c>
      <c r="G703">
        <v>0.42940608647055833</v>
      </c>
      <c r="H703">
        <v>0.76273941980389159</v>
      </c>
      <c r="I703">
        <v>0.20718386424833612</v>
      </c>
      <c r="J703">
        <v>0.54051719758166927</v>
      </c>
      <c r="K703">
        <v>0.87385053091500253</v>
      </c>
      <c r="L703">
        <v>0.31829497535944723</v>
      </c>
      <c r="M703">
        <v>0.65162830869278043</v>
      </c>
      <c r="N703">
        <v>0.98496164202611369</v>
      </c>
      <c r="O703">
        <v>3.4344358075496621E-2</v>
      </c>
      <c r="R703">
        <v>2.5</v>
      </c>
      <c r="S703" s="126">
        <f t="shared" si="111"/>
        <v>1.3424751414657801</v>
      </c>
      <c r="T703" s="126">
        <f t="shared" si="112"/>
        <v>1.6897347236500455</v>
      </c>
      <c r="U703" s="126">
        <f t="shared" si="113"/>
        <v>2.6008374250930024</v>
      </c>
      <c r="V703" s="126">
        <f t="shared" si="114"/>
        <v>1.795680566483193</v>
      </c>
      <c r="W703" s="126">
        <f t="shared" si="115"/>
        <v>2.1481489914994105</v>
      </c>
      <c r="X703" s="126">
        <f t="shared" si="116"/>
        <v>3.1856043823608058</v>
      </c>
      <c r="Y703" s="126">
        <f t="shared" si="117"/>
        <v>2.3731173290897614</v>
      </c>
      <c r="Z703" s="126">
        <f t="shared" si="118"/>
        <v>2.6758975144439812</v>
      </c>
      <c r="AA703" s="126">
        <f t="shared" si="119"/>
        <v>4.2956895723894561</v>
      </c>
      <c r="AB703" s="126">
        <f t="shared" si="120"/>
        <v>1.819224167851099</v>
      </c>
    </row>
    <row r="704" spans="1:28">
      <c r="A704">
        <v>703</v>
      </c>
      <c r="B704" s="119">
        <v>0.36899862825788754</v>
      </c>
      <c r="F704">
        <v>0.36767769140882994</v>
      </c>
      <c r="G704">
        <v>0.70101102474216315</v>
      </c>
      <c r="H704">
        <v>0.14545546918660773</v>
      </c>
      <c r="I704">
        <v>0.47878880251994105</v>
      </c>
      <c r="J704">
        <v>0.8121221358532742</v>
      </c>
      <c r="K704">
        <v>0.25656658029771884</v>
      </c>
      <c r="L704">
        <v>0.5898999136310521</v>
      </c>
      <c r="M704">
        <v>0.92323324696438536</v>
      </c>
      <c r="N704">
        <v>7.1381395112533663E-2</v>
      </c>
      <c r="O704">
        <v>0.40471472844586698</v>
      </c>
      <c r="R704">
        <v>2.5</v>
      </c>
      <c r="S704" s="126">
        <f t="shared" si="111"/>
        <v>2.1394364974450317</v>
      </c>
      <c r="T704" s="126">
        <f t="shared" si="112"/>
        <v>2.6719339636342587</v>
      </c>
      <c r="U704" s="126">
        <f t="shared" si="113"/>
        <v>1.6335492401464502</v>
      </c>
      <c r="V704" s="126">
        <f t="shared" si="114"/>
        <v>1.9388751552461343</v>
      </c>
      <c r="W704" s="126">
        <f t="shared" si="115"/>
        <v>2.8667673832546177</v>
      </c>
      <c r="X704" s="126">
        <f t="shared" si="116"/>
        <v>2.0631728656851616</v>
      </c>
      <c r="Y704" s="126">
        <f t="shared" si="117"/>
        <v>2.3861448730804757</v>
      </c>
      <c r="Z704" s="126">
        <f t="shared" si="118"/>
        <v>3.5381262087205014</v>
      </c>
      <c r="AA704" s="126">
        <f t="shared" si="119"/>
        <v>1.7311794308708677</v>
      </c>
      <c r="AB704" s="126">
        <f t="shared" si="120"/>
        <v>1.8329076931424537</v>
      </c>
    </row>
    <row r="705" spans="1:28">
      <c r="A705">
        <v>704</v>
      </c>
      <c r="B705" s="119">
        <v>0.7023319615912208</v>
      </c>
      <c r="F705">
        <v>0.73804806177920024</v>
      </c>
      <c r="G705">
        <v>0.18249250622364477</v>
      </c>
      <c r="H705">
        <v>0.51582583955697803</v>
      </c>
      <c r="I705">
        <v>0.84915917289031118</v>
      </c>
      <c r="J705">
        <v>0.29360361733475587</v>
      </c>
      <c r="K705">
        <v>0.62693695066808908</v>
      </c>
      <c r="L705">
        <v>0.96027028400142234</v>
      </c>
      <c r="M705">
        <v>0.1084184321495707</v>
      </c>
      <c r="N705">
        <v>0.44175176548290401</v>
      </c>
      <c r="O705">
        <v>0.77508509881623722</v>
      </c>
      <c r="R705">
        <v>2.5</v>
      </c>
      <c r="S705" s="126">
        <f t="shared" si="111"/>
        <v>2.9439048703867745</v>
      </c>
      <c r="T705" s="126">
        <f t="shared" si="112"/>
        <v>1.894141830635951</v>
      </c>
      <c r="U705" s="126">
        <f t="shared" si="113"/>
        <v>2.1464511114377189</v>
      </c>
      <c r="V705" s="126">
        <f t="shared" si="114"/>
        <v>3.0924151378007028</v>
      </c>
      <c r="W705" s="126">
        <f t="shared" si="115"/>
        <v>2.2682016444227351</v>
      </c>
      <c r="X705" s="126">
        <f t="shared" si="116"/>
        <v>2.5687559095668493</v>
      </c>
      <c r="Y705" s="126">
        <f t="shared" si="117"/>
        <v>3.8993441495175749</v>
      </c>
      <c r="Z705" s="126">
        <f t="shared" si="118"/>
        <v>2.1029239047207633</v>
      </c>
      <c r="AA705" s="126">
        <f t="shared" si="119"/>
        <v>2.0977995959868787</v>
      </c>
      <c r="AB705" s="126">
        <f t="shared" si="120"/>
        <v>2.8393818890341183</v>
      </c>
    </row>
    <row r="706" spans="1:28">
      <c r="A706">
        <v>705</v>
      </c>
      <c r="B706" s="119">
        <v>0.14677640603566527</v>
      </c>
      <c r="F706">
        <v>0.2195295432606818</v>
      </c>
      <c r="G706">
        <v>0.55286287659401501</v>
      </c>
      <c r="H706">
        <v>0.88619620992734827</v>
      </c>
      <c r="I706">
        <v>0.33064065437179291</v>
      </c>
      <c r="J706">
        <v>0.66397398770512617</v>
      </c>
      <c r="K706">
        <v>0.99730732103845943</v>
      </c>
      <c r="L706">
        <v>2.7942894883909971E-3</v>
      </c>
      <c r="M706">
        <v>0.33612762282172431</v>
      </c>
      <c r="N706">
        <v>0.66946095615505763</v>
      </c>
      <c r="O706">
        <v>0.1139054005995021</v>
      </c>
      <c r="R706">
        <v>2.5</v>
      </c>
      <c r="S706" s="126">
        <f t="shared" si="111"/>
        <v>1.7800111647671075</v>
      </c>
      <c r="T706" s="126">
        <f t="shared" si="112"/>
        <v>2.1659751151410798</v>
      </c>
      <c r="U706" s="126">
        <f t="shared" si="113"/>
        <v>3.2455045038625938</v>
      </c>
      <c r="V706" s="126">
        <f t="shared" si="114"/>
        <v>2.4315361593653062</v>
      </c>
      <c r="W706" s="126">
        <f t="shared" si="115"/>
        <v>2.7329829068312073</v>
      </c>
      <c r="X706" s="126">
        <f t="shared" si="116"/>
        <v>4.8307690204885798</v>
      </c>
      <c r="Y706" s="126">
        <f t="shared" si="117"/>
        <v>1.3041576996299642</v>
      </c>
      <c r="Z706" s="126">
        <f t="shared" si="118"/>
        <v>1.4682614627200321</v>
      </c>
      <c r="AA706" s="126">
        <f t="shared" si="119"/>
        <v>2.2612887497927066</v>
      </c>
      <c r="AB706" s="126">
        <f t="shared" si="120"/>
        <v>1.3035280564210432</v>
      </c>
    </row>
    <row r="707" spans="1:28">
      <c r="A707">
        <v>706</v>
      </c>
      <c r="B707" s="119">
        <v>0.48010973936899864</v>
      </c>
      <c r="F707">
        <v>0.44723873393283542</v>
      </c>
      <c r="G707">
        <v>0.78057206726616868</v>
      </c>
      <c r="H707">
        <v>0.22501651171061321</v>
      </c>
      <c r="I707">
        <v>0.55834984504394658</v>
      </c>
      <c r="J707">
        <v>0.89168317837727984</v>
      </c>
      <c r="K707">
        <v>3.9831326525428028E-2</v>
      </c>
      <c r="L707">
        <v>0.37316465985876135</v>
      </c>
      <c r="M707">
        <v>0.70649799319209472</v>
      </c>
      <c r="N707">
        <v>0.15094243763653914</v>
      </c>
      <c r="O707">
        <v>0.48427577096987245</v>
      </c>
      <c r="R707">
        <v>2.5</v>
      </c>
      <c r="S707" s="126">
        <f t="shared" si="111"/>
        <v>2.3088253124462756</v>
      </c>
      <c r="T707" s="126">
        <f t="shared" si="112"/>
        <v>2.9606427498857544</v>
      </c>
      <c r="U707" s="126">
        <f t="shared" si="113"/>
        <v>2.0267255808447979</v>
      </c>
      <c r="V707" s="126">
        <f t="shared" si="114"/>
        <v>2.3014294632855057</v>
      </c>
      <c r="W707" s="126">
        <f t="shared" si="115"/>
        <v>3.33749031197735</v>
      </c>
      <c r="X707" s="126">
        <f t="shared" si="116"/>
        <v>1.3935669916139533</v>
      </c>
      <c r="Y707" s="126">
        <f t="shared" si="117"/>
        <v>1.5953252568905247</v>
      </c>
      <c r="Z707" s="126">
        <f t="shared" si="118"/>
        <v>2.4115550087572419</v>
      </c>
      <c r="AA707" s="126">
        <f t="shared" si="119"/>
        <v>1.5222516493887075</v>
      </c>
      <c r="AB707" s="126">
        <f t="shared" si="120"/>
        <v>1.8942933724201769</v>
      </c>
    </row>
    <row r="708" spans="1:28">
      <c r="A708">
        <v>707</v>
      </c>
      <c r="B708" s="119">
        <v>0.81344307270233185</v>
      </c>
      <c r="F708">
        <v>0.81760910430320566</v>
      </c>
      <c r="G708">
        <v>0.26205354874765024</v>
      </c>
      <c r="H708">
        <v>0.59538688208098356</v>
      </c>
      <c r="I708">
        <v>0.92872021541431682</v>
      </c>
      <c r="J708">
        <v>7.686836356246507E-2</v>
      </c>
      <c r="K708">
        <v>0.41020169689579838</v>
      </c>
      <c r="L708">
        <v>0.7435350302291317</v>
      </c>
      <c r="M708">
        <v>0.18797947467357617</v>
      </c>
      <c r="N708">
        <v>0.52131280800690949</v>
      </c>
      <c r="O708">
        <v>0.85464614134024275</v>
      </c>
      <c r="R708">
        <v>2.5</v>
      </c>
      <c r="S708" s="126">
        <f t="shared" si="111"/>
        <v>3.1657363448780824</v>
      </c>
      <c r="T708" s="126">
        <f t="shared" si="112"/>
        <v>2.2274064556993416</v>
      </c>
      <c r="U708" s="126">
        <f t="shared" si="113"/>
        <v>2.4803487353252756</v>
      </c>
      <c r="V708" s="126">
        <f t="shared" si="114"/>
        <v>3.6177761760974239</v>
      </c>
      <c r="W708" s="126">
        <f t="shared" si="115"/>
        <v>1.8034807461861786</v>
      </c>
      <c r="X708" s="126">
        <f t="shared" si="116"/>
        <v>1.8809056791772043</v>
      </c>
      <c r="Y708" s="126">
        <f t="shared" si="117"/>
        <v>2.6467226851499897</v>
      </c>
      <c r="Z708" s="126">
        <f t="shared" si="118"/>
        <v>1.7617199036342672</v>
      </c>
      <c r="AA708" s="126">
        <f t="shared" si="119"/>
        <v>2.0912523716815428</v>
      </c>
      <c r="AB708" s="126">
        <f t="shared" si="120"/>
        <v>3.08425010845581</v>
      </c>
    </row>
    <row r="709" spans="1:28">
      <c r="A709">
        <v>708</v>
      </c>
      <c r="B709" s="119">
        <v>0.25788751714677643</v>
      </c>
      <c r="F709">
        <v>0.29909058578468728</v>
      </c>
      <c r="G709">
        <v>0.63242391911802065</v>
      </c>
      <c r="H709">
        <v>0.96575725245135391</v>
      </c>
      <c r="I709">
        <v>1.5139968500736676E-2</v>
      </c>
      <c r="J709">
        <v>0.34847330183406999</v>
      </c>
      <c r="K709">
        <v>0.68180663516740325</v>
      </c>
      <c r="L709">
        <v>0.12625107961184778</v>
      </c>
      <c r="M709">
        <v>0.4595844129451811</v>
      </c>
      <c r="N709">
        <v>0.79291774627851441</v>
      </c>
      <c r="O709">
        <v>0.23736219072295889</v>
      </c>
      <c r="R709">
        <v>2.5</v>
      </c>
      <c r="S709" s="126">
        <f t="shared" si="111"/>
        <v>1.983543092033841</v>
      </c>
      <c r="T709" s="126">
        <f t="shared" si="112"/>
        <v>2.4376695772781414</v>
      </c>
      <c r="U709" s="126">
        <f t="shared" si="113"/>
        <v>3.8895199546197645</v>
      </c>
      <c r="V709" s="126">
        <f t="shared" si="114"/>
        <v>1.3297459198323547</v>
      </c>
      <c r="W709" s="126">
        <f t="shared" si="115"/>
        <v>1.5088430735343723</v>
      </c>
      <c r="X709" s="126">
        <f t="shared" si="116"/>
        <v>2.3100017407407947</v>
      </c>
      <c r="Y709" s="126">
        <f t="shared" si="117"/>
        <v>1.3789214761270192</v>
      </c>
      <c r="Z709" s="126">
        <f t="shared" si="118"/>
        <v>1.7710720387826058</v>
      </c>
      <c r="AA709" s="126">
        <f t="shared" si="119"/>
        <v>2.725389174405954</v>
      </c>
      <c r="AB709" s="126">
        <f t="shared" si="120"/>
        <v>1.9419299834067012</v>
      </c>
    </row>
    <row r="710" spans="1:28">
      <c r="A710">
        <v>709</v>
      </c>
      <c r="B710" s="119">
        <v>0.59122085048010975</v>
      </c>
      <c r="F710">
        <v>0.57069552405629231</v>
      </c>
      <c r="G710">
        <v>0.90402885738962557</v>
      </c>
      <c r="H710">
        <v>5.2177005537773706E-2</v>
      </c>
      <c r="I710">
        <v>0.38551033887110703</v>
      </c>
      <c r="J710">
        <v>0.71884367220444045</v>
      </c>
      <c r="K710">
        <v>0.16328811664888482</v>
      </c>
      <c r="L710">
        <v>0.49662144998221813</v>
      </c>
      <c r="M710">
        <v>0.82995478331555139</v>
      </c>
      <c r="N710">
        <v>0.27439922775999592</v>
      </c>
      <c r="O710">
        <v>0.60773256109332929</v>
      </c>
      <c r="R710">
        <v>2.5</v>
      </c>
      <c r="S710" s="126">
        <f t="shared" si="111"/>
        <v>2.5651615939946102</v>
      </c>
      <c r="T710" s="126">
        <f t="shared" si="112"/>
        <v>3.5272219195431642</v>
      </c>
      <c r="U710" s="126">
        <f t="shared" si="113"/>
        <v>1.5949497306822569</v>
      </c>
      <c r="V710" s="126">
        <f t="shared" si="114"/>
        <v>1.7232993290789822</v>
      </c>
      <c r="W710" s="126">
        <f t="shared" si="115"/>
        <v>2.5057549317077146</v>
      </c>
      <c r="X710" s="126">
        <f t="shared" si="116"/>
        <v>1.6119634571207486</v>
      </c>
      <c r="Y710" s="126">
        <f t="shared" si="117"/>
        <v>1.9649151493795092</v>
      </c>
      <c r="Z710" s="126">
        <f t="shared" si="118"/>
        <v>2.9361419286562427</v>
      </c>
      <c r="AA710" s="126">
        <f t="shared" si="119"/>
        <v>2.1429139783665643</v>
      </c>
      <c r="AB710" s="126">
        <f t="shared" si="120"/>
        <v>2.4642679954715483</v>
      </c>
    </row>
    <row r="711" spans="1:28">
      <c r="A711">
        <v>710</v>
      </c>
      <c r="B711" s="119">
        <v>0.92455418381344301</v>
      </c>
      <c r="F711">
        <v>0.94106589442666255</v>
      </c>
      <c r="G711">
        <v>8.9214042574810748E-2</v>
      </c>
      <c r="H711">
        <v>0.42254737590814406</v>
      </c>
      <c r="I711">
        <v>0.75588070924147743</v>
      </c>
      <c r="J711">
        <v>0.20032515368592185</v>
      </c>
      <c r="K711">
        <v>0.53365848701925511</v>
      </c>
      <c r="L711">
        <v>0.86699182035258837</v>
      </c>
      <c r="M711">
        <v>0.31143626479703296</v>
      </c>
      <c r="N711">
        <v>0.64476959813036627</v>
      </c>
      <c r="O711">
        <v>0.97810293146369953</v>
      </c>
      <c r="R711">
        <v>2.5</v>
      </c>
      <c r="S711" s="126">
        <f t="shared" si="111"/>
        <v>3.7080368057321094</v>
      </c>
      <c r="T711" s="126">
        <f t="shared" si="112"/>
        <v>1.9155269975953728</v>
      </c>
      <c r="U711" s="126">
        <f t="shared" si="113"/>
        <v>1.9633211255559877</v>
      </c>
      <c r="V711" s="126">
        <f t="shared" si="114"/>
        <v>2.7201723169645691</v>
      </c>
      <c r="W711" s="126">
        <f t="shared" si="115"/>
        <v>1.8356743255293813</v>
      </c>
      <c r="X711" s="126">
        <f t="shared" si="116"/>
        <v>2.1540079299802044</v>
      </c>
      <c r="Y711" s="126">
        <f t="shared" si="117"/>
        <v>3.1617430964239395</v>
      </c>
      <c r="Z711" s="126">
        <f t="shared" si="118"/>
        <v>2.3451966382232006</v>
      </c>
      <c r="AA711" s="126">
        <f t="shared" si="119"/>
        <v>2.6466197841332484</v>
      </c>
      <c r="AB711" s="126">
        <f t="shared" si="120"/>
        <v>4.1547614001698392</v>
      </c>
    </row>
    <row r="712" spans="1:28">
      <c r="A712">
        <v>711</v>
      </c>
      <c r="B712" s="119">
        <v>7.2702331961591218E-2</v>
      </c>
      <c r="F712">
        <v>2.7485647513082353E-2</v>
      </c>
      <c r="G712">
        <v>0.36081898084641567</v>
      </c>
      <c r="H712">
        <v>0.69415231417974899</v>
      </c>
      <c r="I712">
        <v>0.13859675862419346</v>
      </c>
      <c r="J712">
        <v>0.47193009195752678</v>
      </c>
      <c r="K712">
        <v>0.80526342529086004</v>
      </c>
      <c r="L712">
        <v>0.24970786973530457</v>
      </c>
      <c r="M712">
        <v>0.58304120306863794</v>
      </c>
      <c r="N712">
        <v>0.9163745364019712</v>
      </c>
      <c r="O712">
        <v>6.4522684550119391E-2</v>
      </c>
      <c r="R712">
        <v>2.5</v>
      </c>
      <c r="S712" s="126">
        <f t="shared" si="111"/>
        <v>0.83535125391378573</v>
      </c>
      <c r="T712" s="126">
        <f t="shared" si="112"/>
        <v>1.287723030263213</v>
      </c>
      <c r="U712" s="126">
        <f t="shared" si="113"/>
        <v>2.2276508088612275</v>
      </c>
      <c r="V712" s="126">
        <f t="shared" si="114"/>
        <v>1.3850795445655173</v>
      </c>
      <c r="W712" s="126">
        <f t="shared" si="115"/>
        <v>1.7997868433817692</v>
      </c>
      <c r="X712" s="126">
        <f t="shared" si="116"/>
        <v>2.7761010861520949</v>
      </c>
      <c r="Y712" s="126">
        <f t="shared" si="117"/>
        <v>1.999918230533378</v>
      </c>
      <c r="Z712" s="126">
        <f t="shared" si="118"/>
        <v>2.3398302400882103</v>
      </c>
      <c r="AA712" s="126">
        <f t="shared" si="119"/>
        <v>3.4768501237916691</v>
      </c>
      <c r="AB712" s="126">
        <f t="shared" si="120"/>
        <v>1.6572472317105162</v>
      </c>
    </row>
    <row r="713" spans="1:28">
      <c r="A713">
        <v>712</v>
      </c>
      <c r="B713" s="119">
        <v>0.40603566529492457</v>
      </c>
      <c r="F713">
        <v>0.39785601788345271</v>
      </c>
      <c r="G713">
        <v>0.73118935121678608</v>
      </c>
      <c r="H713">
        <v>0.1756337956612305</v>
      </c>
      <c r="I713">
        <v>0.50896712899456387</v>
      </c>
      <c r="J713">
        <v>0.84230046232789701</v>
      </c>
      <c r="K713">
        <v>0.2867449067723416</v>
      </c>
      <c r="L713">
        <v>0.62007824010567492</v>
      </c>
      <c r="M713">
        <v>0.95341157343900818</v>
      </c>
      <c r="N713">
        <v>0.10155972158715643</v>
      </c>
      <c r="O713">
        <v>0.43489305492048974</v>
      </c>
      <c r="R713">
        <v>2.5</v>
      </c>
      <c r="S713" s="126">
        <f t="shared" si="111"/>
        <v>2.2046863325873258</v>
      </c>
      <c r="T713" s="126">
        <f t="shared" si="112"/>
        <v>2.7782210806365102</v>
      </c>
      <c r="U713" s="126">
        <f t="shared" si="113"/>
        <v>1.7892377307143956</v>
      </c>
      <c r="V713" s="126">
        <f t="shared" si="114"/>
        <v>2.079539128110631</v>
      </c>
      <c r="W713" s="126">
        <f t="shared" si="115"/>
        <v>3.0349679927230522</v>
      </c>
      <c r="X713" s="126">
        <f t="shared" si="116"/>
        <v>2.2228064856887064</v>
      </c>
      <c r="Y713" s="126">
        <f t="shared" si="117"/>
        <v>2.53104002428833</v>
      </c>
      <c r="Z713" s="126">
        <f t="shared" si="118"/>
        <v>3.8185623718084596</v>
      </c>
      <c r="AA713" s="126">
        <f t="shared" si="119"/>
        <v>2.0312021376201117</v>
      </c>
      <c r="AB713" s="126">
        <f t="shared" si="120"/>
        <v>2.047400023544224</v>
      </c>
    </row>
    <row r="714" spans="1:28">
      <c r="A714">
        <v>713</v>
      </c>
      <c r="B714" s="119">
        <v>0.73936899862825789</v>
      </c>
      <c r="F714">
        <v>0.76822638825382306</v>
      </c>
      <c r="G714">
        <v>0.21267083269826753</v>
      </c>
      <c r="H714">
        <v>0.54600416603160085</v>
      </c>
      <c r="I714">
        <v>0.87933749936493411</v>
      </c>
      <c r="J714">
        <v>0.32378194380937864</v>
      </c>
      <c r="K714">
        <v>0.65711527714271201</v>
      </c>
      <c r="L714">
        <v>0.99044861047604527</v>
      </c>
      <c r="M714">
        <v>6.909515825839558E-3</v>
      </c>
      <c r="N714">
        <v>0.34024284915917286</v>
      </c>
      <c r="O714">
        <v>0.67357618249250617</v>
      </c>
      <c r="R714">
        <v>2.5</v>
      </c>
      <c r="S714" s="126">
        <f t="shared" si="111"/>
        <v>3.0228209940660875</v>
      </c>
      <c r="T714" s="126">
        <f t="shared" si="112"/>
        <v>2.0234763409914822</v>
      </c>
      <c r="U714" s="126">
        <f t="shared" si="113"/>
        <v>2.2740505251173713</v>
      </c>
      <c r="V714" s="126">
        <f t="shared" si="114"/>
        <v>3.2710680364397762</v>
      </c>
      <c r="W714" s="126">
        <f t="shared" si="115"/>
        <v>2.4287096653046265</v>
      </c>
      <c r="X714" s="126">
        <f t="shared" si="116"/>
        <v>2.7161133681808574</v>
      </c>
      <c r="Y714" s="126">
        <f t="shared" si="117"/>
        <v>4.4597806542810305</v>
      </c>
      <c r="Z714" s="126">
        <f t="shared" si="118"/>
        <v>1.3726105107264575</v>
      </c>
      <c r="AA714" s="126">
        <f t="shared" si="119"/>
        <v>1.5119484791738906</v>
      </c>
      <c r="AB714" s="126">
        <f t="shared" si="120"/>
        <v>2.2926358182157252</v>
      </c>
    </row>
    <row r="715" spans="1:28">
      <c r="A715">
        <v>714</v>
      </c>
      <c r="B715" s="119">
        <v>0.18381344307270231</v>
      </c>
      <c r="F715">
        <v>0.11802062693695066</v>
      </c>
      <c r="G715">
        <v>0.45135396027028396</v>
      </c>
      <c r="H715">
        <v>0.78468729360361722</v>
      </c>
      <c r="I715">
        <v>0.22913173804806178</v>
      </c>
      <c r="J715">
        <v>0.56246507138139512</v>
      </c>
      <c r="K715">
        <v>0.89579840471472838</v>
      </c>
      <c r="L715">
        <v>4.3946552862876589E-2</v>
      </c>
      <c r="M715">
        <v>0.37727988619620989</v>
      </c>
      <c r="N715">
        <v>0.71061321952954326</v>
      </c>
      <c r="O715">
        <v>0.15505766397398771</v>
      </c>
      <c r="R715">
        <v>2.5</v>
      </c>
      <c r="S715" s="126">
        <f t="shared" si="111"/>
        <v>1.4408891016037779</v>
      </c>
      <c r="T715" s="126">
        <f t="shared" si="112"/>
        <v>1.7850936798016144</v>
      </c>
      <c r="U715" s="126">
        <f t="shared" si="113"/>
        <v>2.7089584575163621</v>
      </c>
      <c r="V715" s="126">
        <f t="shared" si="114"/>
        <v>1.9114881194878808</v>
      </c>
      <c r="W715" s="126">
        <f t="shared" si="115"/>
        <v>2.2521181091891256</v>
      </c>
      <c r="X715" s="126">
        <f t="shared" si="116"/>
        <v>3.3312143245488777</v>
      </c>
      <c r="Y715" s="126">
        <f t="shared" si="117"/>
        <v>1.4283773591124851</v>
      </c>
      <c r="Z715" s="126">
        <f t="shared" si="118"/>
        <v>1.6217704940453326</v>
      </c>
      <c r="AA715" s="126">
        <f t="shared" si="119"/>
        <v>2.4347393260196801</v>
      </c>
      <c r="AB715" s="126">
        <f t="shared" si="120"/>
        <v>1.5482718636207957</v>
      </c>
    </row>
    <row r="716" spans="1:28">
      <c r="A716">
        <v>715</v>
      </c>
      <c r="B716" s="119">
        <v>0.51714677640603568</v>
      </c>
      <c r="F716">
        <v>0.488390997307321</v>
      </c>
      <c r="G716">
        <v>0.8217243306406542</v>
      </c>
      <c r="H716">
        <v>0.26616877508509879</v>
      </c>
      <c r="I716">
        <v>0.5995021084184321</v>
      </c>
      <c r="J716">
        <v>0.93283544175176536</v>
      </c>
      <c r="K716">
        <v>8.0983589899913624E-2</v>
      </c>
      <c r="L716">
        <v>0.41431692323324693</v>
      </c>
      <c r="M716">
        <v>0.74765025656658024</v>
      </c>
      <c r="N716">
        <v>0.19209470101102474</v>
      </c>
      <c r="O716">
        <v>0.52542803434435803</v>
      </c>
      <c r="R716">
        <v>2.5</v>
      </c>
      <c r="S716" s="126">
        <f t="shared" si="111"/>
        <v>2.3942228217285098</v>
      </c>
      <c r="T716" s="126">
        <f t="shared" si="112"/>
        <v>3.1254934367241272</v>
      </c>
      <c r="U716" s="126">
        <f t="shared" si="113"/>
        <v>2.2175609316818061</v>
      </c>
      <c r="V716" s="126">
        <f t="shared" si="114"/>
        <v>2.4841714828312496</v>
      </c>
      <c r="W716" s="126">
        <f t="shared" si="115"/>
        <v>3.645200983355469</v>
      </c>
      <c r="X716" s="126">
        <f t="shared" si="116"/>
        <v>1.8403342176879942</v>
      </c>
      <c r="Y716" s="126">
        <f t="shared" si="117"/>
        <v>1.9081481253880113</v>
      </c>
      <c r="Z716" s="126">
        <f t="shared" si="118"/>
        <v>2.6709980972523537</v>
      </c>
      <c r="AA716" s="126">
        <f t="shared" si="119"/>
        <v>1.7864275364517685</v>
      </c>
      <c r="AB716" s="126">
        <f t="shared" si="120"/>
        <v>2.1121931887882823</v>
      </c>
    </row>
    <row r="717" spans="1:28">
      <c r="A717">
        <v>716</v>
      </c>
      <c r="B717" s="119">
        <v>0.85048010973936883</v>
      </c>
      <c r="F717">
        <v>0.85876136767769129</v>
      </c>
      <c r="G717">
        <v>0.30320581212213582</v>
      </c>
      <c r="H717">
        <v>0.63653914545546919</v>
      </c>
      <c r="I717">
        <v>0.96987247878880245</v>
      </c>
      <c r="J717">
        <v>1.9255194838185236E-2</v>
      </c>
      <c r="K717">
        <v>0.35258852817151853</v>
      </c>
      <c r="L717">
        <v>0.68592186150485179</v>
      </c>
      <c r="M717">
        <v>0.13036630594929635</v>
      </c>
      <c r="N717">
        <v>0.46369963928262964</v>
      </c>
      <c r="O717">
        <v>0.79703297261596295</v>
      </c>
      <c r="R717">
        <v>2.5</v>
      </c>
      <c r="S717" s="126">
        <f t="shared" si="111"/>
        <v>3.3046985653721332</v>
      </c>
      <c r="T717" s="126">
        <f t="shared" si="112"/>
        <v>2.3977300373612236</v>
      </c>
      <c r="U717" s="126">
        <f t="shared" si="113"/>
        <v>2.6548658973621757</v>
      </c>
      <c r="V717" s="126">
        <f t="shared" si="114"/>
        <v>4.0457985215116583</v>
      </c>
      <c r="W717" s="126">
        <f t="shared" si="115"/>
        <v>1.4883206944797251</v>
      </c>
      <c r="X717" s="126">
        <f t="shared" si="116"/>
        <v>1.5977015032117934</v>
      </c>
      <c r="Y717" s="126">
        <f t="shared" si="117"/>
        <v>2.3642022657827808</v>
      </c>
      <c r="Z717" s="126">
        <f t="shared" si="118"/>
        <v>1.4223549072623944</v>
      </c>
      <c r="AA717" s="126">
        <f t="shared" si="119"/>
        <v>1.8014493554013629</v>
      </c>
      <c r="AB717" s="126">
        <f t="shared" si="120"/>
        <v>2.7526024678249876</v>
      </c>
    </row>
    <row r="718" spans="1:28">
      <c r="A718">
        <v>717</v>
      </c>
      <c r="B718" s="119">
        <v>0.29492455418381347</v>
      </c>
      <c r="F718">
        <v>0.24147741706040746</v>
      </c>
      <c r="G718">
        <v>0.57481075039374085</v>
      </c>
      <c r="H718">
        <v>0.90814408372707411</v>
      </c>
      <c r="I718">
        <v>5.6292231875222268E-2</v>
      </c>
      <c r="J718">
        <v>0.38962556520855557</v>
      </c>
      <c r="K718">
        <v>0.72295889854188899</v>
      </c>
      <c r="L718">
        <v>0.16740334298633339</v>
      </c>
      <c r="M718">
        <v>0.50073667631966667</v>
      </c>
      <c r="N718">
        <v>0.83407000965299993</v>
      </c>
      <c r="O718">
        <v>0.27851445409744446</v>
      </c>
      <c r="R718">
        <v>2.5</v>
      </c>
      <c r="S718" s="126">
        <f t="shared" si="111"/>
        <v>1.8395823780163028</v>
      </c>
      <c r="T718" s="126">
        <f t="shared" si="112"/>
        <v>2.2418881121104155</v>
      </c>
      <c r="U718" s="126">
        <f t="shared" si="113"/>
        <v>3.3850000441474233</v>
      </c>
      <c r="V718" s="126">
        <f t="shared" si="114"/>
        <v>1.5543323429643583</v>
      </c>
      <c r="W718" s="126">
        <f t="shared" si="115"/>
        <v>1.7117474992480219</v>
      </c>
      <c r="X718" s="126">
        <f t="shared" si="116"/>
        <v>2.5100480788112929</v>
      </c>
      <c r="Y718" s="126">
        <f t="shared" si="117"/>
        <v>1.6277767309032654</v>
      </c>
      <c r="Z718" s="126">
        <f t="shared" si="118"/>
        <v>1.9813710797988091</v>
      </c>
      <c r="AA718" s="126">
        <f t="shared" si="119"/>
        <v>2.9579292234514156</v>
      </c>
      <c r="AB718" s="126">
        <f t="shared" si="120"/>
        <v>2.1640103826907167</v>
      </c>
    </row>
    <row r="719" spans="1:28">
      <c r="A719">
        <v>718</v>
      </c>
      <c r="B719" s="119">
        <v>0.62825788751714673</v>
      </c>
      <c r="F719">
        <v>0.61184778743077783</v>
      </c>
      <c r="G719">
        <v>0.94518112076411109</v>
      </c>
      <c r="H719">
        <v>9.3329268912259303E-2</v>
      </c>
      <c r="I719">
        <v>0.4266626022455926</v>
      </c>
      <c r="J719">
        <v>0.75999593557892597</v>
      </c>
      <c r="K719">
        <v>0.20444038002337042</v>
      </c>
      <c r="L719">
        <v>0.53777371335670365</v>
      </c>
      <c r="M719">
        <v>0.87110704669003691</v>
      </c>
      <c r="N719">
        <v>0.3155514911344815</v>
      </c>
      <c r="O719">
        <v>0.64888482446781481</v>
      </c>
      <c r="R719">
        <v>2.5</v>
      </c>
      <c r="S719" s="126">
        <f t="shared" si="111"/>
        <v>2.6525846793856966</v>
      </c>
      <c r="T719" s="126">
        <f t="shared" si="112"/>
        <v>3.8144508688048067</v>
      </c>
      <c r="U719" s="126">
        <f t="shared" si="113"/>
        <v>1.9896983192209206</v>
      </c>
      <c r="V719" s="126">
        <f t="shared" si="114"/>
        <v>2.0092629429707678</v>
      </c>
      <c r="W719" s="126">
        <f t="shared" si="115"/>
        <v>2.7541305654098935</v>
      </c>
      <c r="X719" s="126">
        <f t="shared" si="116"/>
        <v>1.8647801311972343</v>
      </c>
      <c r="Y719" s="126">
        <f t="shared" si="117"/>
        <v>2.1771788980847822</v>
      </c>
      <c r="Z719" s="126">
        <f t="shared" si="118"/>
        <v>3.1893540486825955</v>
      </c>
      <c r="AA719" s="126">
        <f t="shared" si="119"/>
        <v>2.3686484685266693</v>
      </c>
      <c r="AB719" s="126">
        <f t="shared" si="120"/>
        <v>2.6675406572144915</v>
      </c>
    </row>
    <row r="720" spans="1:28">
      <c r="A720">
        <v>719</v>
      </c>
      <c r="B720" s="119">
        <v>0.96159122085047999</v>
      </c>
      <c r="F720">
        <v>0.98221815780114807</v>
      </c>
      <c r="G720">
        <v>3.1600873850530911E-2</v>
      </c>
      <c r="H720">
        <v>0.36493420718386421</v>
      </c>
      <c r="I720">
        <v>0.69826754051719753</v>
      </c>
      <c r="J720">
        <v>0.14271198496164203</v>
      </c>
      <c r="K720">
        <v>0.47604531829497532</v>
      </c>
      <c r="L720">
        <v>0.80937865162830858</v>
      </c>
      <c r="M720">
        <v>0.25382309607275311</v>
      </c>
      <c r="N720">
        <v>0.58715642940608648</v>
      </c>
      <c r="O720">
        <v>0.92048976273941974</v>
      </c>
      <c r="R720">
        <v>2.5</v>
      </c>
      <c r="S720" s="126">
        <f t="shared" si="111"/>
        <v>4.1518590479934296</v>
      </c>
      <c r="T720" s="126">
        <f t="shared" si="112"/>
        <v>1.7161634766913436</v>
      </c>
      <c r="U720" s="126">
        <f t="shared" si="113"/>
        <v>1.7394672890482092</v>
      </c>
      <c r="V720" s="126">
        <f t="shared" si="114"/>
        <v>2.4644048271593637</v>
      </c>
      <c r="W720" s="126">
        <f t="shared" si="115"/>
        <v>1.5192743603642902</v>
      </c>
      <c r="X720" s="126">
        <f t="shared" si="116"/>
        <v>1.8757594215866822</v>
      </c>
      <c r="Y720" s="126">
        <f t="shared" si="117"/>
        <v>2.8266863287920447</v>
      </c>
      <c r="Z720" s="126">
        <f t="shared" si="118"/>
        <v>2.0359840118139396</v>
      </c>
      <c r="AA720" s="126">
        <f t="shared" si="119"/>
        <v>2.3666638898396375</v>
      </c>
      <c r="AB720" s="126">
        <f t="shared" si="120"/>
        <v>3.51283925009293</v>
      </c>
    </row>
    <row r="721" spans="1:28">
      <c r="A721">
        <v>720</v>
      </c>
      <c r="B721" s="119">
        <v>0.10973936899862825</v>
      </c>
      <c r="F721">
        <v>6.8637910887567946E-2</v>
      </c>
      <c r="G721">
        <v>0.40197124422090125</v>
      </c>
      <c r="H721">
        <v>0.73530457755423462</v>
      </c>
      <c r="I721">
        <v>0.17974902199867906</v>
      </c>
      <c r="J721">
        <v>0.51308235533201241</v>
      </c>
      <c r="K721">
        <v>0.84641568866534556</v>
      </c>
      <c r="L721">
        <v>0.29086013310979014</v>
      </c>
      <c r="M721">
        <v>0.62419346644312346</v>
      </c>
      <c r="N721">
        <v>0.95752679977645672</v>
      </c>
      <c r="O721">
        <v>0.10567494792460498</v>
      </c>
      <c r="R721">
        <v>2.5</v>
      </c>
      <c r="S721" s="126">
        <f t="shared" si="111"/>
        <v>1.1925643520699534</v>
      </c>
      <c r="T721" s="126">
        <f t="shared" si="112"/>
        <v>1.5563552888748684</v>
      </c>
      <c r="U721" s="126">
        <f t="shared" si="113"/>
        <v>2.4626981615243171</v>
      </c>
      <c r="V721" s="126">
        <f t="shared" si="114"/>
        <v>1.6436971685969541</v>
      </c>
      <c r="W721" s="126">
        <f t="shared" si="115"/>
        <v>2.0149018242858396</v>
      </c>
      <c r="X721" s="126">
        <f t="shared" si="116"/>
        <v>3.0166873071486044</v>
      </c>
      <c r="Y721" s="126">
        <f t="shared" si="117"/>
        <v>2.2235538632790477</v>
      </c>
      <c r="Z721" s="126">
        <f t="shared" si="118"/>
        <v>2.5403456343977568</v>
      </c>
      <c r="AA721" s="126">
        <f t="shared" si="119"/>
        <v>3.8593716589554701</v>
      </c>
      <c r="AB721" s="126">
        <f t="shared" si="120"/>
        <v>2.0705613069839104</v>
      </c>
    </row>
    <row r="722" spans="1:28">
      <c r="A722">
        <v>721</v>
      </c>
      <c r="B722" s="119">
        <v>0.44307270233196161</v>
      </c>
      <c r="F722">
        <v>0.43900828125793828</v>
      </c>
      <c r="G722">
        <v>0.7723416145912716</v>
      </c>
      <c r="H722">
        <v>0.2167860590357161</v>
      </c>
      <c r="I722">
        <v>0.55011939236904939</v>
      </c>
      <c r="J722">
        <v>0.88345272570238265</v>
      </c>
      <c r="K722">
        <v>0.32789717014682718</v>
      </c>
      <c r="L722">
        <v>0.66123050348016055</v>
      </c>
      <c r="M722">
        <v>0.99456383681349381</v>
      </c>
      <c r="N722">
        <v>1.1024742163288118E-2</v>
      </c>
      <c r="O722">
        <v>0.34435807549662145</v>
      </c>
      <c r="R722">
        <v>2.5</v>
      </c>
      <c r="S722" s="126">
        <f t="shared" si="111"/>
        <v>2.2916337903133925</v>
      </c>
      <c r="T722" s="126">
        <f t="shared" si="112"/>
        <v>2.9292822503986358</v>
      </c>
      <c r="U722" s="126">
        <f t="shared" si="113"/>
        <v>1.9880890540782561</v>
      </c>
      <c r="V722" s="126">
        <f t="shared" si="114"/>
        <v>2.2648352785777375</v>
      </c>
      <c r="W722" s="126">
        <f t="shared" si="115"/>
        <v>3.283545988593497</v>
      </c>
      <c r="X722" s="126">
        <f t="shared" si="116"/>
        <v>2.4444018890620995</v>
      </c>
      <c r="Y722" s="126">
        <f t="shared" si="117"/>
        <v>2.7332552420483172</v>
      </c>
      <c r="Z722" s="126">
        <f t="shared" si="118"/>
        <v>4.6360421937508551</v>
      </c>
      <c r="AA722" s="126">
        <f t="shared" si="119"/>
        <v>1.6034107995750269</v>
      </c>
      <c r="AB722" s="126">
        <f t="shared" si="120"/>
        <v>1.6371885139835114</v>
      </c>
    </row>
    <row r="723" spans="1:28">
      <c r="A723">
        <v>722</v>
      </c>
      <c r="B723" s="119">
        <v>0.77640603566529487</v>
      </c>
      <c r="F723">
        <v>0.67769140882995471</v>
      </c>
      <c r="G723">
        <v>0.12213585327439923</v>
      </c>
      <c r="H723">
        <v>0.45546918660773256</v>
      </c>
      <c r="I723">
        <v>0.78880251994106576</v>
      </c>
      <c r="J723">
        <v>0.23324696438551032</v>
      </c>
      <c r="K723">
        <v>0.56658029771884366</v>
      </c>
      <c r="L723">
        <v>0.89991363105217692</v>
      </c>
      <c r="M723">
        <v>4.8061779200325151E-2</v>
      </c>
      <c r="N723">
        <v>0.38139511253365849</v>
      </c>
      <c r="O723">
        <v>0.7147284458669918</v>
      </c>
      <c r="R723">
        <v>2.5</v>
      </c>
      <c r="S723" s="126">
        <f t="shared" si="111"/>
        <v>2.7986688206585728</v>
      </c>
      <c r="T723" s="126">
        <f t="shared" si="112"/>
        <v>1.6079611402609877</v>
      </c>
      <c r="U723" s="126">
        <f t="shared" si="113"/>
        <v>1.8776307007333584</v>
      </c>
      <c r="V723" s="126">
        <f t="shared" si="114"/>
        <v>2.7671395389520015</v>
      </c>
      <c r="W723" s="126">
        <f t="shared" si="115"/>
        <v>1.9518761355172849</v>
      </c>
      <c r="X723" s="126">
        <f t="shared" si="116"/>
        <v>2.2810382646980956</v>
      </c>
      <c r="Y723" s="126">
        <f t="shared" si="117"/>
        <v>3.3647952177261273</v>
      </c>
      <c r="Z723" s="126">
        <f t="shared" si="118"/>
        <v>1.4804522471309527</v>
      </c>
      <c r="AA723" s="126">
        <f t="shared" si="119"/>
        <v>1.6568626219184774</v>
      </c>
      <c r="AB723" s="126">
        <f t="shared" si="120"/>
        <v>2.4623358918206835</v>
      </c>
    </row>
    <row r="724" spans="1:28">
      <c r="A724">
        <v>723</v>
      </c>
      <c r="B724" s="119">
        <v>0.22085048010973934</v>
      </c>
      <c r="F724">
        <v>0.15917289031143625</v>
      </c>
      <c r="G724">
        <v>0.49250622364476959</v>
      </c>
      <c r="H724">
        <v>0.82583955697810274</v>
      </c>
      <c r="I724">
        <v>0.27028400142254738</v>
      </c>
      <c r="J724">
        <v>0.60361733475588064</v>
      </c>
      <c r="K724">
        <v>0.9369506680892139</v>
      </c>
      <c r="L724">
        <v>8.5098816237362193E-2</v>
      </c>
      <c r="M724">
        <v>0.41843214957069552</v>
      </c>
      <c r="N724">
        <v>0.75176548290402878</v>
      </c>
      <c r="O724">
        <v>0.19620992734847328</v>
      </c>
      <c r="R724">
        <v>2.5</v>
      </c>
      <c r="S724" s="126">
        <f t="shared" si="111"/>
        <v>1.5951900118510027</v>
      </c>
      <c r="T724" s="126">
        <f t="shared" si="112"/>
        <v>1.947975893410089</v>
      </c>
      <c r="U724" s="126">
        <f t="shared" si="113"/>
        <v>2.9143197917520514</v>
      </c>
      <c r="V724" s="126">
        <f t="shared" si="114"/>
        <v>2.1217246716753939</v>
      </c>
      <c r="W724" s="126">
        <f t="shared" si="115"/>
        <v>2.444798860794791</v>
      </c>
      <c r="X724" s="126">
        <f t="shared" si="116"/>
        <v>3.652154394658381</v>
      </c>
      <c r="Y724" s="126">
        <f t="shared" si="117"/>
        <v>1.8660300817340898</v>
      </c>
      <c r="Z724" s="126">
        <f t="shared" si="118"/>
        <v>1.9297628486640113</v>
      </c>
      <c r="AA724" s="126">
        <f t="shared" si="119"/>
        <v>2.6925363961358335</v>
      </c>
      <c r="AB724" s="126">
        <f t="shared" si="120"/>
        <v>1.809596603156775</v>
      </c>
    </row>
    <row r="725" spans="1:28">
      <c r="A725">
        <v>724</v>
      </c>
      <c r="B725" s="119">
        <v>0.55418381344307266</v>
      </c>
      <c r="F725">
        <v>0.52954326068180657</v>
      </c>
      <c r="G725">
        <v>0.86287659401513983</v>
      </c>
      <c r="H725">
        <v>0.30732103845958442</v>
      </c>
      <c r="I725">
        <v>0.64065437179291773</v>
      </c>
      <c r="J725">
        <v>0.97398770512625099</v>
      </c>
      <c r="K725">
        <v>2.3370421175633795E-2</v>
      </c>
      <c r="L725">
        <v>0.35670375450896713</v>
      </c>
      <c r="M725">
        <v>0.69003708784230033</v>
      </c>
      <c r="N725">
        <v>0.13448153228674489</v>
      </c>
      <c r="O725">
        <v>0.46781486562007824</v>
      </c>
      <c r="R725">
        <v>2.5</v>
      </c>
      <c r="S725" s="126">
        <f t="shared" si="111"/>
        <v>2.4793630907351027</v>
      </c>
      <c r="T725" s="126">
        <f t="shared" si="112"/>
        <v>3.3096379041907138</v>
      </c>
      <c r="U725" s="126">
        <f t="shared" si="113"/>
        <v>2.4098990278497552</v>
      </c>
      <c r="V725" s="126">
        <f t="shared" si="114"/>
        <v>2.6700426205914747</v>
      </c>
      <c r="W725" s="126">
        <f t="shared" si="115"/>
        <v>4.1062197084550789</v>
      </c>
      <c r="X725" s="126">
        <f t="shared" si="116"/>
        <v>1.5852823673750565</v>
      </c>
      <c r="Y725" s="126">
        <f t="shared" si="117"/>
        <v>1.6555548701532308</v>
      </c>
      <c r="Z725" s="126">
        <f t="shared" si="118"/>
        <v>2.402873394580979</v>
      </c>
      <c r="AA725" s="126">
        <f t="shared" si="119"/>
        <v>1.4576334316345634</v>
      </c>
      <c r="AB725" s="126">
        <f t="shared" si="120"/>
        <v>1.8277199518809275</v>
      </c>
    </row>
    <row r="726" spans="1:28">
      <c r="A726">
        <v>725</v>
      </c>
      <c r="B726" s="119">
        <v>0.88751714677640592</v>
      </c>
      <c r="F726">
        <v>0.80114819895341149</v>
      </c>
      <c r="G726">
        <v>0.245592643397856</v>
      </c>
      <c r="H726">
        <v>0.5789259767311894</v>
      </c>
      <c r="I726">
        <v>0.91225931006452265</v>
      </c>
      <c r="J726">
        <v>6.040745821267083E-2</v>
      </c>
      <c r="K726">
        <v>0.39374079154600417</v>
      </c>
      <c r="L726">
        <v>0.72707412487933754</v>
      </c>
      <c r="M726">
        <v>0.17151856932378193</v>
      </c>
      <c r="N726">
        <v>0.50485190265711521</v>
      </c>
      <c r="O726">
        <v>0.83818523599044847</v>
      </c>
      <c r="R726">
        <v>2.5</v>
      </c>
      <c r="S726" s="126">
        <f t="shared" si="111"/>
        <v>3.1157852206689589</v>
      </c>
      <c r="T726" s="126">
        <f t="shared" si="112"/>
        <v>2.1599082852175542</v>
      </c>
      <c r="U726" s="126">
        <f t="shared" si="113"/>
        <v>2.4115534842248252</v>
      </c>
      <c r="V726" s="126">
        <f t="shared" si="114"/>
        <v>3.4912130198329847</v>
      </c>
      <c r="W726" s="126">
        <f t="shared" si="115"/>
        <v>1.6368475884790608</v>
      </c>
      <c r="X726" s="126">
        <f t="shared" si="116"/>
        <v>1.7620555185405222</v>
      </c>
      <c r="Y726" s="126">
        <f t="shared" si="117"/>
        <v>2.5455056848860314</v>
      </c>
      <c r="Z726" s="126">
        <f t="shared" si="118"/>
        <v>1.6590386177866419</v>
      </c>
      <c r="AA726" s="126">
        <f t="shared" si="119"/>
        <v>2.0055916452358371</v>
      </c>
      <c r="AB726" s="126">
        <f t="shared" si="120"/>
        <v>2.9838374593105552</v>
      </c>
    </row>
    <row r="727" spans="1:28">
      <c r="A727">
        <v>726</v>
      </c>
      <c r="B727" s="119">
        <v>0.3319615912208505</v>
      </c>
      <c r="F727">
        <v>0.28262968043489306</v>
      </c>
      <c r="G727">
        <v>0.61596301376822638</v>
      </c>
      <c r="H727">
        <v>0.94929634710155963</v>
      </c>
      <c r="I727">
        <v>9.7444495249707871E-2</v>
      </c>
      <c r="J727">
        <v>0.4307778285830412</v>
      </c>
      <c r="K727">
        <v>0.76411116191637452</v>
      </c>
      <c r="L727">
        <v>0.20855560636081896</v>
      </c>
      <c r="M727">
        <v>0.54188893969415219</v>
      </c>
      <c r="N727">
        <v>0.87522227302748545</v>
      </c>
      <c r="O727">
        <v>0.3196667174719301</v>
      </c>
      <c r="R727">
        <v>2.5</v>
      </c>
      <c r="S727" s="126">
        <f t="shared" si="111"/>
        <v>1.9439284914756783</v>
      </c>
      <c r="T727" s="126">
        <f t="shared" si="112"/>
        <v>2.3819754244604496</v>
      </c>
      <c r="U727" s="126">
        <f t="shared" si="113"/>
        <v>3.7099875800095878</v>
      </c>
      <c r="V727" s="126">
        <f t="shared" si="114"/>
        <v>1.9572192924263958</v>
      </c>
      <c r="W727" s="126">
        <f t="shared" si="115"/>
        <v>2.00158550442575</v>
      </c>
      <c r="X727" s="126">
        <f t="shared" si="116"/>
        <v>2.761241871558985</v>
      </c>
      <c r="Y727" s="126">
        <f t="shared" si="117"/>
        <v>1.8802492728930154</v>
      </c>
      <c r="Z727" s="126">
        <f t="shared" si="118"/>
        <v>2.193504476931488</v>
      </c>
      <c r="AA727" s="126">
        <f t="shared" si="119"/>
        <v>3.2138821013050287</v>
      </c>
      <c r="AB727" s="126">
        <f t="shared" si="120"/>
        <v>2.390497758404555</v>
      </c>
    </row>
    <row r="728" spans="1:28">
      <c r="A728">
        <v>727</v>
      </c>
      <c r="B728" s="119">
        <v>0.66529492455418382</v>
      </c>
      <c r="F728">
        <v>0.65300005080526335</v>
      </c>
      <c r="G728">
        <v>0.98633338413859661</v>
      </c>
      <c r="H728">
        <v>3.5716100187979473E-2</v>
      </c>
      <c r="I728">
        <v>0.36904943352131281</v>
      </c>
      <c r="J728">
        <v>0.70238276685464607</v>
      </c>
      <c r="K728">
        <v>0.14682721129909057</v>
      </c>
      <c r="L728">
        <v>0.48016054463242391</v>
      </c>
      <c r="M728">
        <v>0.81349387796575712</v>
      </c>
      <c r="N728">
        <v>0.2579383224102017</v>
      </c>
      <c r="O728">
        <v>0.59127165574353502</v>
      </c>
      <c r="R728">
        <v>2.5</v>
      </c>
      <c r="S728" s="126">
        <f t="shared" si="111"/>
        <v>2.7427307571131845</v>
      </c>
      <c r="T728" s="126">
        <f t="shared" si="112"/>
        <v>4.3603312393566904</v>
      </c>
      <c r="U728" s="126">
        <f t="shared" si="113"/>
        <v>1.8663464691454603</v>
      </c>
      <c r="V728" s="126">
        <f t="shared" si="114"/>
        <v>1.8239631515433015</v>
      </c>
      <c r="W728" s="126">
        <f t="shared" si="115"/>
        <v>2.5166395125727061</v>
      </c>
      <c r="X728" s="126">
        <f t="shared" si="116"/>
        <v>1.5604361929443589</v>
      </c>
      <c r="Y728" s="126">
        <f t="shared" si="117"/>
        <v>1.9049683300291689</v>
      </c>
      <c r="Z728" s="126">
        <f t="shared" si="118"/>
        <v>2.8539336105983923</v>
      </c>
      <c r="AA728" s="126">
        <f t="shared" si="119"/>
        <v>2.0602299388918284</v>
      </c>
      <c r="AB728" s="126">
        <f t="shared" si="120"/>
        <v>2.3875771716768655</v>
      </c>
    </row>
    <row r="729" spans="1:28">
      <c r="A729">
        <v>728</v>
      </c>
      <c r="B729" s="119">
        <v>0.99862825788751708</v>
      </c>
      <c r="F729">
        <v>0.92460498907686828</v>
      </c>
      <c r="G729">
        <v>7.2753137225016515E-2</v>
      </c>
      <c r="H729">
        <v>0.40608647055834984</v>
      </c>
      <c r="I729">
        <v>0.73941980389168316</v>
      </c>
      <c r="J729">
        <v>0.18386424833612761</v>
      </c>
      <c r="K729">
        <v>0.51719758166946095</v>
      </c>
      <c r="L729">
        <v>0.8505309150027941</v>
      </c>
      <c r="M729">
        <v>0.29497535944723874</v>
      </c>
      <c r="N729">
        <v>0.628308692780572</v>
      </c>
      <c r="O729">
        <v>0.96164202611390526</v>
      </c>
      <c r="R729">
        <v>2.5</v>
      </c>
      <c r="S729" s="126">
        <f t="shared" si="111"/>
        <v>3.6032559973075404</v>
      </c>
      <c r="T729" s="126">
        <f t="shared" si="112"/>
        <v>1.7721541082574093</v>
      </c>
      <c r="U729" s="126">
        <f t="shared" si="113"/>
        <v>1.8564200395217856</v>
      </c>
      <c r="V729" s="126">
        <f t="shared" si="114"/>
        <v>2.6239209596213313</v>
      </c>
      <c r="W729" s="126">
        <f t="shared" si="115"/>
        <v>1.737582741609883</v>
      </c>
      <c r="X729" s="126">
        <f t="shared" si="116"/>
        <v>2.070602977778039</v>
      </c>
      <c r="Y729" s="126">
        <f t="shared" si="117"/>
        <v>3.0591430913141542</v>
      </c>
      <c r="Z729" s="126">
        <f t="shared" si="118"/>
        <v>2.254761895912929</v>
      </c>
      <c r="AA729" s="126">
        <f t="shared" si="119"/>
        <v>2.5649914774761644</v>
      </c>
      <c r="AB729" s="126">
        <f t="shared" si="120"/>
        <v>3.9108435782624902</v>
      </c>
    </row>
    <row r="730" spans="1:28">
      <c r="A730">
        <v>729</v>
      </c>
      <c r="B730" s="119">
        <v>4.5724737082761773E-4</v>
      </c>
      <c r="F730">
        <v>0.10979017426205355</v>
      </c>
      <c r="G730">
        <v>0.44312350759538688</v>
      </c>
      <c r="H730">
        <v>0.77645684092872014</v>
      </c>
      <c r="I730">
        <v>0.22090128537316464</v>
      </c>
      <c r="J730">
        <v>0.55423461870649793</v>
      </c>
      <c r="K730">
        <v>0.88756795203983119</v>
      </c>
      <c r="L730">
        <v>0.33201239648427577</v>
      </c>
      <c r="M730">
        <v>0.66534572981760909</v>
      </c>
      <c r="N730">
        <v>0.99867906315094235</v>
      </c>
      <c r="O730">
        <v>5.080526342529086E-4</v>
      </c>
      <c r="R730">
        <v>2.5</v>
      </c>
      <c r="S730" s="126">
        <f t="shared" si="111"/>
        <v>1.4056660354848487</v>
      </c>
      <c r="T730" s="126">
        <f t="shared" si="112"/>
        <v>1.7502237085363959</v>
      </c>
      <c r="U730" s="126">
        <f t="shared" si="113"/>
        <v>2.6684700841177573</v>
      </c>
      <c r="V730" s="126">
        <f t="shared" si="114"/>
        <v>1.8685032248347031</v>
      </c>
      <c r="W730" s="126">
        <f t="shared" si="115"/>
        <v>2.2133130771914118</v>
      </c>
      <c r="X730" s="126">
        <f t="shared" si="116"/>
        <v>3.2751944844141736</v>
      </c>
      <c r="Y730" s="126">
        <f t="shared" si="117"/>
        <v>2.4495775074531245</v>
      </c>
      <c r="Z730" s="126">
        <f t="shared" si="118"/>
        <v>2.745154856659521</v>
      </c>
      <c r="AA730" s="126">
        <f t="shared" si="119"/>
        <v>5.0212857359654377</v>
      </c>
      <c r="AB730" s="126">
        <f t="shared" si="120"/>
        <v>0.97510888294772435</v>
      </c>
    </row>
    <row r="731" spans="1:28">
      <c r="A731">
        <v>730</v>
      </c>
      <c r="B731" s="119">
        <v>0.33379058070416096</v>
      </c>
      <c r="F731">
        <v>0.33384138596758622</v>
      </c>
      <c r="G731">
        <v>0.66717471930091954</v>
      </c>
      <c r="H731">
        <v>0.11161916374536401</v>
      </c>
      <c r="I731">
        <v>0.44495249707869733</v>
      </c>
      <c r="J731">
        <v>0.77828583041203059</v>
      </c>
      <c r="K731">
        <v>0.22273027485647512</v>
      </c>
      <c r="L731">
        <v>0.55606360818980849</v>
      </c>
      <c r="M731">
        <v>0.88939694152314175</v>
      </c>
      <c r="N731">
        <v>3.7545089671289944E-2</v>
      </c>
      <c r="O731">
        <v>0.37087842300462326</v>
      </c>
      <c r="R731">
        <v>2.5</v>
      </c>
      <c r="S731" s="126">
        <f t="shared" si="111"/>
        <v>2.0641156981923348</v>
      </c>
      <c r="T731" s="126">
        <f t="shared" si="112"/>
        <v>2.5555686946419409</v>
      </c>
      <c r="U731" s="126">
        <f t="shared" si="113"/>
        <v>1.4415810216079012</v>
      </c>
      <c r="V731" s="126">
        <f t="shared" si="114"/>
        <v>1.7720935953907353</v>
      </c>
      <c r="W731" s="126">
        <f t="shared" si="115"/>
        <v>2.6845222584052539</v>
      </c>
      <c r="X731" s="126">
        <f t="shared" si="116"/>
        <v>1.8816419908201563</v>
      </c>
      <c r="Y731" s="126">
        <f t="shared" si="117"/>
        <v>2.2237345381211187</v>
      </c>
      <c r="Z731" s="126">
        <f t="shared" si="118"/>
        <v>3.2883767386999763</v>
      </c>
      <c r="AA731" s="126">
        <f t="shared" si="119"/>
        <v>1.3463932432201593</v>
      </c>
      <c r="AB731" s="126">
        <f t="shared" si="120"/>
        <v>1.5666302213362147</v>
      </c>
    </row>
    <row r="732" spans="1:28">
      <c r="A732">
        <v>731</v>
      </c>
      <c r="B732" s="119">
        <v>0.66712391403749427</v>
      </c>
      <c r="F732">
        <v>0.70421175633795663</v>
      </c>
      <c r="G732">
        <v>0.14865620078240105</v>
      </c>
      <c r="H732">
        <v>0.48198953411573436</v>
      </c>
      <c r="I732">
        <v>0.81532286744906757</v>
      </c>
      <c r="J732">
        <v>0.25976731189351215</v>
      </c>
      <c r="K732">
        <v>0.59310064522684547</v>
      </c>
      <c r="L732">
        <v>0.92643397856017873</v>
      </c>
      <c r="M732">
        <v>7.4582126708326979E-2</v>
      </c>
      <c r="N732">
        <v>0.40791546004166029</v>
      </c>
      <c r="O732">
        <v>0.74124879337499361</v>
      </c>
      <c r="R732">
        <v>2.5</v>
      </c>
      <c r="S732" s="126">
        <f t="shared" si="111"/>
        <v>2.8607762702170225</v>
      </c>
      <c r="T732" s="126">
        <f t="shared" si="112"/>
        <v>1.7399353578976318</v>
      </c>
      <c r="U732" s="126">
        <f t="shared" si="113"/>
        <v>1.9989702493738235</v>
      </c>
      <c r="V732" s="126">
        <f t="shared" si="114"/>
        <v>2.906819305286501</v>
      </c>
      <c r="W732" s="126">
        <f t="shared" si="115"/>
        <v>2.0914717135622896</v>
      </c>
      <c r="X732" s="126">
        <f t="shared" si="116"/>
        <v>2.4071648722972139</v>
      </c>
      <c r="Y732" s="126">
        <f t="shared" si="117"/>
        <v>3.5673110821652907</v>
      </c>
      <c r="Z732" s="126">
        <f t="shared" si="118"/>
        <v>1.7648924215834854</v>
      </c>
      <c r="AA732" s="126">
        <f t="shared" si="119"/>
        <v>1.8566578068932671</v>
      </c>
      <c r="AB732" s="126">
        <f t="shared" si="120"/>
        <v>2.6286943387488164</v>
      </c>
    </row>
    <row r="733" spans="1:28">
      <c r="A733">
        <v>732</v>
      </c>
      <c r="B733" s="119">
        <v>0.11156835848193872</v>
      </c>
      <c r="F733">
        <v>0.18569323781943808</v>
      </c>
      <c r="G733">
        <v>0.5190265711527714</v>
      </c>
      <c r="H733">
        <v>0.85235990448610466</v>
      </c>
      <c r="I733">
        <v>0.29680434893054919</v>
      </c>
      <c r="J733">
        <v>0.63013768226388256</v>
      </c>
      <c r="K733">
        <v>0.96347101559721582</v>
      </c>
      <c r="L733">
        <v>1.2853731646598587E-2</v>
      </c>
      <c r="M733">
        <v>0.3461870649799319</v>
      </c>
      <c r="N733">
        <v>0.67952039831326516</v>
      </c>
      <c r="O733">
        <v>0.12396484275770969</v>
      </c>
      <c r="R733">
        <v>2.5</v>
      </c>
      <c r="S733" s="126">
        <f t="shared" si="111"/>
        <v>1.6809557954929852</v>
      </c>
      <c r="T733" s="126">
        <f t="shared" si="112"/>
        <v>2.0459275551400902</v>
      </c>
      <c r="U733" s="126">
        <f t="shared" si="113"/>
        <v>3.0532533002799953</v>
      </c>
      <c r="V733" s="126">
        <f t="shared" si="114"/>
        <v>2.25616781412934</v>
      </c>
      <c r="W733" s="126">
        <f t="shared" si="115"/>
        <v>2.5696908087964654</v>
      </c>
      <c r="X733" s="126">
        <f t="shared" si="116"/>
        <v>3.9316819657127282</v>
      </c>
      <c r="Y733" s="126">
        <f t="shared" si="117"/>
        <v>1.2979897572952832</v>
      </c>
      <c r="Z733" s="126">
        <f t="shared" si="118"/>
        <v>1.487777139164445</v>
      </c>
      <c r="AA733" s="126">
        <f t="shared" si="119"/>
        <v>2.2941363845746698</v>
      </c>
      <c r="AB733" s="126">
        <f t="shared" si="120"/>
        <v>1.361792559593475</v>
      </c>
    </row>
    <row r="734" spans="1:28">
      <c r="A734">
        <v>733</v>
      </c>
      <c r="B734" s="119">
        <v>0.44490169181527206</v>
      </c>
      <c r="F734">
        <v>0.45729817609104301</v>
      </c>
      <c r="G734">
        <v>0.79063150942437632</v>
      </c>
      <c r="H734">
        <v>0.2350759538688208</v>
      </c>
      <c r="I734">
        <v>0.56840928720215422</v>
      </c>
      <c r="J734">
        <v>0.90174262053548748</v>
      </c>
      <c r="K734">
        <v>4.9890768683635622E-2</v>
      </c>
      <c r="L734">
        <v>0.38322410201696894</v>
      </c>
      <c r="M734">
        <v>0.71655743535030236</v>
      </c>
      <c r="N734">
        <v>0.16100187979474673</v>
      </c>
      <c r="O734">
        <v>0.49433521312808004</v>
      </c>
      <c r="R734">
        <v>2.5</v>
      </c>
      <c r="S734" s="126">
        <f t="shared" si="111"/>
        <v>2.3297735686571954</v>
      </c>
      <c r="T734" s="126">
        <f t="shared" si="112"/>
        <v>2.9996167899768231</v>
      </c>
      <c r="U734" s="126">
        <f t="shared" si="113"/>
        <v>2.0736379594053105</v>
      </c>
      <c r="V734" s="126">
        <f t="shared" si="114"/>
        <v>2.346072173776609</v>
      </c>
      <c r="W734" s="126">
        <f t="shared" si="115"/>
        <v>3.4061296368530525</v>
      </c>
      <c r="X734" s="126">
        <f t="shared" si="116"/>
        <v>1.5160986134765109</v>
      </c>
      <c r="Y734" s="126">
        <f t="shared" si="117"/>
        <v>1.6787332272160351</v>
      </c>
      <c r="Z734" s="126">
        <f t="shared" si="118"/>
        <v>2.4777763011002731</v>
      </c>
      <c r="AA734" s="126">
        <f t="shared" si="119"/>
        <v>1.5902182838532153</v>
      </c>
      <c r="AB734" s="126">
        <f t="shared" si="120"/>
        <v>1.9492589959456121</v>
      </c>
    </row>
    <row r="735" spans="1:28">
      <c r="A735">
        <v>734</v>
      </c>
      <c r="B735" s="119">
        <v>0.77823502514860532</v>
      </c>
      <c r="F735">
        <v>0.8276685464614133</v>
      </c>
      <c r="G735">
        <v>0.27211299090585783</v>
      </c>
      <c r="H735">
        <v>0.6054463242391912</v>
      </c>
      <c r="I735">
        <v>0.93877965757252446</v>
      </c>
      <c r="J735">
        <v>8.6927805720672657E-2</v>
      </c>
      <c r="K735">
        <v>0.42026113905400597</v>
      </c>
      <c r="L735">
        <v>0.75359447238733934</v>
      </c>
      <c r="M735">
        <v>0.19803891683178376</v>
      </c>
      <c r="N735">
        <v>0.53137225016511702</v>
      </c>
      <c r="O735">
        <v>0.86470558349845028</v>
      </c>
      <c r="R735">
        <v>2.5</v>
      </c>
      <c r="S735" s="126">
        <f t="shared" si="111"/>
        <v>3.1976569275676567</v>
      </c>
      <c r="T735" s="126">
        <f t="shared" si="112"/>
        <v>2.2686822845994596</v>
      </c>
      <c r="U735" s="126">
        <f t="shared" si="113"/>
        <v>2.522576367255589</v>
      </c>
      <c r="V735" s="126">
        <f t="shared" si="114"/>
        <v>3.7035684492892673</v>
      </c>
      <c r="W735" s="126">
        <f t="shared" si="115"/>
        <v>1.9014798914122597</v>
      </c>
      <c r="X735" s="126">
        <f t="shared" si="116"/>
        <v>1.9514404673338457</v>
      </c>
      <c r="Y735" s="126">
        <f t="shared" si="117"/>
        <v>2.7082061143708156</v>
      </c>
      <c r="Z735" s="126">
        <f t="shared" si="118"/>
        <v>1.8229079176330276</v>
      </c>
      <c r="AA735" s="126">
        <f t="shared" si="119"/>
        <v>2.1428490468737058</v>
      </c>
      <c r="AB735" s="126">
        <f t="shared" si="120"/>
        <v>3.147411759262476</v>
      </c>
    </row>
    <row r="736" spans="1:28">
      <c r="A736">
        <v>735</v>
      </c>
      <c r="B736" s="119">
        <v>0.22267946959304982</v>
      </c>
      <c r="F736">
        <v>0.30915002794289487</v>
      </c>
      <c r="G736">
        <v>0.64248336127622818</v>
      </c>
      <c r="H736">
        <v>0.97581669460956144</v>
      </c>
      <c r="I736">
        <v>2.5199410658944262E-2</v>
      </c>
      <c r="J736">
        <v>0.35853274399227758</v>
      </c>
      <c r="K736">
        <v>0.6918660773256109</v>
      </c>
      <c r="L736">
        <v>0.13631052177005537</v>
      </c>
      <c r="M736">
        <v>0.46964385510338869</v>
      </c>
      <c r="N736">
        <v>0.80297718843672194</v>
      </c>
      <c r="O736">
        <v>0.24742163288116648</v>
      </c>
      <c r="R736">
        <v>2.5</v>
      </c>
      <c r="S736" s="126">
        <f t="shared" si="111"/>
        <v>2.0072617243023081</v>
      </c>
      <c r="T736" s="126">
        <f t="shared" si="112"/>
        <v>2.4717155117861891</v>
      </c>
      <c r="U736" s="126">
        <f t="shared" si="113"/>
        <v>4.0322766351863573</v>
      </c>
      <c r="V736" s="126">
        <f t="shared" si="114"/>
        <v>1.5745761822976503</v>
      </c>
      <c r="W736" s="126">
        <f t="shared" si="115"/>
        <v>1.6542155406017607</v>
      </c>
      <c r="X736" s="126">
        <f t="shared" si="116"/>
        <v>2.4064820123311459</v>
      </c>
      <c r="Y736" s="126">
        <f t="shared" si="117"/>
        <v>1.4663813047832561</v>
      </c>
      <c r="Z736" s="126">
        <f t="shared" si="118"/>
        <v>1.8359096699433992</v>
      </c>
      <c r="AA736" s="126">
        <f t="shared" si="119"/>
        <v>2.7874356276015626</v>
      </c>
      <c r="AB736" s="126">
        <f t="shared" si="120"/>
        <v>1.9996627467352341</v>
      </c>
    </row>
    <row r="737" spans="1:28">
      <c r="A737">
        <v>736</v>
      </c>
      <c r="B737" s="119">
        <v>0.55601280292638322</v>
      </c>
      <c r="F737">
        <v>0.58075496621449985</v>
      </c>
      <c r="G737">
        <v>0.91408829954783311</v>
      </c>
      <c r="H737">
        <v>6.2236447695981301E-2</v>
      </c>
      <c r="I737">
        <v>0.39556978102931462</v>
      </c>
      <c r="J737">
        <v>0.72890311436264799</v>
      </c>
      <c r="K737">
        <v>0.17334755880709241</v>
      </c>
      <c r="L737">
        <v>0.50668089214042578</v>
      </c>
      <c r="M737">
        <v>0.84001422547375892</v>
      </c>
      <c r="N737">
        <v>0.28445866991820351</v>
      </c>
      <c r="O737">
        <v>0.61779200325153683</v>
      </c>
      <c r="R737">
        <v>2.5</v>
      </c>
      <c r="S737" s="126">
        <f t="shared" si="111"/>
        <v>2.5863424986113355</v>
      </c>
      <c r="T737" s="126">
        <f t="shared" si="112"/>
        <v>3.5886037337330592</v>
      </c>
      <c r="U737" s="126">
        <f t="shared" si="113"/>
        <v>1.6982466073554345</v>
      </c>
      <c r="V737" s="126">
        <f t="shared" si="114"/>
        <v>1.7968334768490855</v>
      </c>
      <c r="W737" s="126">
        <f t="shared" si="115"/>
        <v>2.5675306759841661</v>
      </c>
      <c r="X737" s="126">
        <f t="shared" si="116"/>
        <v>1.6760158786521977</v>
      </c>
      <c r="Y737" s="126">
        <f t="shared" si="117"/>
        <v>2.0179061903214803</v>
      </c>
      <c r="Z737" s="126">
        <f t="shared" si="118"/>
        <v>2.9962041775180261</v>
      </c>
      <c r="AA737" s="126">
        <f t="shared" si="119"/>
        <v>2.1977750521952535</v>
      </c>
      <c r="AB737" s="126">
        <f t="shared" si="120"/>
        <v>2.5135109346105029</v>
      </c>
    </row>
    <row r="738" spans="1:28">
      <c r="A738">
        <v>737</v>
      </c>
      <c r="B738" s="119">
        <v>0.88934613625971648</v>
      </c>
      <c r="F738">
        <v>0.95112533658487008</v>
      </c>
      <c r="G738">
        <v>9.9273484733018336E-2</v>
      </c>
      <c r="H738">
        <v>0.43260681806635165</v>
      </c>
      <c r="I738">
        <v>0.76594015139968497</v>
      </c>
      <c r="J738">
        <v>0.21038459584412944</v>
      </c>
      <c r="K738">
        <v>0.54371792917746276</v>
      </c>
      <c r="L738">
        <v>0.87705126251079601</v>
      </c>
      <c r="M738">
        <v>0.32149570695524055</v>
      </c>
      <c r="N738">
        <v>0.65482904028857392</v>
      </c>
      <c r="O738">
        <v>0.98816237362190718</v>
      </c>
      <c r="R738">
        <v>2.5</v>
      </c>
      <c r="S738" s="126">
        <f t="shared" si="111"/>
        <v>3.783984216378995</v>
      </c>
      <c r="T738" s="126">
        <f t="shared" si="112"/>
        <v>2.0031106293719625</v>
      </c>
      <c r="U738" s="126">
        <f t="shared" si="113"/>
        <v>2.0284882636949235</v>
      </c>
      <c r="V738" s="126">
        <f t="shared" si="114"/>
        <v>2.7796725365325705</v>
      </c>
      <c r="W738" s="126">
        <f t="shared" si="115"/>
        <v>1.8947546913414841</v>
      </c>
      <c r="X738" s="126">
        <f t="shared" si="116"/>
        <v>2.2045981911829378</v>
      </c>
      <c r="Y738" s="126">
        <f t="shared" si="117"/>
        <v>3.2268331273743418</v>
      </c>
      <c r="Z738" s="126">
        <f t="shared" si="118"/>
        <v>2.4012221646981353</v>
      </c>
      <c r="AA738" s="126">
        <f t="shared" si="119"/>
        <v>2.697174676907049</v>
      </c>
      <c r="AB738" s="126">
        <f t="shared" si="120"/>
        <v>4.383320857171122</v>
      </c>
    </row>
    <row r="739" spans="1:28">
      <c r="A739">
        <v>738</v>
      </c>
      <c r="B739" s="119">
        <v>3.7494284407864654E-2</v>
      </c>
      <c r="F739">
        <v>4.6232789717014691E-3</v>
      </c>
      <c r="G739">
        <v>0.33795661230503476</v>
      </c>
      <c r="H739">
        <v>0.67128994563836808</v>
      </c>
      <c r="I739">
        <v>0.11573439008281257</v>
      </c>
      <c r="J739">
        <v>0.44906772341614587</v>
      </c>
      <c r="K739">
        <v>0.78240105674947913</v>
      </c>
      <c r="L739">
        <v>0.22684550119392369</v>
      </c>
      <c r="M739">
        <v>0.56017883452725703</v>
      </c>
      <c r="N739">
        <v>0.89351216786059029</v>
      </c>
      <c r="O739">
        <v>4.1660316008738506E-2</v>
      </c>
      <c r="R739">
        <v>2.5</v>
      </c>
      <c r="S739" s="126">
        <f t="shared" si="111"/>
        <v>0.27143708922921617</v>
      </c>
      <c r="T739" s="126">
        <f t="shared" si="112"/>
        <v>0.95334708625593834</v>
      </c>
      <c r="U739" s="126">
        <f t="shared" si="113"/>
        <v>2.0066602485843492</v>
      </c>
      <c r="V739" s="126">
        <f t="shared" si="114"/>
        <v>1.1833324829794081</v>
      </c>
      <c r="W739" s="126">
        <f t="shared" si="115"/>
        <v>1.650881848419502</v>
      </c>
      <c r="X739" s="126">
        <f t="shared" si="116"/>
        <v>2.6350751203097591</v>
      </c>
      <c r="Y739" s="126">
        <f t="shared" si="117"/>
        <v>1.8681135316991799</v>
      </c>
      <c r="Z739" s="126">
        <f t="shared" si="118"/>
        <v>2.2255346948090131</v>
      </c>
      <c r="AA739" s="126">
        <f t="shared" si="119"/>
        <v>3.3075075024316183</v>
      </c>
      <c r="AB739" s="126">
        <f t="shared" si="120"/>
        <v>1.3957451089634505</v>
      </c>
    </row>
    <row r="740" spans="1:28">
      <c r="A740">
        <v>739</v>
      </c>
      <c r="B740" s="119">
        <v>0.37082761774119799</v>
      </c>
      <c r="F740">
        <v>0.3749936493420718</v>
      </c>
      <c r="G740">
        <v>0.70832698267540517</v>
      </c>
      <c r="H740">
        <v>0.15277142711984962</v>
      </c>
      <c r="I740">
        <v>0.4861047604531829</v>
      </c>
      <c r="J740">
        <v>0.81943809378651611</v>
      </c>
      <c r="K740">
        <v>0.26388253823096069</v>
      </c>
      <c r="L740">
        <v>0.59721587156429401</v>
      </c>
      <c r="M740">
        <v>0.93054920489762727</v>
      </c>
      <c r="N740">
        <v>7.8697353045775534E-2</v>
      </c>
      <c r="O740">
        <v>0.41203068637910883</v>
      </c>
      <c r="R740">
        <v>2.5</v>
      </c>
      <c r="S740" s="126">
        <f t="shared" si="111"/>
        <v>2.1553998790411164</v>
      </c>
      <c r="T740" s="126">
        <f t="shared" si="112"/>
        <v>2.6974373367416038</v>
      </c>
      <c r="U740" s="126">
        <f t="shared" si="113"/>
        <v>1.672353446762971</v>
      </c>
      <c r="V740" s="126">
        <f t="shared" si="114"/>
        <v>1.9735185221248914</v>
      </c>
      <c r="W740" s="126">
        <f t="shared" si="115"/>
        <v>2.9068464655604074</v>
      </c>
      <c r="X740" s="126">
        <f t="shared" si="116"/>
        <v>2.1019121650532382</v>
      </c>
      <c r="Y740" s="126">
        <f t="shared" si="117"/>
        <v>2.4211707362763848</v>
      </c>
      <c r="Z740" s="126">
        <f t="shared" si="118"/>
        <v>3.5992242593674355</v>
      </c>
      <c r="AA740" s="126">
        <f t="shared" si="119"/>
        <v>1.804522495099617</v>
      </c>
      <c r="AB740" s="126">
        <f t="shared" si="120"/>
        <v>1.8853072955857073</v>
      </c>
    </row>
    <row r="741" spans="1:28">
      <c r="A741">
        <v>740</v>
      </c>
      <c r="B741" s="119">
        <v>0.70416095107453136</v>
      </c>
      <c r="F741">
        <v>0.74536401971244215</v>
      </c>
      <c r="G741">
        <v>0.18980846415688665</v>
      </c>
      <c r="H741">
        <v>0.52314179749021994</v>
      </c>
      <c r="I741">
        <v>0.8564751308235532</v>
      </c>
      <c r="J741">
        <v>0.30091957526799773</v>
      </c>
      <c r="K741">
        <v>0.6342529086013311</v>
      </c>
      <c r="L741">
        <v>0.96758624193466436</v>
      </c>
      <c r="M741">
        <v>1.6968957984047146E-2</v>
      </c>
      <c r="N741">
        <v>0.35030229131738044</v>
      </c>
      <c r="O741">
        <v>0.6836356246507137</v>
      </c>
      <c r="R741">
        <v>2.5</v>
      </c>
      <c r="S741" s="126">
        <f t="shared" si="111"/>
        <v>2.9625721364972146</v>
      </c>
      <c r="T741" s="126">
        <f t="shared" si="112"/>
        <v>1.9260449883759985</v>
      </c>
      <c r="U741" s="126">
        <f t="shared" si="113"/>
        <v>2.177629417792883</v>
      </c>
      <c r="V741" s="126">
        <f t="shared" si="114"/>
        <v>3.1342992585322631</v>
      </c>
      <c r="W741" s="126">
        <f t="shared" si="115"/>
        <v>2.3066806215678048</v>
      </c>
      <c r="X741" s="126">
        <f t="shared" si="116"/>
        <v>2.6040858493173351</v>
      </c>
      <c r="Y741" s="126">
        <f t="shared" si="117"/>
        <v>3.9934894050824901</v>
      </c>
      <c r="Z741" s="126">
        <f t="shared" si="118"/>
        <v>1.4196123138427215</v>
      </c>
      <c r="AA741" s="126">
        <f t="shared" si="119"/>
        <v>1.5580853011311591</v>
      </c>
      <c r="AB741" s="126">
        <f t="shared" si="120"/>
        <v>2.338984492941782</v>
      </c>
    </row>
    <row r="742" spans="1:28">
      <c r="A742">
        <v>741</v>
      </c>
      <c r="B742" s="119">
        <v>0.14860539551897575</v>
      </c>
      <c r="F742">
        <v>0.12808006909515826</v>
      </c>
      <c r="G742">
        <v>0.46141340242849155</v>
      </c>
      <c r="H742">
        <v>0.79474673576182486</v>
      </c>
      <c r="I742">
        <v>0.23919118020626937</v>
      </c>
      <c r="J742">
        <v>0.57252451353960276</v>
      </c>
      <c r="K742">
        <v>0.90585784687293602</v>
      </c>
      <c r="L742">
        <v>5.4005995021084184E-2</v>
      </c>
      <c r="M742">
        <v>0.38733932835441748</v>
      </c>
      <c r="N742">
        <v>0.7206726616877509</v>
      </c>
      <c r="O742">
        <v>0.1651171061321953</v>
      </c>
      <c r="R742">
        <v>2.5</v>
      </c>
      <c r="S742" s="126">
        <f t="shared" si="111"/>
        <v>1.48165572679344</v>
      </c>
      <c r="T742" s="126">
        <f t="shared" si="112"/>
        <v>1.826506294714429</v>
      </c>
      <c r="U742" s="126">
        <f t="shared" si="113"/>
        <v>2.758542028492847</v>
      </c>
      <c r="V742" s="126">
        <f t="shared" si="114"/>
        <v>1.9634643952228403</v>
      </c>
      <c r="W742" s="126">
        <f t="shared" si="115"/>
        <v>2.2993422640885228</v>
      </c>
      <c r="X742" s="126">
        <f t="shared" si="116"/>
        <v>3.4025427584430181</v>
      </c>
      <c r="Y742" s="126">
        <f t="shared" si="117"/>
        <v>1.5462324669081984</v>
      </c>
      <c r="Z742" s="126">
        <f t="shared" si="118"/>
        <v>1.702756268651924</v>
      </c>
      <c r="AA742" s="126">
        <f t="shared" si="119"/>
        <v>2.4999095440702277</v>
      </c>
      <c r="AB742" s="126">
        <f t="shared" si="120"/>
        <v>1.6151218684437749</v>
      </c>
    </row>
    <row r="743" spans="1:28">
      <c r="A743">
        <v>742</v>
      </c>
      <c r="B743" s="119">
        <v>0.4819387288523091</v>
      </c>
      <c r="F743">
        <v>0.49845043946552858</v>
      </c>
      <c r="G743">
        <v>0.83178377279886184</v>
      </c>
      <c r="H743">
        <v>0.27622821724330637</v>
      </c>
      <c r="I743">
        <v>0.60956155057663974</v>
      </c>
      <c r="J743">
        <v>0.942894883909973</v>
      </c>
      <c r="K743">
        <v>9.1043032058121212E-2</v>
      </c>
      <c r="L743">
        <v>0.42437636539145451</v>
      </c>
      <c r="M743">
        <v>0.75770969872478788</v>
      </c>
      <c r="N743">
        <v>0.20215414316923233</v>
      </c>
      <c r="O743">
        <v>0.53548747650256556</v>
      </c>
      <c r="R743">
        <v>2.5</v>
      </c>
      <c r="S743" s="126">
        <f t="shared" si="111"/>
        <v>2.4150237666735102</v>
      </c>
      <c r="T743" s="126">
        <f t="shared" si="112"/>
        <v>3.1683475850069418</v>
      </c>
      <c r="U743" s="126">
        <f t="shared" si="113"/>
        <v>2.264139073011171</v>
      </c>
      <c r="V743" s="126">
        <f t="shared" si="114"/>
        <v>2.5291236880330219</v>
      </c>
      <c r="W743" s="126">
        <f t="shared" si="115"/>
        <v>3.7356768567952399</v>
      </c>
      <c r="X743" s="126">
        <f t="shared" si="116"/>
        <v>1.9386989070346188</v>
      </c>
      <c r="Y743" s="126">
        <f t="shared" si="117"/>
        <v>1.9788198259963632</v>
      </c>
      <c r="Z743" s="126">
        <f t="shared" si="118"/>
        <v>2.7327797763035226</v>
      </c>
      <c r="AA743" s="126">
        <f t="shared" si="119"/>
        <v>1.8473793169211503</v>
      </c>
      <c r="AB743" s="126">
        <f t="shared" si="120"/>
        <v>2.163686499456098</v>
      </c>
    </row>
    <row r="744" spans="1:28">
      <c r="A744">
        <v>743</v>
      </c>
      <c r="B744" s="119">
        <v>0.8152720621856423</v>
      </c>
      <c r="F744">
        <v>0.86882080983589882</v>
      </c>
      <c r="G744">
        <v>0.31326525428034341</v>
      </c>
      <c r="H744">
        <v>0.64659858761367672</v>
      </c>
      <c r="I744">
        <v>0.97993192094700998</v>
      </c>
      <c r="J744">
        <v>2.9314636996392824E-2</v>
      </c>
      <c r="K744">
        <v>0.36264797032972612</v>
      </c>
      <c r="L744">
        <v>0.69598130366305944</v>
      </c>
      <c r="M744">
        <v>0.14042574810750394</v>
      </c>
      <c r="N744">
        <v>0.47375908144083723</v>
      </c>
      <c r="O744">
        <v>0.80709241477417049</v>
      </c>
      <c r="R744">
        <v>2.5</v>
      </c>
      <c r="S744" s="126">
        <f t="shared" si="111"/>
        <v>3.3426916106915923</v>
      </c>
      <c r="T744" s="126">
        <f t="shared" si="112"/>
        <v>2.4404033967140615</v>
      </c>
      <c r="U744" s="126">
        <f t="shared" si="113"/>
        <v>2.6985255472611747</v>
      </c>
      <c r="V744" s="126">
        <f t="shared" si="114"/>
        <v>4.2107804298866895</v>
      </c>
      <c r="W744" s="126">
        <f t="shared" si="115"/>
        <v>1.7183993428244748</v>
      </c>
      <c r="X744" s="126">
        <f t="shared" si="116"/>
        <v>1.7355686504779879</v>
      </c>
      <c r="Y744" s="126">
        <f t="shared" si="117"/>
        <v>2.4570451584377051</v>
      </c>
      <c r="Z744" s="126">
        <f t="shared" si="118"/>
        <v>1.507167007369731</v>
      </c>
      <c r="AA744" s="126">
        <f t="shared" si="119"/>
        <v>1.8649381648672643</v>
      </c>
      <c r="AB744" s="126">
        <f t="shared" si="120"/>
        <v>2.8143379175336678</v>
      </c>
    </row>
    <row r="745" spans="1:28">
      <c r="A745">
        <v>744</v>
      </c>
      <c r="B745" s="119">
        <v>0.25971650663008689</v>
      </c>
      <c r="F745">
        <v>0.25153685921861502</v>
      </c>
      <c r="G745">
        <v>0.58487019255194839</v>
      </c>
      <c r="H745">
        <v>0.91820352588528165</v>
      </c>
      <c r="I745">
        <v>6.6351674033429855E-2</v>
      </c>
      <c r="J745">
        <v>0.39968500736676316</v>
      </c>
      <c r="K745">
        <v>0.73301834070009653</v>
      </c>
      <c r="L745">
        <v>0.17746278514454097</v>
      </c>
      <c r="M745">
        <v>0.51079611847787432</v>
      </c>
      <c r="N745">
        <v>0.84412945181120747</v>
      </c>
      <c r="O745">
        <v>0.28857389625565205</v>
      </c>
      <c r="R745">
        <v>2.5</v>
      </c>
      <c r="S745" s="126">
        <f t="shared" si="111"/>
        <v>1.865890788393302</v>
      </c>
      <c r="T745" s="126">
        <f t="shared" si="112"/>
        <v>2.276335383341058</v>
      </c>
      <c r="U745" s="126">
        <f t="shared" si="113"/>
        <v>3.4548332221567484</v>
      </c>
      <c r="V745" s="126">
        <f t="shared" si="114"/>
        <v>1.6580180224822847</v>
      </c>
      <c r="W745" s="126">
        <f t="shared" si="115"/>
        <v>1.7854140623042865</v>
      </c>
      <c r="X745" s="126">
        <f t="shared" si="116"/>
        <v>2.5720752414005026</v>
      </c>
      <c r="Y745" s="126">
        <f t="shared" si="117"/>
        <v>1.6914484937343088</v>
      </c>
      <c r="Z745" s="126">
        <f t="shared" si="118"/>
        <v>2.0341727967357324</v>
      </c>
      <c r="AA745" s="126">
        <f t="shared" si="119"/>
        <v>3.0184501060850772</v>
      </c>
      <c r="AB745" s="126">
        <f t="shared" si="120"/>
        <v>2.2189284959336684</v>
      </c>
    </row>
    <row r="746" spans="1:28">
      <c r="A746">
        <v>745</v>
      </c>
      <c r="B746" s="119">
        <v>0.5930498399634202</v>
      </c>
      <c r="F746">
        <v>0.62190722958898537</v>
      </c>
      <c r="G746">
        <v>0.95524056292231863</v>
      </c>
      <c r="H746">
        <v>0.10338871107046689</v>
      </c>
      <c r="I746">
        <v>0.43672204440380019</v>
      </c>
      <c r="J746">
        <v>0.77005537773713351</v>
      </c>
      <c r="K746">
        <v>0.21449982218157801</v>
      </c>
      <c r="L746">
        <v>0.5478331555149113</v>
      </c>
      <c r="M746">
        <v>0.88116648884824456</v>
      </c>
      <c r="N746">
        <v>0.32561093329268909</v>
      </c>
      <c r="O746">
        <v>0.65894426662602246</v>
      </c>
      <c r="R746">
        <v>2.5</v>
      </c>
      <c r="S746" s="126">
        <f t="shared" si="111"/>
        <v>2.6743226532786184</v>
      </c>
      <c r="T746" s="126">
        <f t="shared" si="112"/>
        <v>3.9063038463451898</v>
      </c>
      <c r="U746" s="126">
        <f t="shared" si="113"/>
        <v>2.0837452390977589</v>
      </c>
      <c r="V746" s="126">
        <f t="shared" si="114"/>
        <v>2.0776392681322826</v>
      </c>
      <c r="W746" s="126">
        <f t="shared" si="115"/>
        <v>2.8155002501842423</v>
      </c>
      <c r="X746" s="126">
        <f t="shared" si="116"/>
        <v>1.9244597240725978</v>
      </c>
      <c r="Y746" s="126">
        <f t="shared" si="117"/>
        <v>2.2280925162647822</v>
      </c>
      <c r="Z746" s="126">
        <f t="shared" si="118"/>
        <v>3.2555220514187702</v>
      </c>
      <c r="AA746" s="126">
        <f t="shared" si="119"/>
        <v>2.4250892786713529</v>
      </c>
      <c r="AB746" s="126">
        <f t="shared" si="120"/>
        <v>2.7184018227319156</v>
      </c>
    </row>
    <row r="747" spans="1:28">
      <c r="A747">
        <v>746</v>
      </c>
      <c r="B747" s="119">
        <v>0.92638317329675346</v>
      </c>
      <c r="F747">
        <v>0.99227759995935572</v>
      </c>
      <c r="G747">
        <v>8.7385053091500291E-3</v>
      </c>
      <c r="H747">
        <v>0.34207183864248336</v>
      </c>
      <c r="I747">
        <v>0.67540517197581662</v>
      </c>
      <c r="J747">
        <v>0.11984961642026114</v>
      </c>
      <c r="K747">
        <v>0.45318294975359447</v>
      </c>
      <c r="L747">
        <v>0.78651628308692767</v>
      </c>
      <c r="M747">
        <v>0.23096072753137223</v>
      </c>
      <c r="N747">
        <v>0.56429406086470557</v>
      </c>
      <c r="O747">
        <v>0.89762739419803883</v>
      </c>
      <c r="R747">
        <v>2.5</v>
      </c>
      <c r="S747" s="126">
        <f t="shared" ref="S747:S810" si="121">NORMINV(F747,0,1)*0.8248+0.4974*(2.3356-R747)+R747</f>
        <v>4.4157095948897611</v>
      </c>
      <c r="T747" s="126">
        <f t="shared" ref="T747:T810" si="122">NORMINV(G747,0,1)*0.8248+0.4974*(2.3356-S747)+S747</f>
        <v>1.4209128109955058</v>
      </c>
      <c r="U747" s="126">
        <f t="shared" ref="U747:U810" si="123">NORMINV(H747,0,1)*0.8248+0.4974*(2.3356-T747)+T747</f>
        <v>1.5403369915966121</v>
      </c>
      <c r="V747" s="126">
        <f t="shared" ref="V747:V810" si="124">NORMINV(I747,0,1)*0.8248+0.4974*(2.3356-U747)+U747</f>
        <v>2.3110926182285758</v>
      </c>
      <c r="W747" s="126">
        <f t="shared" ref="W747:W810" si="125">NORMINV(J747,0,1)*0.8248+0.4974*(2.3356-V747)+V747</f>
        <v>1.3535331533815347</v>
      </c>
      <c r="X747" s="126">
        <f t="shared" ref="X747:X810" si="126">NORMINV(K747,0,1)*0.8248+0.4974*(2.3356-W747)+W747</f>
        <v>1.7449972522504069</v>
      </c>
      <c r="Y747" s="126">
        <f t="shared" ref="Y747:Y810" si="127">NORMINV(L747,0,1)*0.8248+0.4974*(2.3356-X747)+X747</f>
        <v>2.6939773342401923</v>
      </c>
      <c r="Z747" s="126">
        <f t="shared" ref="Z747:Z810" si="128">NORMINV(M747,0,1)*0.8248+0.4974*(2.3356-Y747)+Y747</f>
        <v>1.9089261522714482</v>
      </c>
      <c r="AA747" s="126">
        <f t="shared" ref="AA747:AA810" si="129">NORMINV(N747,0,1)*0.8248+0.4974*(2.3356-Z747)+Z747</f>
        <v>2.2546602767060282</v>
      </c>
      <c r="AB747" s="126">
        <f t="shared" ref="AB747:AB810" si="130">NORMINV(O747,0,1)*0.8248+0.4974*(2.3356-AA747)+AA747</f>
        <v>3.3408879141669399</v>
      </c>
    </row>
    <row r="748" spans="1:28">
      <c r="A748">
        <v>747</v>
      </c>
      <c r="B748" s="119">
        <v>7.4531321444901683E-2</v>
      </c>
      <c r="F748">
        <v>4.5775542346187068E-2</v>
      </c>
      <c r="G748">
        <v>0.3791088756795204</v>
      </c>
      <c r="H748">
        <v>0.71244220901285371</v>
      </c>
      <c r="I748">
        <v>0.15688665345729816</v>
      </c>
      <c r="J748">
        <v>0.4902199867906315</v>
      </c>
      <c r="K748">
        <v>0.82355332012396465</v>
      </c>
      <c r="L748">
        <v>0.26799776456840929</v>
      </c>
      <c r="M748">
        <v>0.60133109790174255</v>
      </c>
      <c r="N748">
        <v>0.93466443123507581</v>
      </c>
      <c r="O748">
        <v>8.2812579383224103E-2</v>
      </c>
      <c r="R748">
        <v>2.5</v>
      </c>
      <c r="S748" s="126">
        <f t="shared" si="121"/>
        <v>1.0265655900859352</v>
      </c>
      <c r="T748" s="126">
        <f t="shared" si="122"/>
        <v>1.4237876885956227</v>
      </c>
      <c r="U748" s="126">
        <f t="shared" si="123"/>
        <v>2.3396511803100872</v>
      </c>
      <c r="V748" s="126">
        <f t="shared" si="124"/>
        <v>1.506785341534405</v>
      </c>
      <c r="W748" s="126">
        <f t="shared" si="125"/>
        <v>1.8988158723680704</v>
      </c>
      <c r="X748" s="126">
        <f t="shared" si="126"/>
        <v>2.882304696189216</v>
      </c>
      <c r="Y748" s="126">
        <f t="shared" si="127"/>
        <v>2.0999216992823047</v>
      </c>
      <c r="Z748" s="126">
        <f t="shared" si="128"/>
        <v>2.4289517750245069</v>
      </c>
      <c r="AA748" s="126">
        <f t="shared" si="129"/>
        <v>3.6291713119851892</v>
      </c>
      <c r="AB748" s="126">
        <f t="shared" si="130"/>
        <v>1.842247200595359</v>
      </c>
    </row>
    <row r="749" spans="1:28">
      <c r="A749">
        <v>748</v>
      </c>
      <c r="B749" s="119">
        <v>0.40786465477823503</v>
      </c>
      <c r="F749">
        <v>0.41614591271655743</v>
      </c>
      <c r="G749">
        <v>0.74947924604989069</v>
      </c>
      <c r="H749">
        <v>0.19392369049433519</v>
      </c>
      <c r="I749">
        <v>0.52725702382766848</v>
      </c>
      <c r="J749">
        <v>0.86059035716100174</v>
      </c>
      <c r="K749">
        <v>0.30503480160544633</v>
      </c>
      <c r="L749">
        <v>0.63836813493877964</v>
      </c>
      <c r="M749">
        <v>0.9717014682721129</v>
      </c>
      <c r="N749">
        <v>2.1084184321495704E-2</v>
      </c>
      <c r="O749">
        <v>0.35441751765482904</v>
      </c>
      <c r="R749">
        <v>2.5</v>
      </c>
      <c r="S749" s="126">
        <f t="shared" si="121"/>
        <v>2.2435652011631468</v>
      </c>
      <c r="T749" s="126">
        <f t="shared" si="122"/>
        <v>2.8443115671546284</v>
      </c>
      <c r="U749" s="126">
        <f t="shared" si="123"/>
        <v>1.8790407636423587</v>
      </c>
      <c r="V749" s="126">
        <f t="shared" si="124"/>
        <v>2.1625302401167019</v>
      </c>
      <c r="W749" s="126">
        <f t="shared" si="125"/>
        <v>3.1418533537303306</v>
      </c>
      <c r="X749" s="126">
        <f t="shared" si="126"/>
        <v>2.3201962934037432</v>
      </c>
      <c r="Y749" s="126">
        <f t="shared" si="127"/>
        <v>2.619920010355667</v>
      </c>
      <c r="Z749" s="126">
        <f t="shared" si="128"/>
        <v>4.050906007098412</v>
      </c>
      <c r="AA749" s="126">
        <f t="shared" si="129"/>
        <v>1.5218390505135919</v>
      </c>
      <c r="AB749" s="126">
        <f t="shared" si="130"/>
        <v>1.6186059984937478</v>
      </c>
    </row>
    <row r="750" spans="1:28">
      <c r="A750">
        <v>749</v>
      </c>
      <c r="B750" s="119">
        <v>0.74119798811156834</v>
      </c>
      <c r="F750">
        <v>0.68775085098816224</v>
      </c>
      <c r="G750">
        <v>0.1321952954326068</v>
      </c>
      <c r="H750">
        <v>0.46552862876594014</v>
      </c>
      <c r="I750">
        <v>0.7988619620992734</v>
      </c>
      <c r="J750">
        <v>0.24330640654371791</v>
      </c>
      <c r="K750">
        <v>0.5766397398770513</v>
      </c>
      <c r="L750">
        <v>0.90997307321038456</v>
      </c>
      <c r="M750">
        <v>5.8121221358532746E-2</v>
      </c>
      <c r="N750">
        <v>0.39145455469186607</v>
      </c>
      <c r="O750">
        <v>0.72478788802519944</v>
      </c>
      <c r="R750">
        <v>2.5</v>
      </c>
      <c r="S750" s="126">
        <f t="shared" si="121"/>
        <v>2.8219547536748864</v>
      </c>
      <c r="T750" s="126">
        <f t="shared" si="122"/>
        <v>1.6595043155179794</v>
      </c>
      <c r="U750" s="126">
        <f t="shared" si="123"/>
        <v>1.9244369704709299</v>
      </c>
      <c r="V750" s="126">
        <f t="shared" si="124"/>
        <v>2.8197715773375558</v>
      </c>
      <c r="W750" s="126">
        <f t="shared" si="125"/>
        <v>2.005126122987384</v>
      </c>
      <c r="X750" s="126">
        <f t="shared" si="126"/>
        <v>2.3289413621180279</v>
      </c>
      <c r="Y750" s="126">
        <f t="shared" si="127"/>
        <v>3.4379713714385005</v>
      </c>
      <c r="Z750" s="126">
        <f t="shared" si="128"/>
        <v>1.594103329857556</v>
      </c>
      <c r="AA750" s="126">
        <f t="shared" si="129"/>
        <v>1.73566666033295</v>
      </c>
      <c r="AB750" s="126">
        <f t="shared" si="130"/>
        <v>2.5265818376721385</v>
      </c>
    </row>
    <row r="751" spans="1:28">
      <c r="A751">
        <v>750</v>
      </c>
      <c r="B751" s="119">
        <v>0.18564243255601279</v>
      </c>
      <c r="F751">
        <v>0.16923233246964384</v>
      </c>
      <c r="G751">
        <v>0.50256566580297712</v>
      </c>
      <c r="H751">
        <v>0.83589899913631038</v>
      </c>
      <c r="I751">
        <v>0.28034344358075497</v>
      </c>
      <c r="J751">
        <v>0.61367677691408828</v>
      </c>
      <c r="K751">
        <v>0.94701011024742154</v>
      </c>
      <c r="L751">
        <v>9.5158258395569781E-2</v>
      </c>
      <c r="M751">
        <v>0.42849159172890311</v>
      </c>
      <c r="N751">
        <v>0.76182492506223642</v>
      </c>
      <c r="O751">
        <v>0.20626936950668087</v>
      </c>
      <c r="R751">
        <v>2.5</v>
      </c>
      <c r="S751" s="126">
        <f t="shared" si="121"/>
        <v>1.6287261797023198</v>
      </c>
      <c r="T751" s="126">
        <f t="shared" si="122"/>
        <v>1.9856296838671066</v>
      </c>
      <c r="U751" s="126">
        <f t="shared" si="123"/>
        <v>2.9661464236040533</v>
      </c>
      <c r="V751" s="126">
        <f t="shared" si="124"/>
        <v>2.1726262184015197</v>
      </c>
      <c r="W751" s="126">
        <f t="shared" si="125"/>
        <v>2.4919864461834118</v>
      </c>
      <c r="X751" s="126">
        <f t="shared" si="126"/>
        <v>3.7475137454469287</v>
      </c>
      <c r="Y751" s="126">
        <f t="shared" si="127"/>
        <v>1.9650340149149459</v>
      </c>
      <c r="Z751" s="126">
        <f t="shared" si="128"/>
        <v>2.0007115740588617</v>
      </c>
      <c r="AA751" s="126">
        <f t="shared" si="129"/>
        <v>2.7546953642387511</v>
      </c>
      <c r="AB751" s="126">
        <f t="shared" si="130"/>
        <v>1.8703680161948693</v>
      </c>
    </row>
    <row r="752" spans="1:28">
      <c r="A752">
        <v>751</v>
      </c>
      <c r="B752" s="119">
        <v>0.51897576588934613</v>
      </c>
      <c r="F752">
        <v>0.5396027028400141</v>
      </c>
      <c r="G752">
        <v>0.87293603617334736</v>
      </c>
      <c r="H752">
        <v>0.317380480617792</v>
      </c>
      <c r="I752">
        <v>0.65071381395112526</v>
      </c>
      <c r="J752">
        <v>0.98404714728445852</v>
      </c>
      <c r="K752">
        <v>3.3429863333841389E-2</v>
      </c>
      <c r="L752">
        <v>0.36676319666717472</v>
      </c>
      <c r="M752">
        <v>0.70009653000050798</v>
      </c>
      <c r="N752">
        <v>0.14454097444495248</v>
      </c>
      <c r="O752">
        <v>0.47787430777828582</v>
      </c>
      <c r="R752">
        <v>2.5</v>
      </c>
      <c r="S752" s="126">
        <f t="shared" si="121"/>
        <v>2.5002396621026453</v>
      </c>
      <c r="T752" s="126">
        <f t="shared" si="122"/>
        <v>3.358933504037247</v>
      </c>
      <c r="U752" s="126">
        <f t="shared" si="123"/>
        <v>2.4581173181425258</v>
      </c>
      <c r="V752" s="126">
        <f t="shared" si="124"/>
        <v>2.7165796284592116</v>
      </c>
      <c r="W752" s="126">
        <f t="shared" si="125"/>
        <v>4.2967629781881005</v>
      </c>
      <c r="X752" s="126">
        <f t="shared" si="126"/>
        <v>1.8097390002236944</v>
      </c>
      <c r="Y752" s="126">
        <f t="shared" si="127"/>
        <v>1.7905086566777246</v>
      </c>
      <c r="Z752" s="126">
        <f t="shared" si="128"/>
        <v>2.49439163986289</v>
      </c>
      <c r="AA752" s="126">
        <f t="shared" si="129"/>
        <v>1.5410070853328035</v>
      </c>
      <c r="AB752" s="126">
        <f t="shared" si="130"/>
        <v>1.8904699864597836</v>
      </c>
    </row>
    <row r="753" spans="1:28">
      <c r="A753">
        <v>752</v>
      </c>
      <c r="B753" s="119">
        <v>0.85230909922267939</v>
      </c>
      <c r="F753">
        <v>0.81120764111161903</v>
      </c>
      <c r="G753">
        <v>0.25565208555606361</v>
      </c>
      <c r="H753">
        <v>0.58898541888939693</v>
      </c>
      <c r="I753">
        <v>0.92231875222273019</v>
      </c>
      <c r="J753">
        <v>7.0466900370878424E-2</v>
      </c>
      <c r="K753">
        <v>0.40380023370421175</v>
      </c>
      <c r="L753">
        <v>0.73713356703754507</v>
      </c>
      <c r="M753">
        <v>0.18157801148198952</v>
      </c>
      <c r="N753">
        <v>0.51491134481532286</v>
      </c>
      <c r="O753">
        <v>0.84824467814865601</v>
      </c>
      <c r="R753">
        <v>2.5</v>
      </c>
      <c r="S753" s="126">
        <f t="shared" si="121"/>
        <v>3.1459940647477014</v>
      </c>
      <c r="T753" s="126">
        <f t="shared" si="122"/>
        <v>2.2011685511459298</v>
      </c>
      <c r="U753" s="126">
        <f t="shared" si="123"/>
        <v>2.4535618612845158</v>
      </c>
      <c r="V753" s="126">
        <f t="shared" si="124"/>
        <v>3.5667986861063925</v>
      </c>
      <c r="W753" s="126">
        <f t="shared" si="125"/>
        <v>1.740028832777557</v>
      </c>
      <c r="X753" s="126">
        <f t="shared" si="126"/>
        <v>1.8354083712969167</v>
      </c>
      <c r="Y753" s="126">
        <f t="shared" si="127"/>
        <v>2.6075667228592625</v>
      </c>
      <c r="Z753" s="126">
        <f t="shared" si="128"/>
        <v>1.7222439292855487</v>
      </c>
      <c r="AA753" s="126">
        <f t="shared" si="129"/>
        <v>2.0581631339504582</v>
      </c>
      <c r="AB753" s="126">
        <f t="shared" si="130"/>
        <v>3.0448250756626818</v>
      </c>
    </row>
    <row r="754" spans="1:28">
      <c r="A754">
        <v>753</v>
      </c>
      <c r="B754" s="119">
        <v>0.29675354366712392</v>
      </c>
      <c r="F754">
        <v>0.29268912259310065</v>
      </c>
      <c r="G754">
        <v>0.62602245592643391</v>
      </c>
      <c r="H754">
        <v>0.95935578925976717</v>
      </c>
      <c r="I754">
        <v>0.10750393740791546</v>
      </c>
      <c r="J754">
        <v>0.44083727074124879</v>
      </c>
      <c r="K754">
        <v>0.77417060407458205</v>
      </c>
      <c r="L754">
        <v>0.21861504851902655</v>
      </c>
      <c r="M754">
        <v>0.55194838185235984</v>
      </c>
      <c r="N754">
        <v>0.8852817151856931</v>
      </c>
      <c r="O754">
        <v>0.32972615963013768</v>
      </c>
      <c r="R754">
        <v>2.5</v>
      </c>
      <c r="S754" s="126">
        <f t="shared" si="121"/>
        <v>1.9682613306781014</v>
      </c>
      <c r="T754" s="126">
        <f t="shared" si="122"/>
        <v>2.4160142682324737</v>
      </c>
      <c r="U754" s="126">
        <f t="shared" si="123"/>
        <v>3.813856055687193</v>
      </c>
      <c r="V754" s="126">
        <f t="shared" si="124"/>
        <v>2.0558919197516237</v>
      </c>
      <c r="W754" s="126">
        <f t="shared" si="125"/>
        <v>2.0722498997596781</v>
      </c>
      <c r="X754" s="126">
        <f t="shared" si="126"/>
        <v>2.8240279786551596</v>
      </c>
      <c r="Y754" s="126">
        <f t="shared" si="127"/>
        <v>1.9403140120129003</v>
      </c>
      <c r="Z754" s="126">
        <f t="shared" si="128"/>
        <v>2.2446361594037176</v>
      </c>
      <c r="AA754" s="126">
        <f t="shared" si="129"/>
        <v>3.2811356973015888</v>
      </c>
      <c r="AB754" s="126">
        <f t="shared" si="130"/>
        <v>2.4473620824003355</v>
      </c>
    </row>
    <row r="755" spans="1:28">
      <c r="A755">
        <v>754</v>
      </c>
      <c r="B755" s="119">
        <v>0.63008687700045729</v>
      </c>
      <c r="F755">
        <v>0.663059492963471</v>
      </c>
      <c r="G755">
        <v>0.99639282629680426</v>
      </c>
      <c r="H755">
        <v>1.8797947467357617E-3</v>
      </c>
      <c r="I755">
        <v>0.33521312808006909</v>
      </c>
      <c r="J755">
        <v>0.66854646141340235</v>
      </c>
      <c r="K755">
        <v>0.11299090585784687</v>
      </c>
      <c r="L755">
        <v>0.44632423919118019</v>
      </c>
      <c r="M755">
        <v>0.7796575725245134</v>
      </c>
      <c r="N755">
        <v>0.22410201696895798</v>
      </c>
      <c r="O755">
        <v>0.5574353503022913</v>
      </c>
      <c r="R755">
        <v>2.5</v>
      </c>
      <c r="S755" s="126">
        <f t="shared" si="121"/>
        <v>2.7653260015369914</v>
      </c>
      <c r="T755" s="126">
        <f t="shared" si="122"/>
        <v>4.767640170452804</v>
      </c>
      <c r="U755" s="126">
        <f t="shared" si="123"/>
        <v>1.1679541325538065</v>
      </c>
      <c r="V755" s="126">
        <f t="shared" si="124"/>
        <v>1.3977367682012334</v>
      </c>
      <c r="W755" s="126">
        <f t="shared" si="125"/>
        <v>2.223762769617105</v>
      </c>
      <c r="X755" s="126">
        <f t="shared" si="126"/>
        <v>1.2807437379418407</v>
      </c>
      <c r="Y755" s="126">
        <f t="shared" si="127"/>
        <v>1.6941194277863343</v>
      </c>
      <c r="Z755" s="126">
        <f t="shared" si="128"/>
        <v>2.6491433849616293</v>
      </c>
      <c r="AA755" s="126">
        <f t="shared" si="129"/>
        <v>1.8676482158914709</v>
      </c>
      <c r="AB755" s="126">
        <f t="shared" si="130"/>
        <v>2.2195663363584668</v>
      </c>
    </row>
    <row r="756" spans="1:28">
      <c r="A756">
        <v>755</v>
      </c>
      <c r="B756" s="119">
        <v>0.96342021033379055</v>
      </c>
      <c r="F756">
        <v>0.89076868363562456</v>
      </c>
      <c r="G756">
        <v>3.8916831783772796E-2</v>
      </c>
      <c r="H756">
        <v>0.37225016511710612</v>
      </c>
      <c r="I756">
        <v>0.70558349845043944</v>
      </c>
      <c r="J756">
        <v>0.15002794289488391</v>
      </c>
      <c r="K756">
        <v>0.48336127622821723</v>
      </c>
      <c r="L756">
        <v>0.81669460956155038</v>
      </c>
      <c r="M756">
        <v>0.26113905400599502</v>
      </c>
      <c r="N756">
        <v>0.59447238733932828</v>
      </c>
      <c r="O756">
        <v>0.92780572067266154</v>
      </c>
      <c r="R756">
        <v>2.5</v>
      </c>
      <c r="S756" s="126">
        <f t="shared" si="121"/>
        <v>3.433248081377799</v>
      </c>
      <c r="T756" s="126">
        <f t="shared" si="122"/>
        <v>1.432828609269019</v>
      </c>
      <c r="U756" s="126">
        <f t="shared" si="123"/>
        <v>1.6130651218998366</v>
      </c>
      <c r="V756" s="126">
        <f t="shared" si="124"/>
        <v>2.4182814089712661</v>
      </c>
      <c r="W756" s="126">
        <f t="shared" si="125"/>
        <v>1.5224042584466289</v>
      </c>
      <c r="X756" s="126">
        <f t="shared" si="126"/>
        <v>1.8924778288507995</v>
      </c>
      <c r="Y756" s="126">
        <f t="shared" si="127"/>
        <v>2.8575492870558374</v>
      </c>
      <c r="Z756" s="126">
        <f t="shared" si="128"/>
        <v>2.0701935614099654</v>
      </c>
      <c r="AA756" s="126">
        <f t="shared" si="129"/>
        <v>2.399387488716382</v>
      </c>
      <c r="AB756" s="126">
        <f t="shared" si="130"/>
        <v>3.5715721071662236</v>
      </c>
    </row>
    <row r="757" spans="1:28">
      <c r="A757">
        <v>756</v>
      </c>
      <c r="B757" s="119">
        <v>1.2802926383173296E-2</v>
      </c>
      <c r="F757">
        <v>7.5953868820809831E-2</v>
      </c>
      <c r="G757">
        <v>0.40928720215414316</v>
      </c>
      <c r="H757">
        <v>0.74262053548747642</v>
      </c>
      <c r="I757">
        <v>0.18706497993192095</v>
      </c>
      <c r="J757">
        <v>0.52039831326525421</v>
      </c>
      <c r="K757">
        <v>0.85373164659858747</v>
      </c>
      <c r="L757">
        <v>0.29817609104303205</v>
      </c>
      <c r="M757">
        <v>0.63150942437636537</v>
      </c>
      <c r="N757">
        <v>0.96484275770969863</v>
      </c>
      <c r="O757">
        <v>1.4225473759081441E-2</v>
      </c>
      <c r="R757">
        <v>2.5</v>
      </c>
      <c r="S757" s="126">
        <f t="shared" si="121"/>
        <v>1.2364330415126794</v>
      </c>
      <c r="T757" s="126">
        <f t="shared" si="122"/>
        <v>1.5939669380423709</v>
      </c>
      <c r="U757" s="126">
        <f t="shared" si="123"/>
        <v>2.5001674948864894</v>
      </c>
      <c r="V757" s="126">
        <f t="shared" si="124"/>
        <v>1.685259125831112</v>
      </c>
      <c r="W757" s="126">
        <f t="shared" si="125"/>
        <v>2.050929908983997</v>
      </c>
      <c r="X757" s="126">
        <f t="shared" si="126"/>
        <v>3.0606870771735424</v>
      </c>
      <c r="Y757" s="126">
        <f t="shared" si="127"/>
        <v>2.2631705445205528</v>
      </c>
      <c r="Z757" s="126">
        <f t="shared" si="128"/>
        <v>2.5762091331173087</v>
      </c>
      <c r="AA757" s="126">
        <f t="shared" si="129"/>
        <v>3.9493187154155716</v>
      </c>
      <c r="AB757" s="126">
        <f t="shared" si="130"/>
        <v>1.3395085958949284</v>
      </c>
    </row>
    <row r="758" spans="1:28">
      <c r="A758">
        <v>757</v>
      </c>
      <c r="B758" s="119">
        <v>0.34613625971650663</v>
      </c>
      <c r="F758">
        <v>0.34755880709241477</v>
      </c>
      <c r="G758">
        <v>0.68089214042574797</v>
      </c>
      <c r="H758">
        <v>0.12533658487019256</v>
      </c>
      <c r="I758">
        <v>0.45866991820352587</v>
      </c>
      <c r="J758">
        <v>0.79200325153685913</v>
      </c>
      <c r="K758">
        <v>0.23644769598130366</v>
      </c>
      <c r="L758">
        <v>0.56978102931463703</v>
      </c>
      <c r="M758">
        <v>0.90311436264797029</v>
      </c>
      <c r="N758">
        <v>5.1262510796118474E-2</v>
      </c>
      <c r="O758">
        <v>0.3845958441294518</v>
      </c>
      <c r="R758">
        <v>2.5</v>
      </c>
      <c r="S758" s="126">
        <f t="shared" si="121"/>
        <v>2.0949721468969691</v>
      </c>
      <c r="T758" s="126">
        <f t="shared" si="122"/>
        <v>2.6024772619342067</v>
      </c>
      <c r="U758" s="126">
        <f t="shared" si="123"/>
        <v>1.5222716822941109</v>
      </c>
      <c r="V758" s="126">
        <f t="shared" si="124"/>
        <v>1.8412191802124387</v>
      </c>
      <c r="W758" s="126">
        <f t="shared" si="125"/>
        <v>2.7580097023491295</v>
      </c>
      <c r="X758" s="126">
        <f t="shared" si="126"/>
        <v>1.9558814424545765</v>
      </c>
      <c r="Y758" s="126">
        <f t="shared" si="127"/>
        <v>2.2897670754675676</v>
      </c>
      <c r="Z758" s="126">
        <f t="shared" si="128"/>
        <v>3.3843946626896506</v>
      </c>
      <c r="AA758" s="126">
        <f t="shared" si="129"/>
        <v>1.516045461820714</v>
      </c>
      <c r="AB758" s="126">
        <f t="shared" si="130"/>
        <v>1.6816688726408247</v>
      </c>
    </row>
    <row r="759" spans="1:28">
      <c r="A759">
        <v>758</v>
      </c>
      <c r="B759" s="119">
        <v>0.67946959304983989</v>
      </c>
      <c r="F759">
        <v>0.71792917746278517</v>
      </c>
      <c r="G759">
        <v>0.16237362190722959</v>
      </c>
      <c r="H759">
        <v>0.49570695524056291</v>
      </c>
      <c r="I759">
        <v>0.82904028857389611</v>
      </c>
      <c r="J759">
        <v>0.2734847330183407</v>
      </c>
      <c r="K759">
        <v>0.60681806635167401</v>
      </c>
      <c r="L759">
        <v>0.94015139968500727</v>
      </c>
      <c r="M759">
        <v>8.8299547833155509E-2</v>
      </c>
      <c r="N759">
        <v>0.42163288116648884</v>
      </c>
      <c r="O759">
        <v>0.75496621449982215</v>
      </c>
      <c r="R759">
        <v>2.5</v>
      </c>
      <c r="S759" s="126">
        <f t="shared" si="121"/>
        <v>2.8938901949495865</v>
      </c>
      <c r="T759" s="126">
        <f t="shared" si="122"/>
        <v>1.8039754525083587</v>
      </c>
      <c r="U759" s="126">
        <f t="shared" si="123"/>
        <v>2.0595296027477654</v>
      </c>
      <c r="V759" s="126">
        <f t="shared" si="124"/>
        <v>2.980720084666558</v>
      </c>
      <c r="W759" s="126">
        <f t="shared" si="125"/>
        <v>2.1630541243927941</v>
      </c>
      <c r="X759" s="126">
        <f t="shared" si="126"/>
        <v>2.4724283747177398</v>
      </c>
      <c r="Y759" s="126">
        <f t="shared" si="127"/>
        <v>3.6877965213319652</v>
      </c>
      <c r="Z759" s="126">
        <f t="shared" si="128"/>
        <v>1.9006610712346124</v>
      </c>
      <c r="AA759" s="126">
        <f t="shared" si="129"/>
        <v>1.9539219476357186</v>
      </c>
      <c r="AB759" s="126">
        <f t="shared" si="130"/>
        <v>2.7130466889742268</v>
      </c>
    </row>
    <row r="760" spans="1:28">
      <c r="A760">
        <v>759</v>
      </c>
      <c r="B760" s="119">
        <v>0.1239140374942844</v>
      </c>
      <c r="F760">
        <v>0.19941065894426663</v>
      </c>
      <c r="G760">
        <v>0.53274399227759983</v>
      </c>
      <c r="H760">
        <v>0.86607732561093309</v>
      </c>
      <c r="I760">
        <v>0.31052177005537773</v>
      </c>
      <c r="J760">
        <v>0.64385510338871099</v>
      </c>
      <c r="K760">
        <v>0.97718843672204425</v>
      </c>
      <c r="L760">
        <v>2.6571152771427114E-2</v>
      </c>
      <c r="M760">
        <v>0.35990448610476045</v>
      </c>
      <c r="N760">
        <v>0.69323781943809371</v>
      </c>
      <c r="O760">
        <v>0.13768226388253824</v>
      </c>
      <c r="R760">
        <v>2.5</v>
      </c>
      <c r="S760" s="126">
        <f t="shared" si="121"/>
        <v>1.7223204388957103</v>
      </c>
      <c r="T760" s="126">
        <f t="shared" si="122"/>
        <v>2.0951390043266787</v>
      </c>
      <c r="U760" s="126">
        <f t="shared" si="123"/>
        <v>3.1286541534771679</v>
      </c>
      <c r="V760" s="126">
        <f t="shared" si="124"/>
        <v>2.3264310565862107</v>
      </c>
      <c r="W760" s="126">
        <f t="shared" si="125"/>
        <v>2.6351635575180956</v>
      </c>
      <c r="X760" s="126">
        <f t="shared" si="126"/>
        <v>4.1348232463067527</v>
      </c>
      <c r="Y760" s="126">
        <f t="shared" si="127"/>
        <v>1.6449220932673958</v>
      </c>
      <c r="Z760" s="126">
        <f t="shared" si="128"/>
        <v>1.6925978866815234</v>
      </c>
      <c r="AA760" s="126">
        <f t="shared" si="129"/>
        <v>2.4289916228684558</v>
      </c>
      <c r="AB760" s="126">
        <f t="shared" si="130"/>
        <v>1.4828535948207846</v>
      </c>
    </row>
    <row r="761" spans="1:28">
      <c r="A761">
        <v>760</v>
      </c>
      <c r="B761" s="119">
        <v>0.45724737082761774</v>
      </c>
      <c r="F761">
        <v>0.47101559721587155</v>
      </c>
      <c r="G761">
        <v>0.80434893054920475</v>
      </c>
      <c r="H761">
        <v>0.24879337499364934</v>
      </c>
      <c r="I761">
        <v>0.58212670832698266</v>
      </c>
      <c r="J761">
        <v>0.91546004166031592</v>
      </c>
      <c r="K761">
        <v>6.3608189808464152E-2</v>
      </c>
      <c r="L761">
        <v>0.39694152314179748</v>
      </c>
      <c r="M761">
        <v>0.7302748564751308</v>
      </c>
      <c r="N761">
        <v>0.17471930091957527</v>
      </c>
      <c r="O761">
        <v>0.50805263425290859</v>
      </c>
      <c r="R761">
        <v>2.5</v>
      </c>
      <c r="S761" s="126">
        <f t="shared" si="121"/>
        <v>2.3582503279213061</v>
      </c>
      <c r="T761" s="126">
        <f t="shared" si="122"/>
        <v>3.0540507155075041</v>
      </c>
      <c r="U761" s="126">
        <f t="shared" si="123"/>
        <v>2.1372383221520428</v>
      </c>
      <c r="V761" s="126">
        <f t="shared" si="124"/>
        <v>2.4069150804892399</v>
      </c>
      <c r="W761" s="126">
        <f t="shared" si="125"/>
        <v>3.5056800620593087</v>
      </c>
      <c r="X761" s="126">
        <f t="shared" si="126"/>
        <v>1.6657209595131319</v>
      </c>
      <c r="Y761" s="126">
        <f t="shared" si="127"/>
        <v>1.7834219574350652</v>
      </c>
      <c r="Z761" s="126">
        <f t="shared" si="128"/>
        <v>2.5642092789977102</v>
      </c>
      <c r="AA761" s="126">
        <f t="shared" si="129"/>
        <v>1.6787511698465143</v>
      </c>
      <c r="AB761" s="126">
        <f t="shared" si="130"/>
        <v>2.0221174642419215</v>
      </c>
    </row>
    <row r="762" spans="1:28">
      <c r="A762">
        <v>761</v>
      </c>
      <c r="B762" s="119">
        <v>0.79058070416095105</v>
      </c>
      <c r="F762">
        <v>0.84138596758624173</v>
      </c>
      <c r="G762">
        <v>0.28583041203068638</v>
      </c>
      <c r="H762">
        <v>0.61916374536401964</v>
      </c>
      <c r="I762">
        <v>0.95249707869735289</v>
      </c>
      <c r="J762">
        <v>0.10064522684550119</v>
      </c>
      <c r="K762">
        <v>0.43397856017883452</v>
      </c>
      <c r="L762">
        <v>0.76731189351216778</v>
      </c>
      <c r="M762">
        <v>0.21175633795661231</v>
      </c>
      <c r="N762">
        <v>0.54508967128994557</v>
      </c>
      <c r="O762">
        <v>0.87842300462327882</v>
      </c>
      <c r="R762">
        <v>2.5</v>
      </c>
      <c r="S762" s="126">
        <f t="shared" si="121"/>
        <v>3.2431679628024739</v>
      </c>
      <c r="T762" s="126">
        <f t="shared" si="122"/>
        <v>2.325230829622392</v>
      </c>
      <c r="U762" s="126">
        <f t="shared" si="123"/>
        <v>2.5805381039354502</v>
      </c>
      <c r="V762" s="126">
        <f t="shared" si="124"/>
        <v>3.8357615093260611</v>
      </c>
      <c r="W762" s="126">
        <f t="shared" si="125"/>
        <v>2.0355827397618005</v>
      </c>
      <c r="X762" s="126">
        <f t="shared" si="126"/>
        <v>2.0476850839846978</v>
      </c>
      <c r="Y762" s="126">
        <f t="shared" si="127"/>
        <v>2.7930168160573423</v>
      </c>
      <c r="Z762" s="126">
        <f t="shared" si="128"/>
        <v>1.9053756110907316</v>
      </c>
      <c r="AA762" s="126">
        <f t="shared" si="129"/>
        <v>2.2127899935150959</v>
      </c>
      <c r="AB762" s="126">
        <f t="shared" si="130"/>
        <v>3.2365324476909723</v>
      </c>
    </row>
    <row r="763" spans="1:28">
      <c r="A763">
        <v>762</v>
      </c>
      <c r="B763" s="119">
        <v>0.2350251486053955</v>
      </c>
      <c r="F763">
        <v>0.32286744906772341</v>
      </c>
      <c r="G763">
        <v>0.65620078240105673</v>
      </c>
      <c r="H763">
        <v>0.98953411573438999</v>
      </c>
      <c r="I763">
        <v>5.9950210841843224E-3</v>
      </c>
      <c r="J763">
        <v>0.33932835441751763</v>
      </c>
      <c r="K763">
        <v>0.67266168775085089</v>
      </c>
      <c r="L763">
        <v>0.11710613219529542</v>
      </c>
      <c r="M763">
        <v>0.45043946552862874</v>
      </c>
      <c r="N763">
        <v>0.78377279886196194</v>
      </c>
      <c r="O763">
        <v>0.22821724330640655</v>
      </c>
      <c r="R763">
        <v>2.5</v>
      </c>
      <c r="S763" s="126">
        <f t="shared" si="121"/>
        <v>2.0390707043601366</v>
      </c>
      <c r="T763" s="126">
        <f t="shared" si="122"/>
        <v>2.5182299026214712</v>
      </c>
      <c r="U763" s="126">
        <f t="shared" si="123"/>
        <v>4.3320286120343336</v>
      </c>
      <c r="V763" s="126">
        <f t="shared" si="124"/>
        <v>1.26674676535055</v>
      </c>
      <c r="W763" s="126">
        <f t="shared" si="125"/>
        <v>1.4566823092555921</v>
      </c>
      <c r="X763" s="126">
        <f t="shared" si="126"/>
        <v>2.2627682638654352</v>
      </c>
      <c r="Y763" s="126">
        <f t="shared" si="127"/>
        <v>1.3178307666305378</v>
      </c>
      <c r="Z763" s="126">
        <f t="shared" si="128"/>
        <v>1.721339423197054</v>
      </c>
      <c r="AA763" s="126">
        <f t="shared" si="129"/>
        <v>2.6743394613101423</v>
      </c>
      <c r="AB763" s="126">
        <f t="shared" si="130"/>
        <v>1.8915965043015894</v>
      </c>
    </row>
    <row r="764" spans="1:28">
      <c r="A764">
        <v>763</v>
      </c>
      <c r="B764" s="119">
        <v>0.56835848193872895</v>
      </c>
      <c r="F764">
        <v>0.56155057663973984</v>
      </c>
      <c r="G764">
        <v>0.8948839099730731</v>
      </c>
      <c r="H764">
        <v>4.3032058121221357E-2</v>
      </c>
      <c r="I764">
        <v>0.37636539145455467</v>
      </c>
      <c r="J764">
        <v>0.70969872478788798</v>
      </c>
      <c r="K764">
        <v>0.15414316923233248</v>
      </c>
      <c r="L764">
        <v>0.48747650256566577</v>
      </c>
      <c r="M764">
        <v>0.82080983589899892</v>
      </c>
      <c r="N764">
        <v>0.26525428034344356</v>
      </c>
      <c r="O764">
        <v>0.59858761367677682</v>
      </c>
      <c r="R764">
        <v>2.5</v>
      </c>
      <c r="S764" s="126">
        <f t="shared" si="121"/>
        <v>2.5459903273199775</v>
      </c>
      <c r="T764" s="126">
        <f t="shared" si="122"/>
        <v>3.4747565826983049</v>
      </c>
      <c r="U764" s="126">
        <f t="shared" si="123"/>
        <v>1.4923417983802376</v>
      </c>
      <c r="V764" s="126">
        <f t="shared" si="124"/>
        <v>1.6519328921265486</v>
      </c>
      <c r="W764" s="126">
        <f t="shared" si="125"/>
        <v>2.4476948661292939</v>
      </c>
      <c r="X764" s="126">
        <f t="shared" si="126"/>
        <v>1.5516125124934819</v>
      </c>
      <c r="Y764" s="126">
        <f t="shared" si="127"/>
        <v>1.9156717171325524</v>
      </c>
      <c r="Z764" s="126">
        <f t="shared" si="128"/>
        <v>2.8820863270829102</v>
      </c>
      <c r="AA764" s="126">
        <f t="shared" si="129"/>
        <v>2.0929248244497933</v>
      </c>
      <c r="AB764" s="126">
        <f t="shared" si="130"/>
        <v>2.4195782424418799</v>
      </c>
    </row>
    <row r="765" spans="1:28">
      <c r="A765">
        <v>764</v>
      </c>
      <c r="B765" s="119">
        <v>0.90169181527206221</v>
      </c>
      <c r="F765">
        <v>0.93192094701011008</v>
      </c>
      <c r="G765">
        <v>8.0069095158258385E-2</v>
      </c>
      <c r="H765">
        <v>0.4134024284915917</v>
      </c>
      <c r="I765">
        <v>0.74673576182492496</v>
      </c>
      <c r="J765">
        <v>0.19118020626936952</v>
      </c>
      <c r="K765">
        <v>0.52451353960270275</v>
      </c>
      <c r="L765">
        <v>0.85784687293603601</v>
      </c>
      <c r="M765">
        <v>0.3022913173804806</v>
      </c>
      <c r="N765">
        <v>0.63562465071381391</v>
      </c>
      <c r="O765">
        <v>0.96895798404714717</v>
      </c>
      <c r="R765">
        <v>2.5</v>
      </c>
      <c r="S765" s="126">
        <f t="shared" si="121"/>
        <v>3.6473869202633091</v>
      </c>
      <c r="T765" s="126">
        <f t="shared" si="122"/>
        <v>1.8363842979170582</v>
      </c>
      <c r="U765" s="126">
        <f t="shared" si="123"/>
        <v>1.9042269000596943</v>
      </c>
      <c r="V765" s="126">
        <f t="shared" si="124"/>
        <v>2.6666676520390542</v>
      </c>
      <c r="W765" s="126">
        <f t="shared" si="125"/>
        <v>1.7814860910708872</v>
      </c>
      <c r="X765" s="126">
        <f t="shared" si="126"/>
        <v>2.107815218049065</v>
      </c>
      <c r="Y765" s="126">
        <f t="shared" si="127"/>
        <v>3.104225223651297</v>
      </c>
      <c r="Z765" s="126">
        <f t="shared" si="128"/>
        <v>2.2948116498306614</v>
      </c>
      <c r="AA765" s="126">
        <f t="shared" si="129"/>
        <v>2.6011304016676386</v>
      </c>
      <c r="AB765" s="126">
        <f t="shared" si="130"/>
        <v>4.0078809202335997</v>
      </c>
    </row>
    <row r="766" spans="1:28">
      <c r="A766">
        <v>765</v>
      </c>
      <c r="B766" s="119">
        <v>4.9839963420210333E-2</v>
      </c>
      <c r="F766">
        <v>1.8340700096529997E-2</v>
      </c>
      <c r="G766">
        <v>0.35167403342986331</v>
      </c>
      <c r="H766">
        <v>0.68500736676319651</v>
      </c>
      <c r="I766">
        <v>0.12945181120764113</v>
      </c>
      <c r="J766">
        <v>0.46278514454097441</v>
      </c>
      <c r="K766">
        <v>0.79611847787430767</v>
      </c>
      <c r="L766">
        <v>0.24056292231875223</v>
      </c>
      <c r="M766">
        <v>0.57389625565208557</v>
      </c>
      <c r="N766">
        <v>0.90722958898541883</v>
      </c>
      <c r="O766">
        <v>5.5377737133567036E-2</v>
      </c>
      <c r="R766">
        <v>2.5</v>
      </c>
      <c r="S766" s="126">
        <f t="shared" si="121"/>
        <v>0.6949789775732611</v>
      </c>
      <c r="T766" s="126">
        <f t="shared" si="122"/>
        <v>1.1969360412841454</v>
      </c>
      <c r="U766" s="126">
        <f t="shared" si="123"/>
        <v>2.1606529043252753</v>
      </c>
      <c r="V766" s="126">
        <f t="shared" si="124"/>
        <v>1.3164837078229166</v>
      </c>
      <c r="W766" s="126">
        <f t="shared" si="125"/>
        <v>1.7463397371349154</v>
      </c>
      <c r="X766" s="126">
        <f t="shared" si="126"/>
        <v>2.7222374192154231</v>
      </c>
      <c r="Y766" s="126">
        <f t="shared" si="127"/>
        <v>1.9488581892547427</v>
      </c>
      <c r="Z766" s="126">
        <f t="shared" si="128"/>
        <v>2.2948859293191326</v>
      </c>
      <c r="AA766" s="126">
        <f t="shared" si="129"/>
        <v>3.407078495537327</v>
      </c>
      <c r="AB766" s="126">
        <f t="shared" si="130"/>
        <v>1.5587285475694532</v>
      </c>
    </row>
    <row r="767" spans="1:28">
      <c r="A767">
        <v>766</v>
      </c>
      <c r="B767" s="119">
        <v>0.38317329675354367</v>
      </c>
      <c r="F767">
        <v>0.38871107046690034</v>
      </c>
      <c r="G767">
        <v>0.72204440380023371</v>
      </c>
      <c r="H767">
        <v>0.16648884824467816</v>
      </c>
      <c r="I767">
        <v>0.49982218157801145</v>
      </c>
      <c r="J767">
        <v>0.83315551491134465</v>
      </c>
      <c r="K767">
        <v>0.27759995935578924</v>
      </c>
      <c r="L767">
        <v>0.61093329268912255</v>
      </c>
      <c r="M767">
        <v>0.94426662602245581</v>
      </c>
      <c r="N767">
        <v>9.2414774170604064E-2</v>
      </c>
      <c r="O767">
        <v>0.42574810750393738</v>
      </c>
      <c r="R767">
        <v>2.5</v>
      </c>
      <c r="S767" s="126">
        <f t="shared" si="121"/>
        <v>2.1850729674408607</v>
      </c>
      <c r="T767" s="126">
        <f t="shared" si="122"/>
        <v>2.7456909377909628</v>
      </c>
      <c r="U767" s="126">
        <f t="shared" si="123"/>
        <v>1.7431951868550679</v>
      </c>
      <c r="V767" s="126">
        <f t="shared" si="124"/>
        <v>2.0374897071815679</v>
      </c>
      <c r="W767" s="126">
        <f t="shared" si="125"/>
        <v>2.983112267954799</v>
      </c>
      <c r="X767" s="126">
        <f t="shared" si="126"/>
        <v>2.1744190693761283</v>
      </c>
      <c r="Y767" s="126">
        <f t="shared" si="127"/>
        <v>2.486979797982396</v>
      </c>
      <c r="Z767" s="126">
        <f t="shared" si="128"/>
        <v>3.7244640092199255</v>
      </c>
      <c r="AA767" s="126">
        <f t="shared" si="129"/>
        <v>1.9399329785948349</v>
      </c>
      <c r="AB767" s="126">
        <f t="shared" si="130"/>
        <v>1.9823271894460397</v>
      </c>
    </row>
    <row r="768" spans="1:28">
      <c r="A768">
        <v>767</v>
      </c>
      <c r="B768" s="119">
        <v>0.71650663008687709</v>
      </c>
      <c r="F768">
        <v>0.75908144083727069</v>
      </c>
      <c r="G768">
        <v>0.2035258852817152</v>
      </c>
      <c r="H768">
        <v>0.53685921861504837</v>
      </c>
      <c r="I768">
        <v>0.87019255194838163</v>
      </c>
      <c r="J768">
        <v>0.31463699639282627</v>
      </c>
      <c r="K768">
        <v>0.64797032972615953</v>
      </c>
      <c r="L768">
        <v>0.98130366305949279</v>
      </c>
      <c r="M768">
        <v>3.0686379108875676E-2</v>
      </c>
      <c r="N768">
        <v>0.36401971244220899</v>
      </c>
      <c r="O768">
        <v>0.69735304577554225</v>
      </c>
      <c r="R768">
        <v>2.5</v>
      </c>
      <c r="S768" s="126">
        <f t="shared" si="121"/>
        <v>2.9983512345309955</v>
      </c>
      <c r="T768" s="126">
        <f t="shared" si="122"/>
        <v>1.9848628438353022</v>
      </c>
      <c r="U768" s="126">
        <f t="shared" si="123"/>
        <v>2.2356334676480305</v>
      </c>
      <c r="V768" s="126">
        <f t="shared" si="124"/>
        <v>3.2151553562508783</v>
      </c>
      <c r="W768" s="126">
        <f t="shared" si="125"/>
        <v>2.3794931771174759</v>
      </c>
      <c r="X768" s="126">
        <f t="shared" si="126"/>
        <v>2.6709581286490551</v>
      </c>
      <c r="Y768" s="126">
        <f t="shared" si="127"/>
        <v>4.2209315171278234</v>
      </c>
      <c r="Z768" s="126">
        <f t="shared" si="128"/>
        <v>1.7401314865921682</v>
      </c>
      <c r="AA768" s="126">
        <f t="shared" si="129"/>
        <v>1.749505934327428</v>
      </c>
      <c r="AB768" s="126">
        <f t="shared" si="130"/>
        <v>2.4672879737401687</v>
      </c>
    </row>
    <row r="769" spans="1:28">
      <c r="A769">
        <v>768</v>
      </c>
      <c r="B769" s="119">
        <v>0.16095107453132143</v>
      </c>
      <c r="F769">
        <v>0.1417974902199868</v>
      </c>
      <c r="G769">
        <v>0.47513082355332009</v>
      </c>
      <c r="H769">
        <v>0.8084641568866533</v>
      </c>
      <c r="I769">
        <v>0.25290860133109788</v>
      </c>
      <c r="J769">
        <v>0.5862419346644312</v>
      </c>
      <c r="K769">
        <v>0.91957526799776446</v>
      </c>
      <c r="L769">
        <v>6.7723416145912707E-2</v>
      </c>
      <c r="M769">
        <v>0.40105674947924602</v>
      </c>
      <c r="N769">
        <v>0.73439008281257934</v>
      </c>
      <c r="O769">
        <v>0.17883452725702384</v>
      </c>
      <c r="R769">
        <v>2.5</v>
      </c>
      <c r="S769" s="126">
        <f t="shared" si="121"/>
        <v>1.5338121695357092</v>
      </c>
      <c r="T769" s="126">
        <f t="shared" si="122"/>
        <v>1.8811718888462656</v>
      </c>
      <c r="U769" s="126">
        <f t="shared" si="123"/>
        <v>2.8266367179159131</v>
      </c>
      <c r="V769" s="126">
        <f t="shared" si="124"/>
        <v>2.0336021794227959</v>
      </c>
      <c r="W769" s="126">
        <f t="shared" si="125"/>
        <v>2.3635301786880993</v>
      </c>
      <c r="X769" s="126">
        <f t="shared" si="126"/>
        <v>3.5061890320178031</v>
      </c>
      <c r="Y769" s="126">
        <f t="shared" si="127"/>
        <v>1.6925420387241856</v>
      </c>
      <c r="Z769" s="126">
        <f t="shared" si="128"/>
        <v>1.8056936466257842</v>
      </c>
      <c r="AA769" s="126">
        <f t="shared" si="129"/>
        <v>2.5857134679459879</v>
      </c>
      <c r="AB769" s="126">
        <f t="shared" si="130"/>
        <v>1.7026430033177171</v>
      </c>
    </row>
    <row r="770" spans="1:28">
      <c r="A770">
        <v>769</v>
      </c>
      <c r="B770" s="119">
        <v>0.49428440786465477</v>
      </c>
      <c r="F770">
        <v>0.51216786059035713</v>
      </c>
      <c r="G770">
        <v>0.84550119392369028</v>
      </c>
      <c r="H770">
        <v>0.28994563836813492</v>
      </c>
      <c r="I770">
        <v>0.62327897170146818</v>
      </c>
      <c r="J770">
        <v>0.95661230503480144</v>
      </c>
      <c r="K770">
        <v>0.10476045318294974</v>
      </c>
      <c r="L770">
        <v>0.43809378651628306</v>
      </c>
      <c r="M770">
        <v>0.77142711984961632</v>
      </c>
      <c r="N770">
        <v>0.21587156429406087</v>
      </c>
      <c r="O770">
        <v>0.54920489762739411</v>
      </c>
      <c r="R770">
        <v>2.5</v>
      </c>
      <c r="S770" s="126">
        <f t="shared" si="121"/>
        <v>2.4433879919193431</v>
      </c>
      <c r="T770" s="126">
        <f t="shared" si="122"/>
        <v>3.2288660473281179</v>
      </c>
      <c r="U770" s="126">
        <f t="shared" si="123"/>
        <v>2.327992805673988</v>
      </c>
      <c r="V770" s="126">
        <f t="shared" si="124"/>
        <v>2.5908495979184876</v>
      </c>
      <c r="W770" s="126">
        <f t="shared" si="125"/>
        <v>3.8764891528082472</v>
      </c>
      <c r="X770" s="126">
        <f t="shared" si="126"/>
        <v>2.0750226406244074</v>
      </c>
      <c r="Y770" s="126">
        <f t="shared" si="127"/>
        <v>2.0761267379912387</v>
      </c>
      <c r="Z770" s="126">
        <f t="shared" si="128"/>
        <v>2.8184728692706917</v>
      </c>
      <c r="AA770" s="126">
        <f t="shared" si="129"/>
        <v>1.929824009326226</v>
      </c>
      <c r="AB770" s="126">
        <f t="shared" si="130"/>
        <v>2.2336457958437572</v>
      </c>
    </row>
    <row r="771" spans="1:28">
      <c r="A771">
        <v>770</v>
      </c>
      <c r="B771" s="119">
        <v>0.82761774119798803</v>
      </c>
      <c r="F771">
        <v>0.88253823096072737</v>
      </c>
      <c r="G771">
        <v>0.32698267540517195</v>
      </c>
      <c r="H771">
        <v>0.66031600873850527</v>
      </c>
      <c r="I771">
        <v>0.99364934207183853</v>
      </c>
      <c r="J771">
        <v>1.0110247421632882E-2</v>
      </c>
      <c r="K771">
        <v>0.34344358075496623</v>
      </c>
      <c r="L771">
        <v>0.67677691408829943</v>
      </c>
      <c r="M771">
        <v>0.12122135853274399</v>
      </c>
      <c r="N771">
        <v>0.45455469186607733</v>
      </c>
      <c r="O771">
        <v>0.78788802519941048</v>
      </c>
      <c r="R771">
        <v>2.5</v>
      </c>
      <c r="S771" s="126">
        <f t="shared" si="121"/>
        <v>3.3979011796588878</v>
      </c>
      <c r="T771" s="126">
        <f t="shared" si="122"/>
        <v>2.4997874799785649</v>
      </c>
      <c r="U771" s="126">
        <f t="shared" si="123"/>
        <v>2.7590316878325973</v>
      </c>
      <c r="V771" s="126">
        <f t="shared" si="124"/>
        <v>4.6038480695225203</v>
      </c>
      <c r="W771" s="126">
        <f t="shared" si="125"/>
        <v>1.5602452624666405</v>
      </c>
      <c r="X771" s="126">
        <f t="shared" si="126"/>
        <v>1.6134438451904729</v>
      </c>
      <c r="Y771" s="126">
        <f t="shared" si="127"/>
        <v>2.3509840296919293</v>
      </c>
      <c r="Z771" s="126">
        <f t="shared" si="128"/>
        <v>1.3792208237779089</v>
      </c>
      <c r="AA771" s="126">
        <f t="shared" si="129"/>
        <v>1.7607630180127642</v>
      </c>
      <c r="AB771" s="126">
        <f t="shared" si="130"/>
        <v>2.7057966763033443</v>
      </c>
    </row>
    <row r="772" spans="1:28">
      <c r="A772">
        <v>771</v>
      </c>
      <c r="B772" s="119">
        <v>0.27206218564243256</v>
      </c>
      <c r="F772">
        <v>0.23233246964385509</v>
      </c>
      <c r="G772">
        <v>0.56566580297718838</v>
      </c>
      <c r="H772">
        <v>0.89899913631052164</v>
      </c>
      <c r="I772">
        <v>4.7147284458669919E-2</v>
      </c>
      <c r="J772">
        <v>0.38048061779200326</v>
      </c>
      <c r="K772">
        <v>0.71381395112533652</v>
      </c>
      <c r="L772">
        <v>0.15825839556978102</v>
      </c>
      <c r="M772">
        <v>0.49159172890311437</v>
      </c>
      <c r="N772">
        <v>0.82492506223644746</v>
      </c>
      <c r="O772">
        <v>0.26936950668089216</v>
      </c>
      <c r="R772">
        <v>2.5</v>
      </c>
      <c r="S772" s="126">
        <f t="shared" si="121"/>
        <v>1.8151444020293666</v>
      </c>
      <c r="T772" s="126">
        <f t="shared" si="122"/>
        <v>2.2103998138727086</v>
      </c>
      <c r="U772" s="126">
        <f t="shared" si="123"/>
        <v>3.325011379655693</v>
      </c>
      <c r="V772" s="126">
        <f t="shared" si="124"/>
        <v>1.4528506218269588</v>
      </c>
      <c r="W772" s="126">
        <f t="shared" si="125"/>
        <v>1.6410105316968757</v>
      </c>
      <c r="X772" s="126">
        <f t="shared" si="126"/>
        <v>2.4521496105424898</v>
      </c>
      <c r="Y772" s="126">
        <f t="shared" si="127"/>
        <v>1.568023961198884</v>
      </c>
      <c r="Z772" s="126">
        <f t="shared" si="128"/>
        <v>1.9324311726448533</v>
      </c>
      <c r="AA772" s="126">
        <f t="shared" si="129"/>
        <v>2.9035768498807673</v>
      </c>
      <c r="AB772" s="126">
        <f t="shared" si="130"/>
        <v>2.1140433145152056</v>
      </c>
    </row>
    <row r="773" spans="1:28">
      <c r="A773">
        <v>772</v>
      </c>
      <c r="B773" s="119">
        <v>0.60539551897576593</v>
      </c>
      <c r="F773">
        <v>0.60270284001422536</v>
      </c>
      <c r="G773">
        <v>0.93603617334755862</v>
      </c>
      <c r="H773">
        <v>8.4184321495706954E-2</v>
      </c>
      <c r="I773">
        <v>0.4175176548290403</v>
      </c>
      <c r="J773">
        <v>0.7508509881623735</v>
      </c>
      <c r="K773">
        <v>0.19529543260681806</v>
      </c>
      <c r="L773">
        <v>0.52862876594015129</v>
      </c>
      <c r="M773">
        <v>0.86196209927348455</v>
      </c>
      <c r="N773">
        <v>0.30640654371792919</v>
      </c>
      <c r="O773">
        <v>0.63973987705126245</v>
      </c>
      <c r="R773">
        <v>2.5</v>
      </c>
      <c r="S773" s="126">
        <f t="shared" si="121"/>
        <v>2.6329635720083213</v>
      </c>
      <c r="T773" s="126">
        <f t="shared" si="122"/>
        <v>3.7406686361192127</v>
      </c>
      <c r="U773" s="126">
        <f t="shared" si="123"/>
        <v>1.9056546697666552</v>
      </c>
      <c r="V773" s="126">
        <f t="shared" si="124"/>
        <v>1.9477465036001549</v>
      </c>
      <c r="W773" s="126">
        <f t="shared" si="125"/>
        <v>2.6991947474953921</v>
      </c>
      <c r="X773" s="126">
        <f t="shared" si="126"/>
        <v>1.8102137159898875</v>
      </c>
      <c r="Y773" s="126">
        <f t="shared" si="127"/>
        <v>2.1307807756143156</v>
      </c>
      <c r="Z773" s="126">
        <f t="shared" si="128"/>
        <v>3.1310111184916178</v>
      </c>
      <c r="AA773" s="126">
        <f t="shared" si="129"/>
        <v>2.3179736454736952</v>
      </c>
      <c r="AB773" s="126">
        <f t="shared" si="130"/>
        <v>2.6218243972201924</v>
      </c>
    </row>
    <row r="774" spans="1:28">
      <c r="A774">
        <v>773</v>
      </c>
      <c r="B774" s="119">
        <v>0.93872885230909919</v>
      </c>
      <c r="F774">
        <v>0.97307321038459571</v>
      </c>
      <c r="G774">
        <v>2.2455926433978556E-2</v>
      </c>
      <c r="H774">
        <v>0.35578925976731191</v>
      </c>
      <c r="I774">
        <v>0.68912259310064505</v>
      </c>
      <c r="J774">
        <v>0.13356703754508967</v>
      </c>
      <c r="K774">
        <v>0.46690037087842301</v>
      </c>
      <c r="L774">
        <v>0.80023370421175621</v>
      </c>
      <c r="M774">
        <v>0.24467814865620077</v>
      </c>
      <c r="N774">
        <v>0.57801148198953411</v>
      </c>
      <c r="O774">
        <v>0.91134481532286737</v>
      </c>
      <c r="R774">
        <v>2.5</v>
      </c>
      <c r="S774" s="126">
        <f t="shared" si="121"/>
        <v>4.0084520980513672</v>
      </c>
      <c r="T774" s="126">
        <f t="shared" si="122"/>
        <v>1.5222563026295544</v>
      </c>
      <c r="U774" s="126">
        <f t="shared" si="123"/>
        <v>1.6218544456137645</v>
      </c>
      <c r="V774" s="126">
        <f t="shared" si="124"/>
        <v>2.3837988129328078</v>
      </c>
      <c r="W774" s="126">
        <f t="shared" si="125"/>
        <v>1.4445551696605397</v>
      </c>
      <c r="X774" s="126">
        <f t="shared" si="126"/>
        <v>1.8192497754962063</v>
      </c>
      <c r="Y774" s="126">
        <f t="shared" si="127"/>
        <v>2.770940332145174</v>
      </c>
      <c r="Z774" s="126">
        <f t="shared" si="128"/>
        <v>1.9841905913828821</v>
      </c>
      <c r="AA774" s="126">
        <f t="shared" si="129"/>
        <v>2.3213096647739726</v>
      </c>
      <c r="AB774" s="126">
        <f t="shared" si="130"/>
        <v>3.4411411783433046</v>
      </c>
    </row>
    <row r="775" spans="1:28">
      <c r="A775">
        <v>774</v>
      </c>
      <c r="B775" s="119">
        <v>8.6877000457247361E-2</v>
      </c>
      <c r="F775">
        <v>5.9492963471015597E-2</v>
      </c>
      <c r="G775">
        <v>0.39282629680434894</v>
      </c>
      <c r="H775">
        <v>0.72615963013768225</v>
      </c>
      <c r="I775">
        <v>0.1706040745821267</v>
      </c>
      <c r="J775">
        <v>0.50393740791545993</v>
      </c>
      <c r="K775">
        <v>0.83727074124879319</v>
      </c>
      <c r="L775">
        <v>0.28171518569323784</v>
      </c>
      <c r="M775">
        <v>0.61504851902657109</v>
      </c>
      <c r="N775">
        <v>0.94838185235990435</v>
      </c>
      <c r="O775">
        <v>9.6530000508052632E-2</v>
      </c>
      <c r="R775">
        <v>2.5</v>
      </c>
      <c r="S775" s="126">
        <f t="shared" si="121"/>
        <v>1.1323278111168702</v>
      </c>
      <c r="T775" s="126">
        <f t="shared" si="122"/>
        <v>1.5065225943803422</v>
      </c>
      <c r="U775" s="126">
        <f t="shared" si="123"/>
        <v>2.414807712642161</v>
      </c>
      <c r="V775" s="126">
        <f t="shared" si="124"/>
        <v>1.5903809727559717</v>
      </c>
      <c r="W775" s="126">
        <f t="shared" si="125"/>
        <v>1.9691935100055291</v>
      </c>
      <c r="X775" s="126">
        <f t="shared" si="126"/>
        <v>2.9624721050228766</v>
      </c>
      <c r="Y775" s="126">
        <f t="shared" si="127"/>
        <v>2.1741346108496753</v>
      </c>
      <c r="Z775" s="126">
        <f t="shared" si="128"/>
        <v>2.4957030036635861</v>
      </c>
      <c r="AA775" s="126">
        <f t="shared" si="129"/>
        <v>3.7599659874293563</v>
      </c>
      <c r="AB775" s="126">
        <f t="shared" si="130"/>
        <v>1.9779431627420179</v>
      </c>
    </row>
    <row r="776" spans="1:28">
      <c r="A776">
        <v>775</v>
      </c>
      <c r="B776" s="119">
        <v>0.4202103337905807</v>
      </c>
      <c r="F776">
        <v>0.42986333384138598</v>
      </c>
      <c r="G776">
        <v>0.76319666717471923</v>
      </c>
      <c r="H776">
        <v>0.20764111161916374</v>
      </c>
      <c r="I776">
        <v>0.54097444495249691</v>
      </c>
      <c r="J776">
        <v>0.87430777828583017</v>
      </c>
      <c r="K776">
        <v>0.31875222273027487</v>
      </c>
      <c r="L776">
        <v>0.65208555606360807</v>
      </c>
      <c r="M776">
        <v>0.98541888939694133</v>
      </c>
      <c r="N776">
        <v>3.4801605446324241E-2</v>
      </c>
      <c r="O776">
        <v>0.36813493877965758</v>
      </c>
      <c r="R776">
        <v>2.5</v>
      </c>
      <c r="S776" s="126">
        <f t="shared" si="121"/>
        <v>2.2724670381435947</v>
      </c>
      <c r="T776" s="126">
        <f t="shared" si="122"/>
        <v>2.894940134916606</v>
      </c>
      <c r="U776" s="126">
        <f t="shared" si="123"/>
        <v>1.9448147770197111</v>
      </c>
      <c r="V776" s="126">
        <f t="shared" si="124"/>
        <v>2.2240541504817006</v>
      </c>
      <c r="W776" s="126">
        <f t="shared" si="125"/>
        <v>3.2255770232536087</v>
      </c>
      <c r="X776" s="126">
        <f t="shared" si="126"/>
        <v>2.3942642309511637</v>
      </c>
      <c r="Y776" s="126">
        <f t="shared" si="127"/>
        <v>2.6875461238336591</v>
      </c>
      <c r="Z776" s="126">
        <f t="shared" si="128"/>
        <v>4.3116133509519905</v>
      </c>
      <c r="AA776" s="126">
        <f t="shared" si="129"/>
        <v>1.8321577303522285</v>
      </c>
      <c r="AB776" s="126">
        <f t="shared" si="130"/>
        <v>1.8047796871086503</v>
      </c>
    </row>
    <row r="777" spans="1:28">
      <c r="A777">
        <v>776</v>
      </c>
      <c r="B777" s="119">
        <v>0.75354366712391407</v>
      </c>
      <c r="F777">
        <v>0.70146827211299079</v>
      </c>
      <c r="G777">
        <v>0.14591271655743535</v>
      </c>
      <c r="H777">
        <v>0.47924604989076869</v>
      </c>
      <c r="I777">
        <v>0.81257938322410184</v>
      </c>
      <c r="J777">
        <v>0.25702382766854648</v>
      </c>
      <c r="K777">
        <v>0.59035716100187974</v>
      </c>
      <c r="L777">
        <v>0.923690494335213</v>
      </c>
      <c r="M777">
        <v>7.1838642483361276E-2</v>
      </c>
      <c r="N777">
        <v>0.40517197581669462</v>
      </c>
      <c r="O777">
        <v>0.73850530915002788</v>
      </c>
      <c r="R777">
        <v>2.5</v>
      </c>
      <c r="S777" s="126">
        <f t="shared" si="121"/>
        <v>2.8542399057981704</v>
      </c>
      <c r="T777" s="126">
        <f t="shared" si="122"/>
        <v>1.7268256507506221</v>
      </c>
      <c r="U777" s="126">
        <f t="shared" si="123"/>
        <v>1.9867025327786181</v>
      </c>
      <c r="V777" s="126">
        <f t="shared" si="124"/>
        <v>2.8922059054524709</v>
      </c>
      <c r="W777" s="126">
        <f t="shared" si="125"/>
        <v>2.0771284569762418</v>
      </c>
      <c r="X777" s="126">
        <f t="shared" si="126"/>
        <v>2.3941291631637442</v>
      </c>
      <c r="Y777" s="126">
        <f t="shared" si="127"/>
        <v>3.54476247854946</v>
      </c>
      <c r="Z777" s="126">
        <f t="shared" si="128"/>
        <v>1.7372750228365583</v>
      </c>
      <c r="AA777" s="126">
        <f t="shared" si="129"/>
        <v>1.8369444371068762</v>
      </c>
      <c r="AB777" s="126">
        <f t="shared" si="130"/>
        <v>2.6118118947899784</v>
      </c>
    </row>
    <row r="778" spans="1:28">
      <c r="A778">
        <v>777</v>
      </c>
      <c r="B778" s="119">
        <v>0.19798811156835847</v>
      </c>
      <c r="F778">
        <v>0.18294975359447238</v>
      </c>
      <c r="G778">
        <v>0.51628308692780567</v>
      </c>
      <c r="H778">
        <v>0.84961642026113882</v>
      </c>
      <c r="I778">
        <v>0.29406086470558351</v>
      </c>
      <c r="J778">
        <v>0.62739419803891672</v>
      </c>
      <c r="K778">
        <v>0.96072753137224998</v>
      </c>
      <c r="L778">
        <v>0.10887567952039831</v>
      </c>
      <c r="M778">
        <v>0.44220901285373165</v>
      </c>
      <c r="N778">
        <v>0.77554234618706486</v>
      </c>
      <c r="O778">
        <v>0.21998679063150942</v>
      </c>
      <c r="R778">
        <v>2.5</v>
      </c>
      <c r="S778" s="126">
        <f t="shared" si="121"/>
        <v>1.6724590661709973</v>
      </c>
      <c r="T778" s="126">
        <f t="shared" si="122"/>
        <v>2.0359794641193889</v>
      </c>
      <c r="U778" s="126">
        <f t="shared" si="123"/>
        <v>3.0385052185269084</v>
      </c>
      <c r="V778" s="126">
        <f t="shared" si="124"/>
        <v>2.2422015654386005</v>
      </c>
      <c r="W778" s="126">
        <f t="shared" si="125"/>
        <v>2.556684673140631</v>
      </c>
      <c r="X778" s="126">
        <f t="shared" si="126"/>
        <v>3.8976985500616026</v>
      </c>
      <c r="Y778" s="126">
        <f t="shared" si="127"/>
        <v>2.1041204110336666</v>
      </c>
      <c r="Z778" s="126">
        <f t="shared" si="128"/>
        <v>2.0993564263647757</v>
      </c>
      <c r="AA778" s="126">
        <f t="shared" si="129"/>
        <v>2.8414228395332173</v>
      </c>
      <c r="AB778" s="126">
        <f t="shared" si="130"/>
        <v>1.9528847993594538</v>
      </c>
    </row>
    <row r="779" spans="1:28">
      <c r="A779">
        <v>778</v>
      </c>
      <c r="B779" s="119">
        <v>0.53132144490169175</v>
      </c>
      <c r="F779">
        <v>0.55332012396484265</v>
      </c>
      <c r="G779">
        <v>0.88665345729817591</v>
      </c>
      <c r="H779">
        <v>0.33109790174262055</v>
      </c>
      <c r="I779">
        <v>0.66443123507595381</v>
      </c>
      <c r="J779">
        <v>0.99776456840928707</v>
      </c>
      <c r="K779">
        <v>3.2515368592186148E-3</v>
      </c>
      <c r="L779">
        <v>0.33658487019255195</v>
      </c>
      <c r="M779">
        <v>0.66991820352588527</v>
      </c>
      <c r="N779">
        <v>0.11436264797032972</v>
      </c>
      <c r="O779">
        <v>0.44769598130366306</v>
      </c>
      <c r="R779">
        <v>2.5</v>
      </c>
      <c r="S779" s="126">
        <f t="shared" si="121"/>
        <v>2.5287953062928774</v>
      </c>
      <c r="T779" s="126">
        <f t="shared" si="122"/>
        <v>3.4298182422028507</v>
      </c>
      <c r="U779" s="126">
        <f t="shared" si="123"/>
        <v>2.5252125376966568</v>
      </c>
      <c r="V779" s="126">
        <f t="shared" si="124"/>
        <v>2.7810988923451063</v>
      </c>
      <c r="W779" s="126">
        <f t="shared" si="125"/>
        <v>4.9043108635493438</v>
      </c>
      <c r="X779" s="126">
        <f t="shared" si="126"/>
        <v>1.3821268761168031</v>
      </c>
      <c r="Y779" s="126">
        <f t="shared" si="127"/>
        <v>1.5084823382385275</v>
      </c>
      <c r="Z779" s="126">
        <f t="shared" si="128"/>
        <v>2.2825447586070191</v>
      </c>
      <c r="AA779" s="126">
        <f t="shared" si="129"/>
        <v>1.316164791592876</v>
      </c>
      <c r="AB779" s="126">
        <f t="shared" si="130"/>
        <v>1.7147833603133524</v>
      </c>
    </row>
    <row r="780" spans="1:28">
      <c r="A780">
        <v>779</v>
      </c>
      <c r="B780" s="119">
        <v>0.86465477823502501</v>
      </c>
      <c r="F780">
        <v>0.78102931463699632</v>
      </c>
      <c r="G780">
        <v>0.22547375908144082</v>
      </c>
      <c r="H780">
        <v>0.55880709241477422</v>
      </c>
      <c r="I780">
        <v>0.89214042574810748</v>
      </c>
      <c r="J780">
        <v>4.0288573896255647E-2</v>
      </c>
      <c r="K780">
        <v>0.37362190722958899</v>
      </c>
      <c r="L780">
        <v>0.70695524056292236</v>
      </c>
      <c r="M780">
        <v>0.15139968500736675</v>
      </c>
      <c r="N780">
        <v>0.48473301834070009</v>
      </c>
      <c r="O780">
        <v>0.8180663516740333</v>
      </c>
      <c r="R780">
        <v>2.5</v>
      </c>
      <c r="S780" s="126">
        <f t="shared" si="121"/>
        <v>3.0580035289982281</v>
      </c>
      <c r="T780" s="126">
        <f t="shared" si="122"/>
        <v>2.0769158252999826</v>
      </c>
      <c r="U780" s="126">
        <f t="shared" si="123"/>
        <v>2.3276107448934176</v>
      </c>
      <c r="V780" s="126">
        <f t="shared" si="124"/>
        <v>3.3526801321087696</v>
      </c>
      <c r="W780" s="126">
        <f t="shared" si="125"/>
        <v>1.4055725869977613</v>
      </c>
      <c r="X780" s="126">
        <f t="shared" si="126"/>
        <v>1.6023551965227949</v>
      </c>
      <c r="Y780" s="126">
        <f t="shared" si="127"/>
        <v>2.416184268637946</v>
      </c>
      <c r="Z780" s="126">
        <f t="shared" si="128"/>
        <v>1.5261874740687573</v>
      </c>
      <c r="AA780" s="126">
        <f t="shared" si="129"/>
        <v>1.8972175755453842</v>
      </c>
      <c r="AB780" s="126">
        <f t="shared" si="130"/>
        <v>2.8642044489636422</v>
      </c>
    </row>
    <row r="781" spans="1:28">
      <c r="A781">
        <v>780</v>
      </c>
      <c r="B781" s="119">
        <v>0.3090992226794696</v>
      </c>
      <c r="F781">
        <v>0.26251079611847788</v>
      </c>
      <c r="G781">
        <v>0.5958441294518112</v>
      </c>
      <c r="H781">
        <v>0.92917746278514446</v>
      </c>
      <c r="I781">
        <v>7.7325610933292682E-2</v>
      </c>
      <c r="J781">
        <v>0.41065894426662602</v>
      </c>
      <c r="K781">
        <v>0.74399227759995934</v>
      </c>
      <c r="L781">
        <v>0.18843672204440379</v>
      </c>
      <c r="M781">
        <v>0.52177005537773713</v>
      </c>
      <c r="N781">
        <v>0.85510338871107039</v>
      </c>
      <c r="O781">
        <v>0.29954783315551492</v>
      </c>
      <c r="R781">
        <v>2.5</v>
      </c>
      <c r="S781" s="126">
        <f t="shared" si="121"/>
        <v>1.8939648526767272</v>
      </c>
      <c r="T781" s="126">
        <f t="shared" si="122"/>
        <v>2.3137344237864221</v>
      </c>
      <c r="U781" s="126">
        <f t="shared" si="123"/>
        <v>3.5368126759938292</v>
      </c>
      <c r="V781" s="126">
        <f t="shared" si="124"/>
        <v>1.7653973861331678</v>
      </c>
      <c r="W781" s="126">
        <f t="shared" si="125"/>
        <v>1.8627348755645774</v>
      </c>
      <c r="X781" s="126">
        <f t="shared" si="126"/>
        <v>2.6387615581141706</v>
      </c>
      <c r="Y781" s="126">
        <f t="shared" si="127"/>
        <v>1.7591165543697436</v>
      </c>
      <c r="Z781" s="126">
        <f t="shared" si="128"/>
        <v>2.0908906527175386</v>
      </c>
      <c r="AA781" s="126">
        <f t="shared" si="129"/>
        <v>3.0857220223725133</v>
      </c>
      <c r="AB781" s="126">
        <f t="shared" si="130"/>
        <v>2.2790127844954675</v>
      </c>
    </row>
    <row r="782" spans="1:28">
      <c r="A782">
        <v>781</v>
      </c>
      <c r="B782" s="119">
        <v>0.64243255601280291</v>
      </c>
      <c r="F782">
        <v>0.63288116648884829</v>
      </c>
      <c r="G782">
        <v>0.96621449982218155</v>
      </c>
      <c r="H782">
        <v>1.5597215871564294E-2</v>
      </c>
      <c r="I782">
        <v>0.34893054920489763</v>
      </c>
      <c r="J782">
        <v>0.68226388253823089</v>
      </c>
      <c r="K782">
        <v>0.1267083269826754</v>
      </c>
      <c r="L782">
        <v>0.46004166031600874</v>
      </c>
      <c r="M782">
        <v>0.79337499364934205</v>
      </c>
      <c r="N782">
        <v>0.2378194380937865</v>
      </c>
      <c r="O782">
        <v>0.57115277142711995</v>
      </c>
      <c r="R782">
        <v>2.5</v>
      </c>
      <c r="S782" s="126">
        <f t="shared" si="121"/>
        <v>2.6982420356559755</v>
      </c>
      <c r="T782" s="126">
        <f t="shared" si="122"/>
        <v>4.0254804264848669</v>
      </c>
      <c r="U782" s="126">
        <f t="shared" si="123"/>
        <v>1.4078333302559667</v>
      </c>
      <c r="V782" s="126">
        <f t="shared" si="124"/>
        <v>1.5491093820501824</v>
      </c>
      <c r="W782" s="126">
        <f t="shared" si="125"/>
        <v>2.3312970224679068</v>
      </c>
      <c r="X782" s="126">
        <f t="shared" si="126"/>
        <v>1.3914415754286507</v>
      </c>
      <c r="Y782" s="126">
        <f t="shared" si="127"/>
        <v>1.7783148095028087</v>
      </c>
      <c r="Z782" s="126">
        <f t="shared" si="128"/>
        <v>2.7303496850625422</v>
      </c>
      <c r="AA782" s="126">
        <f t="shared" si="129"/>
        <v>1.9456430059819581</v>
      </c>
      <c r="AB782" s="126">
        <f t="shared" si="130"/>
        <v>2.2875023327293764</v>
      </c>
    </row>
    <row r="783" spans="1:28">
      <c r="A783">
        <v>782</v>
      </c>
      <c r="B783" s="119">
        <v>0.97576588934613617</v>
      </c>
      <c r="F783">
        <v>0.90448610476045321</v>
      </c>
      <c r="G783">
        <v>5.2634252908601326E-2</v>
      </c>
      <c r="H783">
        <v>0.38596758624193467</v>
      </c>
      <c r="I783">
        <v>0.71930091957526809</v>
      </c>
      <c r="J783">
        <v>0.16374536401971243</v>
      </c>
      <c r="K783">
        <v>0.49707869735304577</v>
      </c>
      <c r="L783">
        <v>0.83041203068637903</v>
      </c>
      <c r="M783">
        <v>0.27485647513082356</v>
      </c>
      <c r="N783">
        <v>0.60818980846415693</v>
      </c>
      <c r="O783">
        <v>0.94152314179749019</v>
      </c>
      <c r="R783">
        <v>2.5</v>
      </c>
      <c r="S783" s="126">
        <f t="shared" si="121"/>
        <v>3.4966902930071759</v>
      </c>
      <c r="T783" s="126">
        <f t="shared" si="122"/>
        <v>1.5831270680099507</v>
      </c>
      <c r="U783" s="126">
        <f t="shared" si="123"/>
        <v>1.7183433286208238</v>
      </c>
      <c r="V783" s="126">
        <f t="shared" si="124"/>
        <v>2.5043826085166634</v>
      </c>
      <c r="W783" s="126">
        <f t="shared" si="125"/>
        <v>1.6128019394143145</v>
      </c>
      <c r="X783" s="126">
        <f t="shared" si="126"/>
        <v>1.9662819439508326</v>
      </c>
      <c r="Y783" s="126">
        <f t="shared" si="127"/>
        <v>2.9383202591408941</v>
      </c>
      <c r="Z783" s="126">
        <f t="shared" si="128"/>
        <v>2.145139827062172</v>
      </c>
      <c r="AA783" s="126">
        <f t="shared" si="129"/>
        <v>2.4663682141625514</v>
      </c>
      <c r="AB783" s="126">
        <f t="shared" si="130"/>
        <v>3.6943540398682018</v>
      </c>
    </row>
    <row r="784" spans="1:28">
      <c r="A784">
        <v>783</v>
      </c>
      <c r="B784" s="119">
        <v>2.5148605395518973E-2</v>
      </c>
      <c r="F784">
        <v>8.9671289945638361E-2</v>
      </c>
      <c r="G784">
        <v>0.4230046232789717</v>
      </c>
      <c r="H784">
        <v>0.75633795661230507</v>
      </c>
      <c r="I784">
        <v>0.20078240105674947</v>
      </c>
      <c r="J784">
        <v>0.53411573439008275</v>
      </c>
      <c r="K784">
        <v>0.86744906772341601</v>
      </c>
      <c r="L784">
        <v>0.3118935121678606</v>
      </c>
      <c r="M784">
        <v>0.64522684550119391</v>
      </c>
      <c r="N784">
        <v>0.97856017883452717</v>
      </c>
      <c r="O784">
        <v>2.7942894883909969E-2</v>
      </c>
      <c r="R784">
        <v>2.5</v>
      </c>
      <c r="S784" s="126">
        <f t="shared" si="121"/>
        <v>1.3107008626129664</v>
      </c>
      <c r="T784" s="126">
        <f t="shared" si="122"/>
        <v>1.6602989611704526</v>
      </c>
      <c r="U784" s="126">
        <f t="shared" si="123"/>
        <v>2.5690759964610832</v>
      </c>
      <c r="V784" s="126">
        <f t="shared" si="124"/>
        <v>1.7610781822618122</v>
      </c>
      <c r="W784" s="126">
        <f t="shared" si="125"/>
        <v>2.1174646771214034</v>
      </c>
      <c r="X784" s="126">
        <f t="shared" si="126"/>
        <v>3.1451333835423565</v>
      </c>
      <c r="Y784" s="126">
        <f t="shared" si="127"/>
        <v>2.3379151166976451</v>
      </c>
      <c r="Z784" s="126">
        <f t="shared" si="128"/>
        <v>2.6439731055963147</v>
      </c>
      <c r="AA784" s="126">
        <f t="shared" si="129"/>
        <v>4.1607097115729914</v>
      </c>
      <c r="AB784" s="126">
        <f t="shared" si="130"/>
        <v>1.675944241664574</v>
      </c>
    </row>
    <row r="785" spans="1:28">
      <c r="A785">
        <v>784</v>
      </c>
      <c r="B785" s="119">
        <v>0.35848193872885231</v>
      </c>
      <c r="F785">
        <v>0.36127622821724331</v>
      </c>
      <c r="G785">
        <v>0.69460956155057663</v>
      </c>
      <c r="H785">
        <v>0.13905400599502107</v>
      </c>
      <c r="I785">
        <v>0.47238733932835442</v>
      </c>
      <c r="J785">
        <v>0.80572067266168768</v>
      </c>
      <c r="K785">
        <v>0.25016511710613215</v>
      </c>
      <c r="L785">
        <v>0.58349845043946558</v>
      </c>
      <c r="M785">
        <v>0.91683178377279884</v>
      </c>
      <c r="N785">
        <v>6.4979931920947004E-2</v>
      </c>
      <c r="O785">
        <v>0.39831326525428035</v>
      </c>
      <c r="R785">
        <v>2.5</v>
      </c>
      <c r="S785" s="126">
        <f t="shared" si="121"/>
        <v>2.1253825554275365</v>
      </c>
      <c r="T785" s="126">
        <f t="shared" si="122"/>
        <v>2.6497341968562118</v>
      </c>
      <c r="U785" s="126">
        <f t="shared" si="123"/>
        <v>1.5989228123760573</v>
      </c>
      <c r="V785" s="126">
        <f t="shared" si="124"/>
        <v>1.9082121223142969</v>
      </c>
      <c r="W785" s="126">
        <f t="shared" si="125"/>
        <v>2.8319656188806688</v>
      </c>
      <c r="X785" s="126">
        <f t="shared" si="126"/>
        <v>2.0291827061409977</v>
      </c>
      <c r="Y785" s="126">
        <f t="shared" si="127"/>
        <v>2.3555050397318618</v>
      </c>
      <c r="Z785" s="126">
        <f t="shared" si="128"/>
        <v>3.4871867967144325</v>
      </c>
      <c r="AA785" s="126">
        <f t="shared" si="129"/>
        <v>1.665425727924343</v>
      </c>
      <c r="AB785" s="126">
        <f t="shared" si="130"/>
        <v>1.7862067174126917</v>
      </c>
    </row>
    <row r="786" spans="1:28">
      <c r="A786">
        <v>785</v>
      </c>
      <c r="B786" s="119">
        <v>0.69181527206218563</v>
      </c>
      <c r="F786">
        <v>0.73164659858761372</v>
      </c>
      <c r="G786">
        <v>0.17609104303205811</v>
      </c>
      <c r="H786">
        <v>0.50942437636539151</v>
      </c>
      <c r="I786">
        <v>0.84275770969872466</v>
      </c>
      <c r="J786">
        <v>0.28720215414316924</v>
      </c>
      <c r="K786">
        <v>0.62053548747650256</v>
      </c>
      <c r="L786">
        <v>0.95386882080983582</v>
      </c>
      <c r="M786">
        <v>0.10201696895798404</v>
      </c>
      <c r="N786">
        <v>0.43535030229131738</v>
      </c>
      <c r="O786">
        <v>0.7686836356246507</v>
      </c>
      <c r="R786">
        <v>2.5</v>
      </c>
      <c r="S786" s="126">
        <f t="shared" si="121"/>
        <v>2.9277893562094932</v>
      </c>
      <c r="T786" s="126">
        <f t="shared" si="122"/>
        <v>1.8658692424136656</v>
      </c>
      <c r="U786" s="126">
        <f t="shared" si="123"/>
        <v>2.1189997210098745</v>
      </c>
      <c r="V786" s="126">
        <f t="shared" si="124"/>
        <v>3.0563671810478494</v>
      </c>
      <c r="W786" s="126">
        <f t="shared" si="125"/>
        <v>2.2346689406261944</v>
      </c>
      <c r="X786" s="126">
        <f t="shared" si="126"/>
        <v>2.5379928365825029</v>
      </c>
      <c r="Y786" s="126">
        <f t="shared" si="127"/>
        <v>3.8259415911549395</v>
      </c>
      <c r="Z786" s="126">
        <f t="shared" si="128"/>
        <v>2.0370322950790185</v>
      </c>
      <c r="AA786" s="126">
        <f t="shared" si="129"/>
        <v>2.051288301413551</v>
      </c>
      <c r="AB786" s="126">
        <f t="shared" si="130"/>
        <v>2.7985358809679814</v>
      </c>
    </row>
    <row r="787" spans="1:28">
      <c r="A787">
        <v>786</v>
      </c>
      <c r="B787" s="119">
        <v>0.13625971650663007</v>
      </c>
      <c r="F787">
        <v>0.21312808006909514</v>
      </c>
      <c r="G787">
        <v>0.54646141340242849</v>
      </c>
      <c r="H787">
        <v>0.87979474673576175</v>
      </c>
      <c r="I787">
        <v>0.32423919118020628</v>
      </c>
      <c r="J787">
        <v>0.65757252451353965</v>
      </c>
      <c r="K787">
        <v>0.99090585784687291</v>
      </c>
      <c r="L787">
        <v>7.3667631966671757E-3</v>
      </c>
      <c r="M787">
        <v>0.3407000965300005</v>
      </c>
      <c r="N787">
        <v>0.67403342986333381</v>
      </c>
      <c r="O787">
        <v>0.11847787430777827</v>
      </c>
      <c r="R787">
        <v>2.5</v>
      </c>
      <c r="S787" s="126">
        <f t="shared" si="121"/>
        <v>1.7620046345761504</v>
      </c>
      <c r="T787" s="126">
        <f t="shared" si="122"/>
        <v>2.1435865875603053</v>
      </c>
      <c r="U787" s="126">
        <f t="shared" si="123"/>
        <v>3.2073773814379072</v>
      </c>
      <c r="V787" s="126">
        <f t="shared" si="124"/>
        <v>2.3977479081331916</v>
      </c>
      <c r="W787" s="126">
        <f t="shared" si="125"/>
        <v>2.7015782244146664</v>
      </c>
      <c r="X787" s="126">
        <f t="shared" si="126"/>
        <v>4.4675224647869776</v>
      </c>
      <c r="Y787" s="126">
        <f t="shared" si="127"/>
        <v>1.3955294949057331</v>
      </c>
      <c r="Z787" s="126">
        <f t="shared" si="128"/>
        <v>1.5244962923241852</v>
      </c>
      <c r="AA787" s="126">
        <f t="shared" si="129"/>
        <v>2.2999886315977589</v>
      </c>
      <c r="AB787" s="126">
        <f t="shared" si="130"/>
        <v>1.3422683588678215</v>
      </c>
    </row>
    <row r="788" spans="1:28">
      <c r="A788">
        <v>787</v>
      </c>
      <c r="B788" s="119">
        <v>0.46959304983996342</v>
      </c>
      <c r="F788">
        <v>0.4518112076411116</v>
      </c>
      <c r="G788">
        <v>0.78514454097444486</v>
      </c>
      <c r="H788">
        <v>0.22958898541888939</v>
      </c>
      <c r="I788">
        <v>0.56292231875222276</v>
      </c>
      <c r="J788">
        <v>0.89625565208555602</v>
      </c>
      <c r="K788">
        <v>4.4403800233704209E-2</v>
      </c>
      <c r="L788">
        <v>0.37773713356703753</v>
      </c>
      <c r="M788">
        <v>0.7110704669003709</v>
      </c>
      <c r="N788">
        <v>0.15551491134481532</v>
      </c>
      <c r="O788">
        <v>0.48884824467814864</v>
      </c>
      <c r="R788">
        <v>2.5</v>
      </c>
      <c r="S788" s="126">
        <f t="shared" si="121"/>
        <v>2.3183551837399392</v>
      </c>
      <c r="T788" s="126">
        <f t="shared" si="122"/>
        <v>2.9782661231046728</v>
      </c>
      <c r="U788" s="126">
        <f t="shared" si="123"/>
        <v>2.0480861134107853</v>
      </c>
      <c r="V788" s="126">
        <f t="shared" si="124"/>
        <v>2.3217294486877678</v>
      </c>
      <c r="W788" s="126">
        <f t="shared" si="125"/>
        <v>3.3682898663739325</v>
      </c>
      <c r="X788" s="126">
        <f t="shared" si="126"/>
        <v>1.4510500881790009</v>
      </c>
      <c r="Y788" s="126">
        <f t="shared" si="127"/>
        <v>1.634158311081767</v>
      </c>
      <c r="Z788" s="126">
        <f t="shared" si="128"/>
        <v>2.4420687098967782</v>
      </c>
      <c r="AA788" s="126">
        <f t="shared" si="129"/>
        <v>1.5535363842809971</v>
      </c>
      <c r="AB788" s="126">
        <f t="shared" si="130"/>
        <v>1.9194759371919787</v>
      </c>
    </row>
    <row r="789" spans="1:28">
      <c r="A789">
        <v>788</v>
      </c>
      <c r="B789" s="119">
        <v>0.80292638317329668</v>
      </c>
      <c r="F789">
        <v>0.82218157801148184</v>
      </c>
      <c r="G789">
        <v>0.26662602245592643</v>
      </c>
      <c r="H789">
        <v>0.59995935578925974</v>
      </c>
      <c r="I789">
        <v>0.933292689122593</v>
      </c>
      <c r="J789">
        <v>8.1440837270741237E-2</v>
      </c>
      <c r="K789">
        <v>0.41477417060407457</v>
      </c>
      <c r="L789">
        <v>0.74810750393740788</v>
      </c>
      <c r="M789">
        <v>0.19255194838185236</v>
      </c>
      <c r="N789">
        <v>0.52588528171518567</v>
      </c>
      <c r="O789">
        <v>0.85921861504851893</v>
      </c>
      <c r="R789">
        <v>2.5</v>
      </c>
      <c r="S789" s="126">
        <f t="shared" si="121"/>
        <v>3.1801042085698228</v>
      </c>
      <c r="T789" s="126">
        <f t="shared" si="122"/>
        <v>2.2461566517368059</v>
      </c>
      <c r="U789" s="126">
        <f t="shared" si="123"/>
        <v>2.4995196939413717</v>
      </c>
      <c r="V789" s="126">
        <f t="shared" si="124"/>
        <v>3.6558225331362735</v>
      </c>
      <c r="W789" s="126">
        <f t="shared" si="125"/>
        <v>1.8481807685745109</v>
      </c>
      <c r="X789" s="126">
        <f t="shared" si="126"/>
        <v>1.9130594302916564</v>
      </c>
      <c r="Y789" s="126">
        <f t="shared" si="127"/>
        <v>2.6746480275008624</v>
      </c>
      <c r="Z789" s="126">
        <f t="shared" si="128"/>
        <v>1.7896414524379736</v>
      </c>
      <c r="AA789" s="126">
        <f t="shared" si="129"/>
        <v>2.1147558065632746</v>
      </c>
      <c r="AB789" s="126">
        <f t="shared" si="130"/>
        <v>3.1127610024175945</v>
      </c>
    </row>
    <row r="790" spans="1:28">
      <c r="A790">
        <v>789</v>
      </c>
      <c r="B790" s="119">
        <v>0.24737082761774118</v>
      </c>
      <c r="F790">
        <v>0.30366305949296346</v>
      </c>
      <c r="G790">
        <v>0.63699639282629683</v>
      </c>
      <c r="H790">
        <v>0.97032972615963009</v>
      </c>
      <c r="I790">
        <v>1.9712442209012852E-2</v>
      </c>
      <c r="J790">
        <v>0.35304577554234617</v>
      </c>
      <c r="K790">
        <v>0.68637910887567943</v>
      </c>
      <c r="L790">
        <v>0.13082355332012396</v>
      </c>
      <c r="M790">
        <v>0.46415688665345728</v>
      </c>
      <c r="N790">
        <v>0.79749021998679059</v>
      </c>
      <c r="O790">
        <v>0.24193466443123507</v>
      </c>
      <c r="R790">
        <v>2.5</v>
      </c>
      <c r="S790" s="126">
        <f t="shared" si="121"/>
        <v>1.9943676880929528</v>
      </c>
      <c r="T790" s="126">
        <f t="shared" si="122"/>
        <v>2.4531409779508428</v>
      </c>
      <c r="U790" s="126">
        <f t="shared" si="123"/>
        <v>3.9499699237072665</v>
      </c>
      <c r="V790" s="126">
        <f t="shared" si="124"/>
        <v>1.4481215436276837</v>
      </c>
      <c r="W790" s="126">
        <f t="shared" si="125"/>
        <v>1.5785126569749417</v>
      </c>
      <c r="X790" s="126">
        <f t="shared" si="126"/>
        <v>2.3556212657618545</v>
      </c>
      <c r="Y790" s="126">
        <f t="shared" si="127"/>
        <v>1.4198192517081842</v>
      </c>
      <c r="Z790" s="126">
        <f t="shared" si="128"/>
        <v>1.801124161670479</v>
      </c>
      <c r="AA790" s="126">
        <f t="shared" si="129"/>
        <v>2.7537751932854424</v>
      </c>
      <c r="AB790" s="126">
        <f t="shared" si="130"/>
        <v>1.9683382801470457</v>
      </c>
    </row>
    <row r="791" spans="1:28">
      <c r="A791">
        <v>790</v>
      </c>
      <c r="B791" s="119">
        <v>0.58070416095107458</v>
      </c>
      <c r="F791">
        <v>0.5752679977645685</v>
      </c>
      <c r="G791">
        <v>0.90860133109790175</v>
      </c>
      <c r="H791">
        <v>5.6749479246049887E-2</v>
      </c>
      <c r="I791">
        <v>0.39008281257938321</v>
      </c>
      <c r="J791">
        <v>0.72341614591271663</v>
      </c>
      <c r="K791">
        <v>0.167860590357161</v>
      </c>
      <c r="L791">
        <v>0.50119392369049431</v>
      </c>
      <c r="M791">
        <v>0.83452725702382757</v>
      </c>
      <c r="N791">
        <v>0.2789717014682721</v>
      </c>
      <c r="O791">
        <v>0.61230503480160547</v>
      </c>
      <c r="R791">
        <v>2.5</v>
      </c>
      <c r="S791" s="126">
        <f t="shared" si="121"/>
        <v>2.5747764286653871</v>
      </c>
      <c r="T791" s="126">
        <f t="shared" si="122"/>
        <v>3.5546014494207459</v>
      </c>
      <c r="U791" s="126">
        <f t="shared" si="123"/>
        <v>1.6428920828225173</v>
      </c>
      <c r="V791" s="126">
        <f t="shared" si="124"/>
        <v>1.7572406790219199</v>
      </c>
      <c r="W791" s="126">
        <f t="shared" si="125"/>
        <v>2.5340395744901083</v>
      </c>
      <c r="X791" s="126">
        <f t="shared" si="126"/>
        <v>1.641338698142184</v>
      </c>
      <c r="Y791" s="126">
        <f t="shared" si="127"/>
        <v>1.9891326712026371</v>
      </c>
      <c r="Z791" s="126">
        <f t="shared" si="128"/>
        <v>2.963345324730998</v>
      </c>
      <c r="AA791" s="126">
        <f t="shared" si="129"/>
        <v>2.1678553216652685</v>
      </c>
      <c r="AB791" s="126">
        <f t="shared" si="130"/>
        <v>2.4866332167051008</v>
      </c>
    </row>
    <row r="792" spans="1:28">
      <c r="A792">
        <v>791</v>
      </c>
      <c r="B792" s="119">
        <v>0.91403749428440784</v>
      </c>
      <c r="F792">
        <v>0.94563836813493873</v>
      </c>
      <c r="G792">
        <v>9.3786516283086915E-2</v>
      </c>
      <c r="H792">
        <v>0.42711984961642024</v>
      </c>
      <c r="I792">
        <v>0.76045318294975361</v>
      </c>
      <c r="J792">
        <v>0.20489762739419803</v>
      </c>
      <c r="K792">
        <v>0.53823096072753129</v>
      </c>
      <c r="L792">
        <v>0.87156429406086455</v>
      </c>
      <c r="M792">
        <v>0.31600873850530914</v>
      </c>
      <c r="N792">
        <v>0.64934207183864245</v>
      </c>
      <c r="O792">
        <v>0.98267540517197571</v>
      </c>
      <c r="R792">
        <v>2.5</v>
      </c>
      <c r="S792" s="126">
        <f t="shared" si="121"/>
        <v>3.7411721743274251</v>
      </c>
      <c r="T792" s="126">
        <f t="shared" si="122"/>
        <v>1.9551251072185218</v>
      </c>
      <c r="U792" s="126">
        <f t="shared" si="123"/>
        <v>1.9928479816613578</v>
      </c>
      <c r="V792" s="126">
        <f t="shared" si="124"/>
        <v>2.7470941815015535</v>
      </c>
      <c r="W792" s="126">
        <f t="shared" si="125"/>
        <v>1.8625722835052927</v>
      </c>
      <c r="X792" s="126">
        <f t="shared" si="126"/>
        <v>2.1770188896085294</v>
      </c>
      <c r="Y792" s="126">
        <f t="shared" si="127"/>
        <v>3.1910692119763375</v>
      </c>
      <c r="Z792" s="126">
        <f t="shared" si="128"/>
        <v>2.3705710398294335</v>
      </c>
      <c r="AA792" s="126">
        <f t="shared" si="129"/>
        <v>2.669524199251589</v>
      </c>
      <c r="AB792" s="126">
        <f t="shared" si="130"/>
        <v>4.2457663631104134</v>
      </c>
    </row>
    <row r="793" spans="1:28">
      <c r="A793">
        <v>792</v>
      </c>
      <c r="B793" s="119">
        <v>6.2185642432556011E-2</v>
      </c>
      <c r="F793">
        <v>3.2058121221358531E-2</v>
      </c>
      <c r="G793">
        <v>0.36539145455469185</v>
      </c>
      <c r="H793">
        <v>0.69872478788802517</v>
      </c>
      <c r="I793">
        <v>0.14316923233246964</v>
      </c>
      <c r="J793">
        <v>0.47650256566580296</v>
      </c>
      <c r="K793">
        <v>0.80983589899913622</v>
      </c>
      <c r="L793">
        <v>0.25428034344358075</v>
      </c>
      <c r="M793">
        <v>0.58761367677691412</v>
      </c>
      <c r="N793">
        <v>0.92094701011024738</v>
      </c>
      <c r="O793">
        <v>6.9095158258395559E-2</v>
      </c>
      <c r="R793">
        <v>2.5</v>
      </c>
      <c r="S793" s="126">
        <f t="shared" si="121"/>
        <v>0.89121689331648324</v>
      </c>
      <c r="T793" s="126">
        <f t="shared" si="122"/>
        <v>1.325852341302592</v>
      </c>
      <c r="U793" s="126">
        <f t="shared" si="123"/>
        <v>2.2576041969121423</v>
      </c>
      <c r="V793" s="126">
        <f t="shared" si="124"/>
        <v>1.4170070802599852</v>
      </c>
      <c r="W793" s="126">
        <f t="shared" si="125"/>
        <v>1.8253069057909865</v>
      </c>
      <c r="X793" s="126">
        <f t="shared" si="126"/>
        <v>2.802716911258357</v>
      </c>
      <c r="Y793" s="126">
        <f t="shared" si="127"/>
        <v>2.0251137592252944</v>
      </c>
      <c r="Z793" s="126">
        <f t="shared" si="128"/>
        <v>2.3621691769830351</v>
      </c>
      <c r="AA793" s="126">
        <f t="shared" si="129"/>
        <v>3.5131343919631681</v>
      </c>
      <c r="AB793" s="126">
        <f t="shared" si="130"/>
        <v>1.7046100872438839</v>
      </c>
    </row>
    <row r="794" spans="1:28">
      <c r="A794">
        <v>793</v>
      </c>
      <c r="B794" s="119">
        <v>0.39551897576588935</v>
      </c>
      <c r="F794">
        <v>0.40242849159172889</v>
      </c>
      <c r="G794">
        <v>0.73576182492506226</v>
      </c>
      <c r="H794">
        <v>0.18020626936950668</v>
      </c>
      <c r="I794">
        <v>0.51353960270284005</v>
      </c>
      <c r="J794">
        <v>0.8468729360361732</v>
      </c>
      <c r="K794">
        <v>0.29131738048061778</v>
      </c>
      <c r="L794">
        <v>0.6246507138139511</v>
      </c>
      <c r="M794">
        <v>0.95798404714728436</v>
      </c>
      <c r="N794">
        <v>0.10613219529543259</v>
      </c>
      <c r="O794">
        <v>0.43946552862876592</v>
      </c>
      <c r="R794">
        <v>2.5</v>
      </c>
      <c r="S794" s="126">
        <f t="shared" si="121"/>
        <v>2.2144472294254509</v>
      </c>
      <c r="T794" s="126">
        <f t="shared" si="122"/>
        <v>2.7946077630946489</v>
      </c>
      <c r="U794" s="126">
        <f t="shared" si="123"/>
        <v>1.8119523091460081</v>
      </c>
      <c r="V794" s="126">
        <f t="shared" si="124"/>
        <v>2.1004127283808356</v>
      </c>
      <c r="W794" s="126">
        <f t="shared" si="125"/>
        <v>3.0612589911044643</v>
      </c>
      <c r="X794" s="126">
        <f t="shared" si="126"/>
        <v>2.2470554235318021</v>
      </c>
      <c r="Y794" s="126">
        <f t="shared" si="127"/>
        <v>2.5531516107992061</v>
      </c>
      <c r="Z794" s="126">
        <f t="shared" si="128"/>
        <v>3.869994925121786</v>
      </c>
      <c r="AA794" s="126">
        <f t="shared" si="129"/>
        <v>2.0779618053414168</v>
      </c>
      <c r="AB794" s="126">
        <f t="shared" si="130"/>
        <v>2.0804738533564886</v>
      </c>
    </row>
    <row r="795" spans="1:28">
      <c r="A795">
        <v>794</v>
      </c>
      <c r="B795" s="119">
        <v>0.72885230909922272</v>
      </c>
      <c r="F795">
        <v>0.77279886196209924</v>
      </c>
      <c r="G795">
        <v>0.21724330640654371</v>
      </c>
      <c r="H795">
        <v>0.55057663973987703</v>
      </c>
      <c r="I795">
        <v>0.88390997307321029</v>
      </c>
      <c r="J795">
        <v>0.32835441751765482</v>
      </c>
      <c r="K795">
        <v>0.66168775085098819</v>
      </c>
      <c r="L795">
        <v>0.99502108418432145</v>
      </c>
      <c r="M795">
        <v>1.1481989534115736E-2</v>
      </c>
      <c r="N795">
        <v>0.34481532286744909</v>
      </c>
      <c r="O795">
        <v>0.67814865620078235</v>
      </c>
      <c r="R795">
        <v>2.5</v>
      </c>
      <c r="S795" s="126">
        <f t="shared" si="121"/>
        <v>3.0352569913736889</v>
      </c>
      <c r="T795" s="126">
        <f t="shared" si="122"/>
        <v>2.0426357303453786</v>
      </c>
      <c r="U795" s="126">
        <f t="shared" si="123"/>
        <v>2.2932033810313173</v>
      </c>
      <c r="V795" s="126">
        <f t="shared" si="124"/>
        <v>3.299731108679044</v>
      </c>
      <c r="W795" s="126">
        <f t="shared" si="125"/>
        <v>2.4535803096650501</v>
      </c>
      <c r="X795" s="126">
        <f t="shared" si="126"/>
        <v>2.7388992946554436</v>
      </c>
      <c r="Y795" s="126">
        <f t="shared" si="127"/>
        <v>4.664047165282871</v>
      </c>
      <c r="Z795" s="126">
        <f t="shared" si="128"/>
        <v>1.6302548057806883</v>
      </c>
      <c r="AA795" s="126">
        <f t="shared" si="129"/>
        <v>1.6517043809685461</v>
      </c>
      <c r="AB795" s="126">
        <f t="shared" si="130"/>
        <v>2.3733672024816252</v>
      </c>
    </row>
    <row r="796" spans="1:28">
      <c r="A796">
        <v>795</v>
      </c>
      <c r="B796" s="119">
        <v>0.17329675354366711</v>
      </c>
      <c r="F796">
        <v>0.12259310064522684</v>
      </c>
      <c r="G796">
        <v>0.4559264339785602</v>
      </c>
      <c r="H796">
        <v>0.7892597673118934</v>
      </c>
      <c r="I796">
        <v>0.23370421175633793</v>
      </c>
      <c r="J796">
        <v>0.5670375450896713</v>
      </c>
      <c r="K796">
        <v>0.90037087842300456</v>
      </c>
      <c r="L796">
        <v>4.8519026571152771E-2</v>
      </c>
      <c r="M796">
        <v>0.38185235990448613</v>
      </c>
      <c r="N796">
        <v>0.71518569323781944</v>
      </c>
      <c r="O796">
        <v>0.15963013768226386</v>
      </c>
      <c r="R796">
        <v>2.5</v>
      </c>
      <c r="S796" s="126">
        <f t="shared" si="121"/>
        <v>1.4597098014307315</v>
      </c>
      <c r="T796" s="126">
        <f t="shared" si="122"/>
        <v>1.8040707929344093</v>
      </c>
      <c r="U796" s="126">
        <f t="shared" si="123"/>
        <v>2.731473390081693</v>
      </c>
      <c r="V796" s="126">
        <f t="shared" si="124"/>
        <v>1.935182015618909</v>
      </c>
      <c r="W796" s="126">
        <f t="shared" si="125"/>
        <v>2.2736066204254777</v>
      </c>
      <c r="X796" s="126">
        <f t="shared" si="126"/>
        <v>3.3632112640781129</v>
      </c>
      <c r="Y796" s="126">
        <f t="shared" si="127"/>
        <v>1.483415920556197</v>
      </c>
      <c r="Z796" s="126">
        <f t="shared" si="128"/>
        <v>1.6593413826942407</v>
      </c>
      <c r="AA796" s="126">
        <f t="shared" si="129"/>
        <v>2.4646924975754425</v>
      </c>
      <c r="AB796" s="126">
        <f t="shared" si="130"/>
        <v>1.5789982855793698</v>
      </c>
    </row>
    <row r="797" spans="1:28">
      <c r="A797">
        <v>796</v>
      </c>
      <c r="B797" s="119">
        <v>0.50663008687700051</v>
      </c>
      <c r="F797">
        <v>0.49296347101559723</v>
      </c>
      <c r="G797">
        <v>0.82629680434893038</v>
      </c>
      <c r="H797">
        <v>0.27074124879337502</v>
      </c>
      <c r="I797">
        <v>0.60407458212670828</v>
      </c>
      <c r="J797">
        <v>0.93740791546004154</v>
      </c>
      <c r="K797">
        <v>8.5556063608189806E-2</v>
      </c>
      <c r="L797">
        <v>0.41888939694152316</v>
      </c>
      <c r="M797">
        <v>0.75222273027485642</v>
      </c>
      <c r="N797">
        <v>0.1966671747193009</v>
      </c>
      <c r="O797">
        <v>0.53000050805263421</v>
      </c>
      <c r="R797">
        <v>2.5</v>
      </c>
      <c r="S797" s="126">
        <f t="shared" si="121"/>
        <v>2.4036788941441554</v>
      </c>
      <c r="T797" s="126">
        <f t="shared" si="122"/>
        <v>3.144824869369518</v>
      </c>
      <c r="U797" s="126">
        <f t="shared" si="123"/>
        <v>2.2387160526932517</v>
      </c>
      <c r="V797" s="126">
        <f t="shared" si="124"/>
        <v>2.5045774200158268</v>
      </c>
      <c r="W797" s="126">
        <f t="shared" si="125"/>
        <v>3.6852534595641533</v>
      </c>
      <c r="X797" s="126">
        <f t="shared" si="126"/>
        <v>1.8850823300065147</v>
      </c>
      <c r="Y797" s="126">
        <f t="shared" si="127"/>
        <v>1.9403039902878443</v>
      </c>
      <c r="Z797" s="126">
        <f t="shared" si="128"/>
        <v>2.6990262435025891</v>
      </c>
      <c r="AA797" s="126">
        <f t="shared" si="129"/>
        <v>1.8142201946683223</v>
      </c>
      <c r="AB797" s="126">
        <f t="shared" si="130"/>
        <v>2.1356381454620603</v>
      </c>
    </row>
    <row r="798" spans="1:28">
      <c r="A798">
        <v>797</v>
      </c>
      <c r="B798" s="119">
        <v>0.83996342021033366</v>
      </c>
      <c r="F798">
        <v>0.86333384138596747</v>
      </c>
      <c r="G798">
        <v>0.30777828583041206</v>
      </c>
      <c r="H798">
        <v>0.64111161916374537</v>
      </c>
      <c r="I798">
        <v>0.97444495249707863</v>
      </c>
      <c r="J798">
        <v>2.3827668546461411E-2</v>
      </c>
      <c r="K798">
        <v>0.35716100187979477</v>
      </c>
      <c r="L798">
        <v>0.69049433521312797</v>
      </c>
      <c r="M798">
        <v>0.13493877965757251</v>
      </c>
      <c r="N798">
        <v>0.46827211299090588</v>
      </c>
      <c r="O798">
        <v>0.80160544632423913</v>
      </c>
      <c r="R798">
        <v>2.5</v>
      </c>
      <c r="S798" s="126">
        <f t="shared" si="121"/>
        <v>3.3217305317847465</v>
      </c>
      <c r="T798" s="126">
        <f t="shared" si="122"/>
        <v>2.4170495067424875</v>
      </c>
      <c r="U798" s="126">
        <f t="shared" si="123"/>
        <v>2.6746453799688163</v>
      </c>
      <c r="V798" s="126">
        <f t="shared" si="124"/>
        <v>4.1148213464107215</v>
      </c>
      <c r="W798" s="126">
        <f t="shared" si="125"/>
        <v>1.596378758644418</v>
      </c>
      <c r="X798" s="126">
        <f t="shared" si="126"/>
        <v>1.6621429944985011</v>
      </c>
      <c r="Y798" s="126">
        <f t="shared" si="127"/>
        <v>2.4072539895130212</v>
      </c>
      <c r="Z798" s="126">
        <f t="shared" si="128"/>
        <v>1.4615746958630762</v>
      </c>
      <c r="AA798" s="126">
        <f t="shared" si="129"/>
        <v>1.83064921948383</v>
      </c>
      <c r="AB798" s="126">
        <f t="shared" si="130"/>
        <v>2.7807222373537868</v>
      </c>
    </row>
    <row r="799" spans="1:28">
      <c r="A799">
        <v>798</v>
      </c>
      <c r="B799" s="119">
        <v>0.28440786465477824</v>
      </c>
      <c r="F799">
        <v>0.24604989076868361</v>
      </c>
      <c r="G799">
        <v>0.57938322410201704</v>
      </c>
      <c r="H799">
        <v>0.9127165574353503</v>
      </c>
      <c r="I799">
        <v>6.0864705583498449E-2</v>
      </c>
      <c r="J799">
        <v>0.39419803891683181</v>
      </c>
      <c r="K799">
        <v>0.72753137225016518</v>
      </c>
      <c r="L799">
        <v>0.17197581669460954</v>
      </c>
      <c r="M799">
        <v>0.50530915002794285</v>
      </c>
      <c r="N799">
        <v>0.83864248336127611</v>
      </c>
      <c r="O799">
        <v>0.2830869278057207</v>
      </c>
      <c r="R799">
        <v>2.5</v>
      </c>
      <c r="S799" s="126">
        <f t="shared" si="121"/>
        <v>1.8516121600401325</v>
      </c>
      <c r="T799" s="126">
        <f t="shared" si="122"/>
        <v>2.2575682410238538</v>
      </c>
      <c r="U799" s="126">
        <f t="shared" si="123"/>
        <v>3.4161914423541289</v>
      </c>
      <c r="V799" s="126">
        <f t="shared" si="124"/>
        <v>1.6022816838175198</v>
      </c>
      <c r="W799" s="126">
        <f t="shared" si="125"/>
        <v>1.7456628649241941</v>
      </c>
      <c r="X799" s="126">
        <f t="shared" si="126"/>
        <v>2.5384017113879458</v>
      </c>
      <c r="Y799" s="126">
        <f t="shared" si="127"/>
        <v>1.6569487893294386</v>
      </c>
      <c r="Z799" s="126">
        <f t="shared" si="128"/>
        <v>2.005486718020645</v>
      </c>
      <c r="AA799" s="126">
        <f t="shared" si="129"/>
        <v>2.9853247904280424</v>
      </c>
      <c r="AB799" s="126">
        <f t="shared" si="130"/>
        <v>2.1889676088686167</v>
      </c>
    </row>
    <row r="800" spans="1:28">
      <c r="A800">
        <v>799</v>
      </c>
      <c r="B800" s="119">
        <v>0.61774119798811156</v>
      </c>
      <c r="F800">
        <v>0.61642026113905402</v>
      </c>
      <c r="G800">
        <v>0.94975359447238727</v>
      </c>
      <c r="H800">
        <v>9.7901742620535484E-2</v>
      </c>
      <c r="I800">
        <v>0.43123507595386884</v>
      </c>
      <c r="J800">
        <v>0.76456840928720216</v>
      </c>
      <c r="K800">
        <v>0.20901285373164658</v>
      </c>
      <c r="L800">
        <v>0.54234618706497983</v>
      </c>
      <c r="M800">
        <v>0.87567952039831309</v>
      </c>
      <c r="N800">
        <v>0.32012396484275774</v>
      </c>
      <c r="O800">
        <v>0.65345729817609099</v>
      </c>
      <c r="R800">
        <v>2.5</v>
      </c>
      <c r="S800" s="126">
        <f t="shared" si="121"/>
        <v>2.6624444948391597</v>
      </c>
      <c r="T800" s="126">
        <f t="shared" si="122"/>
        <v>3.8545806115635237</v>
      </c>
      <c r="U800" s="126">
        <f t="shared" si="123"/>
        <v>2.032078047845201</v>
      </c>
      <c r="V800" s="126">
        <f t="shared" si="124"/>
        <v>2.0401692469752275</v>
      </c>
      <c r="W800" s="126">
        <f t="shared" si="125"/>
        <v>2.7818594184293093</v>
      </c>
      <c r="X800" s="126">
        <f t="shared" si="126"/>
        <v>1.8919247219531579</v>
      </c>
      <c r="Y800" s="126">
        <f t="shared" si="127"/>
        <v>2.2003232042653753</v>
      </c>
      <c r="Z800" s="126">
        <f t="shared" si="128"/>
        <v>3.2191458952259913</v>
      </c>
      <c r="AA800" s="126">
        <f t="shared" si="129"/>
        <v>2.3941980888919328</v>
      </c>
      <c r="AB800" s="126">
        <f t="shared" si="130"/>
        <v>2.6905763799223643</v>
      </c>
    </row>
    <row r="801" spans="1:28">
      <c r="A801">
        <v>800</v>
      </c>
      <c r="B801" s="119">
        <v>0.95107453132144482</v>
      </c>
      <c r="F801">
        <v>0.98679063150942425</v>
      </c>
      <c r="G801">
        <v>3.6173347558807092E-2</v>
      </c>
      <c r="H801">
        <v>0.36950668089214045</v>
      </c>
      <c r="I801">
        <v>0.70284001422547371</v>
      </c>
      <c r="J801">
        <v>0.14728445866991818</v>
      </c>
      <c r="K801">
        <v>0.48061779200325155</v>
      </c>
      <c r="L801">
        <v>0.81395112533658476</v>
      </c>
      <c r="M801">
        <v>0.25839556978102934</v>
      </c>
      <c r="N801">
        <v>0.59172890311436266</v>
      </c>
      <c r="O801">
        <v>0.92506223644769592</v>
      </c>
      <c r="R801">
        <v>2.5</v>
      </c>
      <c r="S801" s="126">
        <f t="shared" si="121"/>
        <v>4.249283812213327</v>
      </c>
      <c r="T801" s="126">
        <f t="shared" si="122"/>
        <v>1.8153094217782737</v>
      </c>
      <c r="U801" s="126">
        <f t="shared" si="123"/>
        <v>1.799311425068318</v>
      </c>
      <c r="V801" s="126">
        <f t="shared" si="124"/>
        <v>2.505338561786342</v>
      </c>
      <c r="W801" s="126">
        <f t="shared" si="125"/>
        <v>1.5563954328388427</v>
      </c>
      <c r="X801" s="126">
        <f t="shared" si="126"/>
        <v>1.9038839316876</v>
      </c>
      <c r="Y801" s="126">
        <f t="shared" si="127"/>
        <v>2.8547954461759257</v>
      </c>
      <c r="Z801" s="126">
        <f t="shared" si="128"/>
        <v>2.0618300533972556</v>
      </c>
      <c r="AA801" s="126">
        <f t="shared" si="129"/>
        <v>2.3893523860009607</v>
      </c>
      <c r="AB801" s="126">
        <f t="shared" si="130"/>
        <v>3.5503042539296734</v>
      </c>
    </row>
    <row r="802" spans="1:28">
      <c r="A802">
        <v>801</v>
      </c>
      <c r="B802" s="119">
        <v>9.9222679469593039E-2</v>
      </c>
      <c r="F802">
        <v>7.3210384595844127E-2</v>
      </c>
      <c r="G802">
        <v>0.40654371792917748</v>
      </c>
      <c r="H802">
        <v>0.7398770512625108</v>
      </c>
      <c r="I802">
        <v>0.18432149570695522</v>
      </c>
      <c r="J802">
        <v>0.51765482904028859</v>
      </c>
      <c r="K802">
        <v>0.85098816237362174</v>
      </c>
      <c r="L802">
        <v>0.29543260681806638</v>
      </c>
      <c r="M802">
        <v>0.62876594015139964</v>
      </c>
      <c r="N802">
        <v>0.9620992734847329</v>
      </c>
      <c r="O802">
        <v>0.11024742163288116</v>
      </c>
      <c r="R802">
        <v>2.5</v>
      </c>
      <c r="S802" s="126">
        <f t="shared" si="121"/>
        <v>1.2203780021337238</v>
      </c>
      <c r="T802" s="126">
        <f t="shared" si="122"/>
        <v>1.580069646238055</v>
      </c>
      <c r="U802" s="126">
        <f t="shared" si="123"/>
        <v>2.4861891370579396</v>
      </c>
      <c r="V802" s="126">
        <f t="shared" si="124"/>
        <v>1.6697759274841482</v>
      </c>
      <c r="W802" s="126">
        <f t="shared" si="125"/>
        <v>2.0374695197788251</v>
      </c>
      <c r="X802" s="126">
        <f t="shared" si="126"/>
        <v>3.044113218704656</v>
      </c>
      <c r="Y802" s="126">
        <f t="shared" si="127"/>
        <v>2.2483005772019906</v>
      </c>
      <c r="Z802" s="126">
        <f t="shared" si="128"/>
        <v>2.5627416011933257</v>
      </c>
      <c r="AA802" s="126">
        <f t="shared" si="129"/>
        <v>3.9142633323552278</v>
      </c>
      <c r="AB802" s="126">
        <f t="shared" si="130"/>
        <v>2.1184802142045638</v>
      </c>
    </row>
    <row r="803" spans="1:28">
      <c r="A803">
        <v>802</v>
      </c>
      <c r="B803" s="119">
        <v>0.43255601280292638</v>
      </c>
      <c r="F803">
        <v>0.44358075496621452</v>
      </c>
      <c r="G803">
        <v>0.77691408829954778</v>
      </c>
      <c r="H803">
        <v>0.22135853274399225</v>
      </c>
      <c r="I803">
        <v>0.55469186607732557</v>
      </c>
      <c r="J803">
        <v>0.88802519941065883</v>
      </c>
      <c r="K803">
        <v>0.33246964385510341</v>
      </c>
      <c r="L803">
        <v>0.66580297718843673</v>
      </c>
      <c r="M803">
        <v>0.99913631052176999</v>
      </c>
      <c r="N803">
        <v>9.6530000508052627E-4</v>
      </c>
      <c r="O803">
        <v>0.33429863333841381</v>
      </c>
      <c r="R803">
        <v>2.5</v>
      </c>
      <c r="S803" s="126">
        <f t="shared" si="121"/>
        <v>2.3011909467881457</v>
      </c>
      <c r="T803" s="126">
        <f t="shared" si="122"/>
        <v>2.946649091749677</v>
      </c>
      <c r="U803" s="126">
        <f t="shared" si="123"/>
        <v>2.0095859722204485</v>
      </c>
      <c r="V803" s="126">
        <f t="shared" si="124"/>
        <v>2.2851755162064702</v>
      </c>
      <c r="W803" s="126">
        <f t="shared" si="125"/>
        <v>3.313289934830502</v>
      </c>
      <c r="X803" s="126">
        <f t="shared" si="126"/>
        <v>2.4697628623665846</v>
      </c>
      <c r="Y803" s="126">
        <f t="shared" si="127"/>
        <v>2.7563359132318257</v>
      </c>
      <c r="Z803" s="126">
        <f t="shared" si="128"/>
        <v>5.1315684981305356</v>
      </c>
      <c r="AA803" s="126">
        <f t="shared" si="129"/>
        <v>1.183391621287019</v>
      </c>
      <c r="AB803" s="126">
        <f t="shared" si="130"/>
        <v>1.403424657737363</v>
      </c>
    </row>
    <row r="804" spans="1:28">
      <c r="A804">
        <v>803</v>
      </c>
      <c r="B804" s="119">
        <v>0.7658893461362597</v>
      </c>
      <c r="F804">
        <v>0.66763196667174718</v>
      </c>
      <c r="G804">
        <v>0.11207641111619164</v>
      </c>
      <c r="H804">
        <v>0.44540974444952491</v>
      </c>
      <c r="I804">
        <v>0.77874307778285823</v>
      </c>
      <c r="J804">
        <v>0.22318752222730273</v>
      </c>
      <c r="K804">
        <v>0.55652085556063613</v>
      </c>
      <c r="L804">
        <v>0.88985418889396939</v>
      </c>
      <c r="M804">
        <v>3.8002337042117557E-2</v>
      </c>
      <c r="N804">
        <v>0.37133567037545084</v>
      </c>
      <c r="O804">
        <v>0.70466900370878427</v>
      </c>
      <c r="R804">
        <v>2.5</v>
      </c>
      <c r="S804" s="126">
        <f t="shared" si="121"/>
        <v>2.7756822857743928</v>
      </c>
      <c r="T804" s="126">
        <f t="shared" si="122"/>
        <v>1.5541919942080082</v>
      </c>
      <c r="U804" s="126">
        <f t="shared" si="123"/>
        <v>1.8296462383922696</v>
      </c>
      <c r="V804" s="126">
        <f t="shared" si="124"/>
        <v>2.7147170282802904</v>
      </c>
      <c r="W804" s="126">
        <f t="shared" si="125"/>
        <v>1.8980819023411044</v>
      </c>
      <c r="X804" s="126">
        <f t="shared" si="126"/>
        <v>2.2329521032105557</v>
      </c>
      <c r="Y804" s="126">
        <f t="shared" si="127"/>
        <v>3.2950102779325778</v>
      </c>
      <c r="Z804" s="126">
        <f t="shared" si="128"/>
        <v>1.3543127281212599</v>
      </c>
      <c r="AA804" s="126">
        <f t="shared" si="129"/>
        <v>1.5716084452754966</v>
      </c>
      <c r="AB804" s="126">
        <f t="shared" si="130"/>
        <v>2.3952587649728807</v>
      </c>
    </row>
    <row r="805" spans="1:28">
      <c r="A805">
        <v>804</v>
      </c>
      <c r="B805" s="119">
        <v>0.21033379058070414</v>
      </c>
      <c r="F805">
        <v>0.14911344815322866</v>
      </c>
      <c r="G805">
        <v>0.48244678148656195</v>
      </c>
      <c r="H805">
        <v>0.81578011481989521</v>
      </c>
      <c r="I805">
        <v>0.26022455926433974</v>
      </c>
      <c r="J805">
        <v>0.59355789259767311</v>
      </c>
      <c r="K805">
        <v>0.92689122593100637</v>
      </c>
      <c r="L805">
        <v>7.5039374079154605E-2</v>
      </c>
      <c r="M805">
        <v>0.40837270741248788</v>
      </c>
      <c r="N805">
        <v>0.74170604074582125</v>
      </c>
      <c r="O805">
        <v>0.1861504851902657</v>
      </c>
      <c r="R805">
        <v>2.5</v>
      </c>
      <c r="S805" s="126">
        <f t="shared" si="121"/>
        <v>1.56023479646564</v>
      </c>
      <c r="T805" s="126">
        <f t="shared" si="122"/>
        <v>1.9095990312498965</v>
      </c>
      <c r="U805" s="126">
        <f t="shared" si="123"/>
        <v>2.8633168299355694</v>
      </c>
      <c r="V805" s="126">
        <f t="shared" si="124"/>
        <v>2.0707700734351167</v>
      </c>
      <c r="W805" s="126">
        <f t="shared" si="125"/>
        <v>2.39773229477803</v>
      </c>
      <c r="X805" s="126">
        <f t="shared" si="126"/>
        <v>3.5652805271263537</v>
      </c>
      <c r="Y805" s="126">
        <f t="shared" si="127"/>
        <v>1.7665412504622635</v>
      </c>
      <c r="Z805" s="126">
        <f t="shared" si="128"/>
        <v>1.8584577112514806</v>
      </c>
      <c r="AA805" s="126">
        <f t="shared" si="129"/>
        <v>2.6307650945008416</v>
      </c>
      <c r="AB805" s="126">
        <f t="shared" si="130"/>
        <v>1.7480868536528118</v>
      </c>
    </row>
    <row r="806" spans="1:28">
      <c r="A806">
        <v>805</v>
      </c>
      <c r="B806" s="119">
        <v>0.54366712391403749</v>
      </c>
      <c r="F806">
        <v>0.51948381852359904</v>
      </c>
      <c r="G806">
        <v>0.8528171518569323</v>
      </c>
      <c r="H806">
        <v>0.29726159630137677</v>
      </c>
      <c r="I806">
        <v>0.6305949296347102</v>
      </c>
      <c r="J806">
        <v>0.96392826296804346</v>
      </c>
      <c r="K806">
        <v>1.3310979017426205E-2</v>
      </c>
      <c r="L806">
        <v>0.34664431235075949</v>
      </c>
      <c r="M806">
        <v>0.6799776456840928</v>
      </c>
      <c r="N806">
        <v>0.12442209012853732</v>
      </c>
      <c r="O806">
        <v>0.45775542346187059</v>
      </c>
      <c r="R806">
        <v>2.5</v>
      </c>
      <c r="S806" s="126">
        <f t="shared" si="121"/>
        <v>2.4585256188485491</v>
      </c>
      <c r="T806" s="126">
        <f t="shared" si="122"/>
        <v>3.2622615331293479</v>
      </c>
      <c r="U806" s="126">
        <f t="shared" si="123"/>
        <v>2.3623049546660826</v>
      </c>
      <c r="V806" s="126">
        <f t="shared" si="124"/>
        <v>2.6240345152852349</v>
      </c>
      <c r="W806" s="126">
        <f t="shared" si="125"/>
        <v>3.9637321564420498</v>
      </c>
      <c r="X806" s="126">
        <f t="shared" si="126"/>
        <v>1.3253039402982356</v>
      </c>
      <c r="Y806" s="126">
        <f t="shared" si="127"/>
        <v>1.5025272993567387</v>
      </c>
      <c r="Z806" s="126">
        <f t="shared" si="128"/>
        <v>2.3026040725440833</v>
      </c>
      <c r="AA806" s="126">
        <f t="shared" si="129"/>
        <v>1.3678887976469158</v>
      </c>
      <c r="AB806" s="126">
        <f t="shared" si="130"/>
        <v>1.7617252155193337</v>
      </c>
    </row>
    <row r="807" spans="1:28">
      <c r="A807">
        <v>806</v>
      </c>
      <c r="B807" s="119">
        <v>0.87700045724737075</v>
      </c>
      <c r="F807">
        <v>0.79108875679520396</v>
      </c>
      <c r="G807">
        <v>0.23553320123964841</v>
      </c>
      <c r="H807">
        <v>0.56886653457298186</v>
      </c>
      <c r="I807">
        <v>0.90219986790631512</v>
      </c>
      <c r="J807">
        <v>5.0348016054463235E-2</v>
      </c>
      <c r="K807">
        <v>0.38368134938779652</v>
      </c>
      <c r="L807">
        <v>0.71701468272113</v>
      </c>
      <c r="M807">
        <v>0.16145912716557434</v>
      </c>
      <c r="N807">
        <v>0.49479246049890763</v>
      </c>
      <c r="O807">
        <v>0.82812579383224094</v>
      </c>
      <c r="R807">
        <v>2.5</v>
      </c>
      <c r="S807" s="126">
        <f t="shared" si="121"/>
        <v>3.0864843487009308</v>
      </c>
      <c r="T807" s="126">
        <f t="shared" si="122"/>
        <v>2.1185239738737454</v>
      </c>
      <c r="U807" s="126">
        <f t="shared" si="123"/>
        <v>2.3695914661720741</v>
      </c>
      <c r="V807" s="126">
        <f t="shared" si="124"/>
        <v>3.4201309143798935</v>
      </c>
      <c r="W807" s="126">
        <f t="shared" si="125"/>
        <v>1.5267854423522156</v>
      </c>
      <c r="X807" s="126">
        <f t="shared" si="126"/>
        <v>1.6850922298481805</v>
      </c>
      <c r="Y807" s="126">
        <f t="shared" si="127"/>
        <v>2.4820865413528308</v>
      </c>
      <c r="Z807" s="126">
        <f t="shared" si="128"/>
        <v>1.593926892608116</v>
      </c>
      <c r="AA807" s="126">
        <f t="shared" si="129"/>
        <v>1.9520683743832166</v>
      </c>
      <c r="AB807" s="126">
        <f t="shared" si="130"/>
        <v>2.9237451668798271</v>
      </c>
    </row>
    <row r="808" spans="1:28">
      <c r="A808">
        <v>807</v>
      </c>
      <c r="B808" s="119">
        <v>0.32144490169181528</v>
      </c>
      <c r="F808">
        <v>0.27257023827668542</v>
      </c>
      <c r="G808">
        <v>0.60590357161001884</v>
      </c>
      <c r="H808">
        <v>0.9392369049433521</v>
      </c>
      <c r="I808">
        <v>8.7385053091500284E-2</v>
      </c>
      <c r="J808">
        <v>0.42071838642483356</v>
      </c>
      <c r="K808">
        <v>0.75405171975816698</v>
      </c>
      <c r="L808">
        <v>0.19849616420261137</v>
      </c>
      <c r="M808">
        <v>0.53182949753594466</v>
      </c>
      <c r="N808">
        <v>0.86516283086927792</v>
      </c>
      <c r="O808">
        <v>0.30960727531372245</v>
      </c>
      <c r="R808">
        <v>2.5</v>
      </c>
      <c r="S808" s="126">
        <f t="shared" si="121"/>
        <v>1.9191756226566488</v>
      </c>
      <c r="T808" s="126">
        <f t="shared" si="122"/>
        <v>2.347894245815759</v>
      </c>
      <c r="U808" s="126">
        <f t="shared" si="123"/>
        <v>3.6188988290381889</v>
      </c>
      <c r="V808" s="126">
        <f t="shared" si="124"/>
        <v>1.8613035659688388</v>
      </c>
      <c r="W808" s="126">
        <f t="shared" si="125"/>
        <v>1.9322124110791543</v>
      </c>
      <c r="X808" s="126">
        <f t="shared" si="126"/>
        <v>2.6997386915272559</v>
      </c>
      <c r="Y808" s="126">
        <f t="shared" si="127"/>
        <v>1.8200063733122998</v>
      </c>
      <c r="Z808" s="126">
        <f t="shared" si="128"/>
        <v>2.1423390512705449</v>
      </c>
      <c r="AA808" s="126">
        <f t="shared" si="129"/>
        <v>3.1488918691932173</v>
      </c>
      <c r="AB808" s="126">
        <f t="shared" si="130"/>
        <v>2.334464717757962</v>
      </c>
    </row>
    <row r="809" spans="1:28">
      <c r="A809">
        <v>808</v>
      </c>
      <c r="B809" s="119">
        <v>0.65477823502514865</v>
      </c>
      <c r="F809">
        <v>0.64294060864705582</v>
      </c>
      <c r="G809">
        <v>0.97627394198038908</v>
      </c>
      <c r="H809">
        <v>2.5656658029771882E-2</v>
      </c>
      <c r="I809">
        <v>0.35898999136310517</v>
      </c>
      <c r="J809">
        <v>0.69232332469643854</v>
      </c>
      <c r="K809">
        <v>0.13676776914088298</v>
      </c>
      <c r="L809">
        <v>0.47010110247421627</v>
      </c>
      <c r="M809">
        <v>0.80343443580754959</v>
      </c>
      <c r="N809">
        <v>0.24787888025199409</v>
      </c>
      <c r="O809">
        <v>0.58121221358532749</v>
      </c>
      <c r="R809">
        <v>2.5</v>
      </c>
      <c r="S809" s="126">
        <f t="shared" si="121"/>
        <v>2.7203764943579096</v>
      </c>
      <c r="T809" s="126">
        <f t="shared" si="122"/>
        <v>4.1639422067282919</v>
      </c>
      <c r="U809" s="126">
        <f t="shared" si="123"/>
        <v>1.6471131433892561</v>
      </c>
      <c r="V809" s="126">
        <f t="shared" si="124"/>
        <v>1.6916818928608832</v>
      </c>
      <c r="W809" s="126">
        <f t="shared" si="125"/>
        <v>2.4263847804522927</v>
      </c>
      <c r="X809" s="126">
        <f t="shared" si="126"/>
        <v>1.4781080156140018</v>
      </c>
      <c r="Y809" s="126">
        <f t="shared" si="127"/>
        <v>1.8427515633775451</v>
      </c>
      <c r="Z809" s="126">
        <f t="shared" si="128"/>
        <v>2.7922346660638642</v>
      </c>
      <c r="AA809" s="126">
        <f t="shared" si="129"/>
        <v>2.0032675264538637</v>
      </c>
      <c r="AB809" s="126">
        <f t="shared" si="130"/>
        <v>2.3376500590033715</v>
      </c>
    </row>
    <row r="810" spans="1:28">
      <c r="A810">
        <v>809</v>
      </c>
      <c r="B810" s="119">
        <v>0.98811156835848191</v>
      </c>
      <c r="F810">
        <v>0.91454554691866075</v>
      </c>
      <c r="G810">
        <v>6.2693695066808927E-2</v>
      </c>
      <c r="H810">
        <v>0.3960270284001422</v>
      </c>
      <c r="I810">
        <v>0.72936036173347563</v>
      </c>
      <c r="J810">
        <v>0.17380480617792002</v>
      </c>
      <c r="K810">
        <v>0.50713813951125342</v>
      </c>
      <c r="L810">
        <v>0.84047147284458656</v>
      </c>
      <c r="M810">
        <v>0.2849159172890311</v>
      </c>
      <c r="N810">
        <v>0.61824925062236447</v>
      </c>
      <c r="O810">
        <v>0.95158258395569773</v>
      </c>
      <c r="R810">
        <v>2.5</v>
      </c>
      <c r="S810" s="126">
        <f t="shared" si="121"/>
        <v>3.5476171363322533</v>
      </c>
      <c r="T810" s="126">
        <f t="shared" si="122"/>
        <v>1.6807146502826349</v>
      </c>
      <c r="U810" s="126">
        <f t="shared" si="123"/>
        <v>1.7890008446542458</v>
      </c>
      <c r="V810" s="126">
        <f t="shared" si="124"/>
        <v>2.5647327767082233</v>
      </c>
      <c r="W810" s="126">
        <f t="shared" si="125"/>
        <v>1.6760803174508501</v>
      </c>
      <c r="X810" s="126">
        <f t="shared" si="126"/>
        <v>2.0188840629752463</v>
      </c>
      <c r="Y810" s="126">
        <f t="shared" si="127"/>
        <v>2.9982472160161127</v>
      </c>
      <c r="Z810" s="126">
        <f t="shared" si="128"/>
        <v>2.1999133257133625</v>
      </c>
      <c r="AA810" s="126">
        <f t="shared" si="129"/>
        <v>2.5155745719465017</v>
      </c>
      <c r="AB810" s="126">
        <f t="shared" si="130"/>
        <v>3.7955497677212029</v>
      </c>
    </row>
    <row r="811" spans="1:28">
      <c r="A811">
        <v>810</v>
      </c>
      <c r="B811" s="119">
        <v>4.5724737082761778E-3</v>
      </c>
      <c r="F811">
        <v>9.9730732103845962E-2</v>
      </c>
      <c r="G811">
        <v>0.43306406543717924</v>
      </c>
      <c r="H811">
        <v>0.76639739877051261</v>
      </c>
      <c r="I811">
        <v>0.21084184321495705</v>
      </c>
      <c r="J811">
        <v>0.5441751765482904</v>
      </c>
      <c r="K811">
        <v>0.87750850988162366</v>
      </c>
      <c r="L811">
        <v>0.32195295432606813</v>
      </c>
      <c r="M811">
        <v>0.65528628765940156</v>
      </c>
      <c r="N811">
        <v>0.98861962099273482</v>
      </c>
      <c r="O811">
        <v>5.0805263425290868E-3</v>
      </c>
      <c r="R811">
        <v>2.5</v>
      </c>
      <c r="S811" s="126">
        <f t="shared" ref="S811:S874" si="131">NORMINV(F811,0,1)*0.8248+0.4974*(2.3356-R811)+R811</f>
        <v>1.3599369680169333</v>
      </c>
      <c r="T811" s="126">
        <f t="shared" ref="T811:T874" si="132">NORMINV(G811,0,1)*0.8248+0.4974*(2.3356-S811)+S811</f>
        <v>1.7061881481654766</v>
      </c>
      <c r="U811" s="126">
        <f t="shared" ref="U811:U874" si="133">NORMINV(H811,0,1)*0.8248+0.4974*(2.3356-T811)+T811</f>
        <v>2.6189151460366573</v>
      </c>
      <c r="V811" s="126">
        <f t="shared" ref="V811:V874" si="134">NORMINV(I811,0,1)*0.8248+0.4974*(2.3356-U811)+U811</f>
        <v>1.8152643797236836</v>
      </c>
      <c r="W811" s="126">
        <f t="shared" ref="W811:W874" si="135">NORMINV(J811,0,1)*0.8248+0.4974*(2.3356-V811)+V811</f>
        <v>2.1655974811073535</v>
      </c>
      <c r="X811" s="126">
        <f t="shared" ref="X811:X874" si="136">NORMINV(K811,0,1)*0.8248+0.4974*(2.3356-W811)+W811</f>
        <v>3.2090871981332811</v>
      </c>
      <c r="Y811" s="126">
        <f t="shared" ref="Y811:Y874" si="137">NORMINV(L811,0,1)*0.8248+0.4974*(2.3356-X811)+X811</f>
        <v>2.3933553031622763</v>
      </c>
      <c r="Z811" s="126">
        <f t="shared" ref="Z811:Z874" si="138">NORMINV(M811,0,1)*0.8248+0.4974*(2.3356-Y811)+Y811</f>
        <v>2.694244466845372</v>
      </c>
      <c r="AA811" s="126">
        <f t="shared" ref="AA811:AA874" si="139">NORMINV(N811,0,1)*0.8248+0.4974*(2.3356-Z811)+Z811</f>
        <v>4.3942762398283337</v>
      </c>
      <c r="AB811" s="126">
        <f t="shared" ref="AB811:AB874" si="140">NORMINV(O811,0,1)*0.8248+0.4974*(2.3356-AA811)+AA811</f>
        <v>1.2503073714774109</v>
      </c>
    </row>
    <row r="812" spans="1:28">
      <c r="A812">
        <v>811</v>
      </c>
      <c r="B812" s="119">
        <v>0.3379058070416095</v>
      </c>
      <c r="F812">
        <v>0.33841385967586235</v>
      </c>
      <c r="G812">
        <v>0.67174719300919572</v>
      </c>
      <c r="H812">
        <v>0.1161916374536402</v>
      </c>
      <c r="I812">
        <v>0.44952497078697345</v>
      </c>
      <c r="J812">
        <v>0.78285830412030677</v>
      </c>
      <c r="K812">
        <v>0.2273027485647513</v>
      </c>
      <c r="L812">
        <v>0.56063608189808467</v>
      </c>
      <c r="M812">
        <v>0.89396941523141793</v>
      </c>
      <c r="N812">
        <v>4.2117563379566118E-2</v>
      </c>
      <c r="O812">
        <v>0.37545089671289938</v>
      </c>
      <c r="R812">
        <v>2.5</v>
      </c>
      <c r="S812" s="126">
        <f t="shared" si="131"/>
        <v>2.0744542016927565</v>
      </c>
      <c r="T812" s="126">
        <f t="shared" si="132"/>
        <v>2.5711720074822804</v>
      </c>
      <c r="U812" s="126">
        <f t="shared" si="133"/>
        <v>1.4689875979631981</v>
      </c>
      <c r="V812" s="126">
        <f t="shared" si="134"/>
        <v>1.7954051609297341</v>
      </c>
      <c r="W812" s="126">
        <f t="shared" si="135"/>
        <v>2.70899509491327</v>
      </c>
      <c r="X812" s="126">
        <f t="shared" si="136"/>
        <v>1.9065166977019776</v>
      </c>
      <c r="Y812" s="126">
        <f t="shared" si="137"/>
        <v>2.2457924542230567</v>
      </c>
      <c r="Z812" s="126">
        <f t="shared" si="138"/>
        <v>3.3197453104958101</v>
      </c>
      <c r="AA812" s="126">
        <f t="shared" si="139"/>
        <v>1.4061115629766503</v>
      </c>
      <c r="AB812" s="126">
        <f t="shared" si="140"/>
        <v>1.6066059388505769</v>
      </c>
    </row>
    <row r="813" spans="1:28">
      <c r="A813">
        <v>812</v>
      </c>
      <c r="B813" s="119">
        <v>0.67123914037494281</v>
      </c>
      <c r="F813">
        <v>0.70878423004623281</v>
      </c>
      <c r="G813">
        <v>0.15322867449067723</v>
      </c>
      <c r="H813">
        <v>0.48656200782401049</v>
      </c>
      <c r="I813">
        <v>0.81989534115734375</v>
      </c>
      <c r="J813">
        <v>0.26433978560178828</v>
      </c>
      <c r="K813">
        <v>0.59767311893512165</v>
      </c>
      <c r="L813">
        <v>0.93100645226845491</v>
      </c>
      <c r="M813">
        <v>7.915460041660316E-2</v>
      </c>
      <c r="N813">
        <v>0.41248793374993642</v>
      </c>
      <c r="O813">
        <v>0.74582126708326979</v>
      </c>
      <c r="R813">
        <v>2.5</v>
      </c>
      <c r="S813" s="126">
        <f t="shared" si="131"/>
        <v>2.8717325627767885</v>
      </c>
      <c r="T813" s="126">
        <f t="shared" si="132"/>
        <v>1.7615505852524467</v>
      </c>
      <c r="U813" s="126">
        <f t="shared" si="133"/>
        <v>2.0192949029165561</v>
      </c>
      <c r="V813" s="126">
        <f t="shared" si="134"/>
        <v>2.9312892693362333</v>
      </c>
      <c r="W813" s="126">
        <f t="shared" si="135"/>
        <v>2.1153505004667226</v>
      </c>
      <c r="X813" s="126">
        <f t="shared" si="136"/>
        <v>2.4288994061094815</v>
      </c>
      <c r="Y813" s="126">
        <f t="shared" si="137"/>
        <v>3.6059418095151718</v>
      </c>
      <c r="Z813" s="126">
        <f t="shared" si="138"/>
        <v>1.8104616311420583</v>
      </c>
      <c r="AA813" s="126">
        <f t="shared" si="139"/>
        <v>1.8892611772920018</v>
      </c>
      <c r="AB813" s="126">
        <f t="shared" si="140"/>
        <v>2.6567907180183763</v>
      </c>
    </row>
    <row r="814" spans="1:28">
      <c r="A814">
        <v>813</v>
      </c>
      <c r="B814" s="119">
        <v>0.11568358481938727</v>
      </c>
      <c r="F814">
        <v>0.19026571152771427</v>
      </c>
      <c r="G814">
        <v>0.52359904486104758</v>
      </c>
      <c r="H814">
        <v>0.85693237819438084</v>
      </c>
      <c r="I814">
        <v>0.30137682263882531</v>
      </c>
      <c r="J814">
        <v>0.63471015597215874</v>
      </c>
      <c r="K814">
        <v>0.968043489305492</v>
      </c>
      <c r="L814">
        <v>1.7426205354874765E-2</v>
      </c>
      <c r="M814">
        <v>0.35075953868820803</v>
      </c>
      <c r="N814">
        <v>0.68409287202154134</v>
      </c>
      <c r="O814">
        <v>0.12853731646598587</v>
      </c>
      <c r="R814">
        <v>2.5</v>
      </c>
      <c r="S814" s="126">
        <f t="shared" si="131"/>
        <v>1.6949458447948522</v>
      </c>
      <c r="T814" s="126">
        <f t="shared" si="132"/>
        <v>2.062425957467525</v>
      </c>
      <c r="U814" s="126">
        <f t="shared" si="133"/>
        <v>3.0780659137633033</v>
      </c>
      <c r="V814" s="126">
        <f t="shared" si="134"/>
        <v>2.2795005602619898</v>
      </c>
      <c r="W814" s="126">
        <f t="shared" si="135"/>
        <v>2.5914280289905283</v>
      </c>
      <c r="X814" s="126">
        <f t="shared" si="136"/>
        <v>3.9923571537425029</v>
      </c>
      <c r="Y814" s="126">
        <f t="shared" si="137"/>
        <v>1.427901212296161</v>
      </c>
      <c r="Z814" s="126">
        <f t="shared" si="138"/>
        <v>1.5632689334681735</v>
      </c>
      <c r="AA814" s="126">
        <f t="shared" si="139"/>
        <v>2.3426498089658336</v>
      </c>
      <c r="AB814" s="126">
        <f t="shared" si="140"/>
        <v>1.4043705573871414</v>
      </c>
    </row>
    <row r="815" spans="1:28">
      <c r="A815">
        <v>814</v>
      </c>
      <c r="B815" s="119">
        <v>0.4490169181527206</v>
      </c>
      <c r="F815">
        <v>0.46187064979931913</v>
      </c>
      <c r="G815">
        <v>0.7952039831326525</v>
      </c>
      <c r="H815">
        <v>0.23964842757709698</v>
      </c>
      <c r="I815">
        <v>0.5729817609104304</v>
      </c>
      <c r="J815">
        <v>0.90631509424376366</v>
      </c>
      <c r="K815">
        <v>5.4463242391911797E-2</v>
      </c>
      <c r="L815">
        <v>0.38779657572524506</v>
      </c>
      <c r="M815">
        <v>0.72112990905857854</v>
      </c>
      <c r="N815">
        <v>0.16557435350302291</v>
      </c>
      <c r="O815">
        <v>0.49890768683635617</v>
      </c>
      <c r="R815">
        <v>2.5</v>
      </c>
      <c r="S815" s="126">
        <f t="shared" si="131"/>
        <v>2.3392758637226563</v>
      </c>
      <c r="T815" s="126">
        <f t="shared" si="132"/>
        <v>3.0175872817664855</v>
      </c>
      <c r="U815" s="126">
        <f t="shared" si="133"/>
        <v>2.0948752989986605</v>
      </c>
      <c r="V815" s="126">
        <f t="shared" si="134"/>
        <v>2.366350759115738</v>
      </c>
      <c r="W815" s="126">
        <f t="shared" si="135"/>
        <v>3.4384715758276485</v>
      </c>
      <c r="X815" s="126">
        <f t="shared" si="136"/>
        <v>1.5677183336040614</v>
      </c>
      <c r="Y815" s="126">
        <f t="shared" si="137"/>
        <v>1.7145397786150784</v>
      </c>
      <c r="Z815" s="126">
        <f t="shared" si="138"/>
        <v>2.5069540463717259</v>
      </c>
      <c r="AA815" s="126">
        <f t="shared" si="139"/>
        <v>1.6201796678030849</v>
      </c>
      <c r="AB815" s="126">
        <f t="shared" si="140"/>
        <v>1.9737714167956375</v>
      </c>
    </row>
    <row r="816" spans="1:28">
      <c r="A816">
        <v>815</v>
      </c>
      <c r="B816" s="119">
        <v>0.78235025148605386</v>
      </c>
      <c r="F816">
        <v>0.83224102016968948</v>
      </c>
      <c r="G816">
        <v>0.27668546461413396</v>
      </c>
      <c r="H816">
        <v>0.61001879794746738</v>
      </c>
      <c r="I816">
        <v>0.94335213128080064</v>
      </c>
      <c r="J816">
        <v>9.1500279428948839E-2</v>
      </c>
      <c r="K816">
        <v>0.4248336127622821</v>
      </c>
      <c r="L816">
        <v>0.75816694609561552</v>
      </c>
      <c r="M816">
        <v>0.20261139054005994</v>
      </c>
      <c r="N816">
        <v>0.5359447238733932</v>
      </c>
      <c r="O816">
        <v>0.86927805720672646</v>
      </c>
      <c r="R816">
        <v>2.5</v>
      </c>
      <c r="S816" s="126">
        <f t="shared" si="131"/>
        <v>3.2125584307901516</v>
      </c>
      <c r="T816" s="126">
        <f t="shared" si="132"/>
        <v>2.2874867776887315</v>
      </c>
      <c r="U816" s="126">
        <f t="shared" si="133"/>
        <v>2.5418410445230823</v>
      </c>
      <c r="V816" s="126">
        <f t="shared" si="134"/>
        <v>3.7453703189061258</v>
      </c>
      <c r="W816" s="126">
        <f t="shared" si="135"/>
        <v>1.9458691938545036</v>
      </c>
      <c r="X816" s="126">
        <f t="shared" si="136"/>
        <v>1.983386197595389</v>
      </c>
      <c r="Y816" s="126">
        <f t="shared" si="137"/>
        <v>2.7362823610400522</v>
      </c>
      <c r="Z816" s="126">
        <f t="shared" si="138"/>
        <v>1.85047728689355</v>
      </c>
      <c r="AA816" s="126">
        <f t="shared" si="139"/>
        <v>2.1661926893711008</v>
      </c>
      <c r="AB816" s="126">
        <f t="shared" si="140"/>
        <v>3.1766938739106925</v>
      </c>
    </row>
    <row r="817" spans="1:28">
      <c r="A817">
        <v>816</v>
      </c>
      <c r="B817" s="119">
        <v>0.22679469593049839</v>
      </c>
      <c r="F817">
        <v>0.31372250165117099</v>
      </c>
      <c r="G817">
        <v>0.64705583498450436</v>
      </c>
      <c r="H817">
        <v>0.98038916831783762</v>
      </c>
      <c r="I817">
        <v>2.9771884367220443E-2</v>
      </c>
      <c r="J817">
        <v>0.36310521770055371</v>
      </c>
      <c r="K817">
        <v>0.69643855103388708</v>
      </c>
      <c r="L817">
        <v>0.14088299547833155</v>
      </c>
      <c r="M817">
        <v>0.47421632881166481</v>
      </c>
      <c r="N817">
        <v>0.80754966214499813</v>
      </c>
      <c r="O817">
        <v>0.2519941065894426</v>
      </c>
      <c r="R817">
        <v>2.5</v>
      </c>
      <c r="S817" s="126">
        <f t="shared" si="131"/>
        <v>2.0179304251276675</v>
      </c>
      <c r="T817" s="126">
        <f t="shared" si="132"/>
        <v>2.4872055121847336</v>
      </c>
      <c r="U817" s="126">
        <f t="shared" si="133"/>
        <v>4.1124138910635155</v>
      </c>
      <c r="V817" s="126">
        <f t="shared" si="134"/>
        <v>1.674574131099452</v>
      </c>
      <c r="W817" s="126">
        <f t="shared" si="135"/>
        <v>1.7145474301518475</v>
      </c>
      <c r="X817" s="126">
        <f t="shared" si="136"/>
        <v>2.4475584785810081</v>
      </c>
      <c r="Y817" s="126">
        <f t="shared" si="137"/>
        <v>1.5040880621067299</v>
      </c>
      <c r="Z817" s="126">
        <f t="shared" si="138"/>
        <v>1.8643380454192333</v>
      </c>
      <c r="AA817" s="126">
        <f t="shared" si="139"/>
        <v>2.8154142014527022</v>
      </c>
      <c r="AB817" s="126">
        <f t="shared" si="140"/>
        <v>2.0256003549532573</v>
      </c>
    </row>
    <row r="818" spans="1:28">
      <c r="A818">
        <v>817</v>
      </c>
      <c r="B818" s="119">
        <v>0.56012802926383176</v>
      </c>
      <c r="F818">
        <v>0.58532743992277603</v>
      </c>
      <c r="G818">
        <v>0.91866077325610929</v>
      </c>
      <c r="H818">
        <v>6.6808921404257482E-2</v>
      </c>
      <c r="I818">
        <v>0.40014225473759074</v>
      </c>
      <c r="J818">
        <v>0.73347558807092417</v>
      </c>
      <c r="K818">
        <v>0.17792003251536859</v>
      </c>
      <c r="L818">
        <v>0.51125336584870196</v>
      </c>
      <c r="M818">
        <v>0.84458669918203511</v>
      </c>
      <c r="N818">
        <v>0.28903114362647964</v>
      </c>
      <c r="O818">
        <v>0.62236447695981301</v>
      </c>
      <c r="R818">
        <v>2.5</v>
      </c>
      <c r="S818" s="126">
        <f t="shared" si="131"/>
        <v>2.5960061113679047</v>
      </c>
      <c r="T818" s="126">
        <f t="shared" si="132"/>
        <v>3.6179996371550942</v>
      </c>
      <c r="U818" s="126">
        <f t="shared" si="133"/>
        <v>1.7429450117716034</v>
      </c>
      <c r="V818" s="126">
        <f t="shared" si="134"/>
        <v>1.8290745967469433</v>
      </c>
      <c r="W818" s="126">
        <f t="shared" si="135"/>
        <v>2.595166597692756</v>
      </c>
      <c r="X818" s="126">
        <f t="shared" si="136"/>
        <v>1.7045031975914287</v>
      </c>
      <c r="Y818" s="126">
        <f t="shared" si="137"/>
        <v>2.0416797959320574</v>
      </c>
      <c r="Z818" s="126">
        <f t="shared" si="138"/>
        <v>3.0238015121378705</v>
      </c>
      <c r="AA818" s="126">
        <f t="shared" si="139"/>
        <v>2.2227220186202876</v>
      </c>
      <c r="AB818" s="126">
        <f t="shared" si="140"/>
        <v>2.5359549539168884</v>
      </c>
    </row>
    <row r="819" spans="1:28">
      <c r="A819">
        <v>818</v>
      </c>
      <c r="B819" s="119">
        <v>0.89346136259716502</v>
      </c>
      <c r="F819">
        <v>0.95569781029314627</v>
      </c>
      <c r="G819">
        <v>0.10384595844129452</v>
      </c>
      <c r="H819">
        <v>0.43717929177462778</v>
      </c>
      <c r="I819">
        <v>0.77051262510796115</v>
      </c>
      <c r="J819">
        <v>0.21495706955240562</v>
      </c>
      <c r="K819">
        <v>0.54829040288573894</v>
      </c>
      <c r="L819">
        <v>0.8816237362190722</v>
      </c>
      <c r="M819">
        <v>0.32606818066351667</v>
      </c>
      <c r="N819">
        <v>0.6594015139968501</v>
      </c>
      <c r="O819">
        <v>0.99273484733018336</v>
      </c>
      <c r="R819">
        <v>2.5</v>
      </c>
      <c r="S819" s="126">
        <f t="shared" si="131"/>
        <v>3.8227018298395219</v>
      </c>
      <c r="T819" s="126">
        <f t="shared" si="132"/>
        <v>2.0438209464966075</v>
      </c>
      <c r="U819" s="126">
        <f t="shared" si="133"/>
        <v>2.0585306431706507</v>
      </c>
      <c r="V819" s="126">
        <f t="shared" si="134"/>
        <v>2.8071391370534045</v>
      </c>
      <c r="W819" s="126">
        <f t="shared" si="135"/>
        <v>1.9215491032740806</v>
      </c>
      <c r="X819" s="126">
        <f t="shared" si="136"/>
        <v>2.2275819009927864</v>
      </c>
      <c r="Y819" s="126">
        <f t="shared" si="137"/>
        <v>3.2571663479103377</v>
      </c>
      <c r="Z819" s="126">
        <f t="shared" si="138"/>
        <v>2.4269624502894409</v>
      </c>
      <c r="AA819" s="126">
        <f t="shared" si="139"/>
        <v>2.7203716007999867</v>
      </c>
      <c r="AB819" s="126">
        <f t="shared" si="140"/>
        <v>4.5446974739150114</v>
      </c>
    </row>
    <row r="820" spans="1:28">
      <c r="A820">
        <v>819</v>
      </c>
      <c r="B820" s="119">
        <v>4.1609510745313216E-2</v>
      </c>
      <c r="F820">
        <v>9.1957526799776469E-3</v>
      </c>
      <c r="G820">
        <v>0.34252908601331095</v>
      </c>
      <c r="H820">
        <v>0.67586241934664426</v>
      </c>
      <c r="I820">
        <v>0.12030686379108876</v>
      </c>
      <c r="J820">
        <v>0.45364019712442205</v>
      </c>
      <c r="K820">
        <v>0.78697353045775531</v>
      </c>
      <c r="L820">
        <v>0.23141797490219984</v>
      </c>
      <c r="M820">
        <v>0.56475130823553321</v>
      </c>
      <c r="N820">
        <v>0.89808464156886647</v>
      </c>
      <c r="O820">
        <v>4.623278971701468E-2</v>
      </c>
      <c r="R820">
        <v>2.5</v>
      </c>
      <c r="S820" s="126">
        <f t="shared" si="131"/>
        <v>0.47364574246631852</v>
      </c>
      <c r="T820" s="126">
        <f t="shared" si="132"/>
        <v>1.065267201417152</v>
      </c>
      <c r="U820" s="126">
        <f t="shared" si="133"/>
        <v>2.073371234585303</v>
      </c>
      <c r="V820" s="126">
        <f t="shared" si="134"/>
        <v>1.2359388281647603</v>
      </c>
      <c r="W820" s="126">
        <f t="shared" si="135"/>
        <v>1.6868461860887853</v>
      </c>
      <c r="X820" s="126">
        <f t="shared" si="136"/>
        <v>2.6660474702633055</v>
      </c>
      <c r="Y820" s="126">
        <f t="shared" si="137"/>
        <v>1.8961270504412877</v>
      </c>
      <c r="Z820" s="126">
        <f t="shared" si="138"/>
        <v>2.2491853478869084</v>
      </c>
      <c r="AA820" s="126">
        <f t="shared" si="139"/>
        <v>3.3402521992003331</v>
      </c>
      <c r="AB820" s="126">
        <f t="shared" si="140"/>
        <v>1.4527851814179322</v>
      </c>
    </row>
    <row r="821" spans="1:28">
      <c r="A821">
        <v>820</v>
      </c>
      <c r="B821" s="119">
        <v>0.37494284407864653</v>
      </c>
      <c r="F821">
        <v>0.37956612305034798</v>
      </c>
      <c r="G821">
        <v>0.71289945638368135</v>
      </c>
      <c r="H821">
        <v>0.15734390082812577</v>
      </c>
      <c r="I821">
        <v>0.49067723416145909</v>
      </c>
      <c r="J821">
        <v>0.82401056749479229</v>
      </c>
      <c r="K821">
        <v>0.26845501193923688</v>
      </c>
      <c r="L821">
        <v>0.60178834527257019</v>
      </c>
      <c r="M821">
        <v>0.93512167860590345</v>
      </c>
      <c r="N821">
        <v>8.3269826754051729E-2</v>
      </c>
      <c r="O821">
        <v>0.41660316008738502</v>
      </c>
      <c r="R821">
        <v>2.5</v>
      </c>
      <c r="S821" s="126">
        <f t="shared" si="131"/>
        <v>2.1653268494773199</v>
      </c>
      <c r="T821" s="126">
        <f t="shared" si="132"/>
        <v>2.7134553364510841</v>
      </c>
      <c r="U821" s="126">
        <f t="shared" si="133"/>
        <v>1.6962279346834639</v>
      </c>
      <c r="V821" s="126">
        <f t="shared" si="134"/>
        <v>1.9949753346174928</v>
      </c>
      <c r="W821" s="126">
        <f t="shared" si="135"/>
        <v>2.9320910740473258</v>
      </c>
      <c r="X821" s="126">
        <f t="shared" si="136"/>
        <v>2.1260887213879567</v>
      </c>
      <c r="Y821" s="126">
        <f t="shared" si="137"/>
        <v>2.4430805020728203</v>
      </c>
      <c r="Z821" s="126">
        <f t="shared" si="138"/>
        <v>3.6392430365342365</v>
      </c>
      <c r="AA821" s="126">
        <f t="shared" si="139"/>
        <v>1.8497756803239633</v>
      </c>
      <c r="AB821" s="126">
        <f t="shared" si="140"/>
        <v>1.9177291179406339</v>
      </c>
    </row>
    <row r="822" spans="1:28">
      <c r="A822">
        <v>821</v>
      </c>
      <c r="B822" s="119">
        <v>0.7082761774119799</v>
      </c>
      <c r="F822">
        <v>0.74993649342071833</v>
      </c>
      <c r="G822">
        <v>0.19438093786516281</v>
      </c>
      <c r="H822">
        <v>0.52771427119849612</v>
      </c>
      <c r="I822">
        <v>0.86104760453182938</v>
      </c>
      <c r="J822">
        <v>0.30549204897627391</v>
      </c>
      <c r="K822">
        <v>0.63882538230960728</v>
      </c>
      <c r="L822">
        <v>0.97215871564294054</v>
      </c>
      <c r="M822">
        <v>2.1541431692323323E-2</v>
      </c>
      <c r="N822">
        <v>0.35487476502565662</v>
      </c>
      <c r="O822">
        <v>0.68820809835898988</v>
      </c>
      <c r="R822">
        <v>2.5</v>
      </c>
      <c r="S822" s="126">
        <f t="shared" si="131"/>
        <v>2.9743817635629859</v>
      </c>
      <c r="T822" s="126">
        <f t="shared" si="132"/>
        <v>1.9457855593077404</v>
      </c>
      <c r="U822" s="126">
        <f t="shared" si="133"/>
        <v>2.1970237681834499</v>
      </c>
      <c r="V822" s="126">
        <f t="shared" si="134"/>
        <v>3.1608909922669577</v>
      </c>
      <c r="W822" s="126">
        <f t="shared" si="135"/>
        <v>2.3308408766762514</v>
      </c>
      <c r="X822" s="126">
        <f t="shared" si="136"/>
        <v>2.6262767037186783</v>
      </c>
      <c r="Y822" s="126">
        <f t="shared" si="137"/>
        <v>4.0599586157608343</v>
      </c>
      <c r="Z822" s="126">
        <f t="shared" si="138"/>
        <v>1.5337699598043431</v>
      </c>
      <c r="AA822" s="126">
        <f t="shared" si="139"/>
        <v>1.6256158481138447</v>
      </c>
      <c r="AB822" s="126">
        <f t="shared" si="140"/>
        <v>2.3835552731022904</v>
      </c>
    </row>
    <row r="823" spans="1:28">
      <c r="A823">
        <v>822</v>
      </c>
      <c r="B823" s="119">
        <v>0.15272062185642432</v>
      </c>
      <c r="F823">
        <v>0.13265254280343441</v>
      </c>
      <c r="G823">
        <v>0.46598587613676773</v>
      </c>
      <c r="H823">
        <v>0.79931920947010104</v>
      </c>
      <c r="I823">
        <v>0.24376365391454552</v>
      </c>
      <c r="J823">
        <v>0.57709698724787895</v>
      </c>
      <c r="K823">
        <v>0.9104303205812122</v>
      </c>
      <c r="L823">
        <v>5.8578468729360358E-2</v>
      </c>
      <c r="M823">
        <v>0.39191180206269366</v>
      </c>
      <c r="N823">
        <v>0.72524513539602709</v>
      </c>
      <c r="O823">
        <v>0.16968957984047145</v>
      </c>
      <c r="R823">
        <v>2.5</v>
      </c>
      <c r="S823" s="126">
        <f t="shared" si="131"/>
        <v>1.4994500314847317</v>
      </c>
      <c r="T823" s="126">
        <f t="shared" si="132"/>
        <v>1.844942528638321</v>
      </c>
      <c r="U823" s="126">
        <f t="shared" si="133"/>
        <v>2.7811611088303021</v>
      </c>
      <c r="V823" s="126">
        <f t="shared" si="134"/>
        <v>1.9869240686417367</v>
      </c>
      <c r="W823" s="126">
        <f t="shared" si="135"/>
        <v>2.3207562905788022</v>
      </c>
      <c r="X823" s="126">
        <f t="shared" si="136"/>
        <v>3.4361838438306949</v>
      </c>
      <c r="Y823" s="126">
        <f t="shared" si="137"/>
        <v>1.5964408905178873</v>
      </c>
      <c r="Z823" s="126">
        <f t="shared" si="138"/>
        <v>1.7378232748607159</v>
      </c>
      <c r="AA823" s="126">
        <f t="shared" si="139"/>
        <v>2.5287960506204148</v>
      </c>
      <c r="AB823" s="126">
        <f t="shared" si="140"/>
        <v>1.6446924612477691</v>
      </c>
    </row>
    <row r="824" spans="1:28">
      <c r="A824">
        <v>823</v>
      </c>
      <c r="B824" s="119">
        <v>0.48605395518975764</v>
      </c>
      <c r="F824">
        <v>0.50302291317380476</v>
      </c>
      <c r="G824">
        <v>0.83635624650713802</v>
      </c>
      <c r="H824">
        <v>0.28080069095158255</v>
      </c>
      <c r="I824">
        <v>0.61413402428491592</v>
      </c>
      <c r="J824">
        <v>0.94746735761824918</v>
      </c>
      <c r="K824">
        <v>9.5615505766397407E-2</v>
      </c>
      <c r="L824">
        <v>0.42894883909973069</v>
      </c>
      <c r="M824">
        <v>0.76228217243306406</v>
      </c>
      <c r="N824">
        <v>0.20672661687750848</v>
      </c>
      <c r="O824">
        <v>0.54005995021084174</v>
      </c>
      <c r="R824">
        <v>2.5</v>
      </c>
      <c r="S824" s="126">
        <f t="shared" si="131"/>
        <v>2.424477273040603</v>
      </c>
      <c r="T824" s="126">
        <f t="shared" si="132"/>
        <v>3.188237279999135</v>
      </c>
      <c r="U824" s="126">
        <f t="shared" si="133"/>
        <v>2.2853683309250763</v>
      </c>
      <c r="V824" s="126">
        <f t="shared" si="134"/>
        <v>2.5496364359299015</v>
      </c>
      <c r="W824" s="126">
        <f t="shared" si="135"/>
        <v>3.7799923055382303</v>
      </c>
      <c r="X824" s="126">
        <f t="shared" si="136"/>
        <v>1.9835824140982563</v>
      </c>
      <c r="Y824" s="126">
        <f t="shared" si="137"/>
        <v>2.0109947193433371</v>
      </c>
      <c r="Z824" s="126">
        <f t="shared" si="138"/>
        <v>2.7610825425841194</v>
      </c>
      <c r="AA824" s="126">
        <f t="shared" si="139"/>
        <v>1.8748998521378351</v>
      </c>
      <c r="AB824" s="126">
        <f t="shared" si="140"/>
        <v>2.1870144110820777</v>
      </c>
    </row>
    <row r="825" spans="1:28">
      <c r="A825">
        <v>824</v>
      </c>
      <c r="B825" s="119">
        <v>0.81938728852309084</v>
      </c>
      <c r="F825">
        <v>0.873393283544175</v>
      </c>
      <c r="G825">
        <v>0.31783772798861959</v>
      </c>
      <c r="H825">
        <v>0.6511710613219529</v>
      </c>
      <c r="I825">
        <v>0.98450439465528616</v>
      </c>
      <c r="J825">
        <v>3.3887110704669002E-2</v>
      </c>
      <c r="K825">
        <v>0.3672204440380023</v>
      </c>
      <c r="L825">
        <v>0.70055377737133562</v>
      </c>
      <c r="M825">
        <v>0.14499822181578009</v>
      </c>
      <c r="N825">
        <v>0.47833155514911341</v>
      </c>
      <c r="O825">
        <v>0.81166488848244667</v>
      </c>
      <c r="R825">
        <v>2.5</v>
      </c>
      <c r="S825" s="126">
        <f t="shared" si="131"/>
        <v>3.360626590762414</v>
      </c>
      <c r="T825" s="126">
        <f t="shared" si="132"/>
        <v>2.4600261985206187</v>
      </c>
      <c r="U825" s="126">
        <f t="shared" si="133"/>
        <v>2.7185582272311186</v>
      </c>
      <c r="V825" s="126">
        <f t="shared" si="134"/>
        <v>4.3073214383480281</v>
      </c>
      <c r="W825" s="126">
        <f t="shared" si="135"/>
        <v>1.8200858304049112</v>
      </c>
      <c r="X825" s="126">
        <f t="shared" si="136"/>
        <v>1.7967105108548165</v>
      </c>
      <c r="Y825" s="126">
        <f t="shared" si="137"/>
        <v>2.4985939114891584</v>
      </c>
      <c r="Z825" s="126">
        <f t="shared" si="138"/>
        <v>1.5447755947774224</v>
      </c>
      <c r="AA825" s="126">
        <f t="shared" si="139"/>
        <v>1.8933108097218705</v>
      </c>
      <c r="AB825" s="126">
        <f t="shared" si="140"/>
        <v>2.8424683640555646</v>
      </c>
    </row>
    <row r="826" spans="1:28">
      <c r="A826">
        <v>825</v>
      </c>
      <c r="B826" s="119">
        <v>0.26383173296753543</v>
      </c>
      <c r="F826">
        <v>0.2561093329268912</v>
      </c>
      <c r="G826">
        <v>0.58944266626022457</v>
      </c>
      <c r="H826">
        <v>0.92277599959355783</v>
      </c>
      <c r="I826">
        <v>7.0924147741706051E-2</v>
      </c>
      <c r="J826">
        <v>0.40425748107503934</v>
      </c>
      <c r="K826">
        <v>0.73759081440837271</v>
      </c>
      <c r="L826">
        <v>0.18203525885281713</v>
      </c>
      <c r="M826">
        <v>0.5153685921861505</v>
      </c>
      <c r="N826">
        <v>0.84870192551948365</v>
      </c>
      <c r="O826">
        <v>0.29314636996392823</v>
      </c>
      <c r="R826">
        <v>2.5</v>
      </c>
      <c r="S826" s="126">
        <f t="shared" si="131"/>
        <v>1.8776643020929404</v>
      </c>
      <c r="T826" s="126">
        <f t="shared" si="132"/>
        <v>2.2919383184424729</v>
      </c>
      <c r="U826" s="126">
        <f t="shared" si="133"/>
        <v>3.4881664830525505</v>
      </c>
      <c r="V826" s="126">
        <f t="shared" si="134"/>
        <v>1.7032958655760133</v>
      </c>
      <c r="W826" s="126">
        <f t="shared" si="135"/>
        <v>1.8179200368345259</v>
      </c>
      <c r="X826" s="126">
        <f t="shared" si="136"/>
        <v>2.5999337671915455</v>
      </c>
      <c r="Y826" s="126">
        <f t="shared" si="137"/>
        <v>1.7198359006629642</v>
      </c>
      <c r="Z826" s="126">
        <f t="shared" si="138"/>
        <v>2.057898883992701</v>
      </c>
      <c r="AA826" s="126">
        <f t="shared" si="139"/>
        <v>3.0462989095775956</v>
      </c>
      <c r="AB826" s="126">
        <f t="shared" si="140"/>
        <v>2.2439277918339742</v>
      </c>
    </row>
    <row r="827" spans="1:28">
      <c r="A827">
        <v>826</v>
      </c>
      <c r="B827" s="119">
        <v>0.59716506630086874</v>
      </c>
      <c r="F827">
        <v>0.62647970329726155</v>
      </c>
      <c r="G827">
        <v>0.95981303663059481</v>
      </c>
      <c r="H827">
        <v>0.10796118477874309</v>
      </c>
      <c r="I827">
        <v>0.44129451811207637</v>
      </c>
      <c r="J827">
        <v>0.77462785144540969</v>
      </c>
      <c r="K827">
        <v>0.21907229588985416</v>
      </c>
      <c r="L827">
        <v>0.55240562922318748</v>
      </c>
      <c r="M827">
        <v>0.88573896255652074</v>
      </c>
      <c r="N827">
        <v>0.33018340700096527</v>
      </c>
      <c r="O827">
        <v>0.66351674033429864</v>
      </c>
      <c r="R827">
        <v>2.5</v>
      </c>
      <c r="S827" s="126">
        <f t="shared" si="131"/>
        <v>2.684261749359401</v>
      </c>
      <c r="T827" s="126">
        <f t="shared" si="132"/>
        <v>3.9530171620887202</v>
      </c>
      <c r="U827" s="126">
        <f t="shared" si="133"/>
        <v>2.1278702262567446</v>
      </c>
      <c r="V827" s="126">
        <f t="shared" si="134"/>
        <v>2.1093819886747349</v>
      </c>
      <c r="W827" s="126">
        <f t="shared" si="135"/>
        <v>2.843946161479562</v>
      </c>
      <c r="X827" s="126">
        <f t="shared" si="136"/>
        <v>1.9516024643432828</v>
      </c>
      <c r="Y827" s="126">
        <f t="shared" si="137"/>
        <v>2.2512632463056343</v>
      </c>
      <c r="Z827" s="126">
        <f t="shared" si="138"/>
        <v>3.2864156136545652</v>
      </c>
      <c r="AA827" s="126">
        <f t="shared" si="139"/>
        <v>2.4510572145024074</v>
      </c>
      <c r="AB827" s="126">
        <f t="shared" si="140"/>
        <v>2.7417605000904506</v>
      </c>
    </row>
    <row r="828" spans="1:28">
      <c r="A828">
        <v>827</v>
      </c>
      <c r="B828" s="119">
        <v>0.930498399634202</v>
      </c>
      <c r="F828">
        <v>0.9968500736676319</v>
      </c>
      <c r="G828">
        <v>2.3370421175633793E-3</v>
      </c>
      <c r="H828">
        <v>0.33567037545089667</v>
      </c>
      <c r="I828">
        <v>0.66900370878422999</v>
      </c>
      <c r="J828">
        <v>0.11344815322867449</v>
      </c>
      <c r="K828">
        <v>0.44678148656200778</v>
      </c>
      <c r="L828">
        <v>0.78011481989534104</v>
      </c>
      <c r="M828">
        <v>0.2245592643397856</v>
      </c>
      <c r="N828">
        <v>0.55789259767311894</v>
      </c>
      <c r="O828">
        <v>0.8912259310064522</v>
      </c>
      <c r="R828">
        <v>2.5</v>
      </c>
      <c r="S828" s="126">
        <f t="shared" si="131"/>
        <v>4.6713765569489869</v>
      </c>
      <c r="T828" s="126">
        <f t="shared" si="132"/>
        <v>1.176468484331445</v>
      </c>
      <c r="U828" s="126">
        <f t="shared" si="133"/>
        <v>1.4030507474732177</v>
      </c>
      <c r="V828" s="126">
        <f t="shared" si="134"/>
        <v>2.2274734232433038</v>
      </c>
      <c r="W828" s="126">
        <f t="shared" si="135"/>
        <v>1.2845734123912447</v>
      </c>
      <c r="X828" s="126">
        <f t="shared" si="136"/>
        <v>1.6969981396336566</v>
      </c>
      <c r="Y828" s="126">
        <f t="shared" si="137"/>
        <v>2.6518635589123973</v>
      </c>
      <c r="Z828" s="126">
        <f t="shared" si="138"/>
        <v>1.8702749945480921</v>
      </c>
      <c r="AA828" s="126">
        <f t="shared" si="139"/>
        <v>2.2218418963764202</v>
      </c>
      <c r="AB828" s="126">
        <f t="shared" si="140"/>
        <v>3.2954646538647738</v>
      </c>
    </row>
    <row r="829" spans="1:28">
      <c r="A829">
        <v>828</v>
      </c>
      <c r="B829" s="119">
        <v>7.8646547782350237E-2</v>
      </c>
      <c r="F829">
        <v>3.9374079154600408E-2</v>
      </c>
      <c r="G829">
        <v>0.37270741248793371</v>
      </c>
      <c r="H829">
        <v>0.70604074582126708</v>
      </c>
      <c r="I829">
        <v>0.15048519026571153</v>
      </c>
      <c r="J829">
        <v>0.48381852359904481</v>
      </c>
      <c r="K829">
        <v>0.81715185693237802</v>
      </c>
      <c r="L829">
        <v>0.2615963013768226</v>
      </c>
      <c r="M829">
        <v>0.59492963471015592</v>
      </c>
      <c r="N829">
        <v>0.92826296804348918</v>
      </c>
      <c r="O829">
        <v>7.6411116191637457E-2</v>
      </c>
      <c r="R829">
        <v>2.5</v>
      </c>
      <c r="S829" s="126">
        <f t="shared" si="131"/>
        <v>0.96823218595167382</v>
      </c>
      <c r="T829" s="126">
        <f t="shared" si="132"/>
        <v>1.3805556670122172</v>
      </c>
      <c r="U829" s="126">
        <f t="shared" si="133"/>
        <v>2.3025165911866394</v>
      </c>
      <c r="V829" s="126">
        <f t="shared" si="134"/>
        <v>1.4658365343741093</v>
      </c>
      <c r="W829" s="126">
        <f t="shared" si="135"/>
        <v>1.8649930351891479</v>
      </c>
      <c r="X829" s="126">
        <f t="shared" si="136"/>
        <v>2.8451575263616204</v>
      </c>
      <c r="Y829" s="126">
        <f t="shared" si="137"/>
        <v>2.0651250219142385</v>
      </c>
      <c r="Z829" s="126">
        <f t="shared" si="138"/>
        <v>2.3978129258490597</v>
      </c>
      <c r="AA829" s="126">
        <f t="shared" si="139"/>
        <v>3.5735304665274139</v>
      </c>
      <c r="AB829" s="126">
        <f t="shared" si="140"/>
        <v>1.7786221327936609</v>
      </c>
    </row>
    <row r="830" spans="1:28">
      <c r="A830">
        <v>829</v>
      </c>
      <c r="B830" s="119">
        <v>0.41197988111568357</v>
      </c>
      <c r="F830">
        <v>0.40974444952497074</v>
      </c>
      <c r="G830">
        <v>0.74307778285830406</v>
      </c>
      <c r="H830">
        <v>0.18752222730274856</v>
      </c>
      <c r="I830">
        <v>0.52085556063608185</v>
      </c>
      <c r="J830">
        <v>0.85418889396941511</v>
      </c>
      <c r="K830">
        <v>0.29863333841385964</v>
      </c>
      <c r="L830">
        <v>0.63196667174719301</v>
      </c>
      <c r="M830">
        <v>0.96530000508052627</v>
      </c>
      <c r="N830">
        <v>1.4682721129909058E-2</v>
      </c>
      <c r="O830">
        <v>0.34801605446324235</v>
      </c>
      <c r="R830">
        <v>2.5</v>
      </c>
      <c r="S830" s="126">
        <f t="shared" si="131"/>
        <v>2.2300061039991457</v>
      </c>
      <c r="T830" s="126">
        <f t="shared" si="132"/>
        <v>2.8210101275126376</v>
      </c>
      <c r="U830" s="126">
        <f t="shared" si="133"/>
        <v>1.8479167581688121</v>
      </c>
      <c r="V830" s="126">
        <f t="shared" si="134"/>
        <v>2.1336282444719474</v>
      </c>
      <c r="W830" s="126">
        <f t="shared" si="135"/>
        <v>3.1038980040963819</v>
      </c>
      <c r="X830" s="126">
        <f t="shared" si="136"/>
        <v>2.2859756710319616</v>
      </c>
      <c r="Y830" s="126">
        <f t="shared" si="137"/>
        <v>2.5886713860142097</v>
      </c>
      <c r="Z830" s="126">
        <f t="shared" si="138"/>
        <v>3.9604712561800079</v>
      </c>
      <c r="AA830" s="126">
        <f t="shared" si="139"/>
        <v>1.3553958942700737</v>
      </c>
      <c r="AB830" s="126">
        <f t="shared" si="140"/>
        <v>1.5207146835762526</v>
      </c>
    </row>
    <row r="831" spans="1:28">
      <c r="A831">
        <v>830</v>
      </c>
      <c r="B831" s="119">
        <v>0.74531321444901688</v>
      </c>
      <c r="F831">
        <v>0.68134938779657561</v>
      </c>
      <c r="G831">
        <v>0.12579383224102017</v>
      </c>
      <c r="H831">
        <v>0.45912716557435346</v>
      </c>
      <c r="I831">
        <v>0.79246049890768677</v>
      </c>
      <c r="J831">
        <v>0.23690494335213128</v>
      </c>
      <c r="K831">
        <v>0.57023827668546467</v>
      </c>
      <c r="L831">
        <v>0.90357161001879793</v>
      </c>
      <c r="M831">
        <v>5.1719758166946087E-2</v>
      </c>
      <c r="N831">
        <v>0.38505309150027939</v>
      </c>
      <c r="O831">
        <v>0.71838642483361281</v>
      </c>
      <c r="R831">
        <v>2.5</v>
      </c>
      <c r="S831" s="126">
        <f t="shared" si="131"/>
        <v>2.8071004174366214</v>
      </c>
      <c r="T831" s="126">
        <f t="shared" si="132"/>
        <v>1.626941587938675</v>
      </c>
      <c r="U831" s="126">
        <f t="shared" si="133"/>
        <v>1.8947766670747241</v>
      </c>
      <c r="V831" s="126">
        <f t="shared" si="134"/>
        <v>2.7862445500599708</v>
      </c>
      <c r="W831" s="126">
        <f t="shared" si="135"/>
        <v>1.9712947342778777</v>
      </c>
      <c r="X831" s="126">
        <f t="shared" si="136"/>
        <v>2.2984739627597239</v>
      </c>
      <c r="Y831" s="126">
        <f t="shared" si="137"/>
        <v>3.3909738852239837</v>
      </c>
      <c r="Z831" s="126">
        <f t="shared" si="138"/>
        <v>1.5229243320537491</v>
      </c>
      <c r="AA831" s="126">
        <f t="shared" si="139"/>
        <v>1.6861129507088111</v>
      </c>
      <c r="AB831" s="126">
        <f t="shared" si="140"/>
        <v>2.48594737354719</v>
      </c>
    </row>
    <row r="832" spans="1:28">
      <c r="A832">
        <v>831</v>
      </c>
      <c r="B832" s="119">
        <v>0.18975765889346136</v>
      </c>
      <c r="F832">
        <v>0.16283086927805721</v>
      </c>
      <c r="G832">
        <v>0.49616420261139049</v>
      </c>
      <c r="H832">
        <v>0.82949753594472375</v>
      </c>
      <c r="I832">
        <v>0.27394198038916828</v>
      </c>
      <c r="J832">
        <v>0.60727531372250165</v>
      </c>
      <c r="K832">
        <v>0.94060864705583491</v>
      </c>
      <c r="L832">
        <v>8.8756795203983135E-2</v>
      </c>
      <c r="M832">
        <v>0.42209012853731642</v>
      </c>
      <c r="N832">
        <v>0.75542346187064979</v>
      </c>
      <c r="O832">
        <v>0.19986790631509424</v>
      </c>
      <c r="R832">
        <v>2.5</v>
      </c>
      <c r="S832" s="126">
        <f t="shared" si="131"/>
        <v>1.6075400336447405</v>
      </c>
      <c r="T832" s="126">
        <f t="shared" si="132"/>
        <v>1.9617465541931614</v>
      </c>
      <c r="U832" s="126">
        <f t="shared" si="133"/>
        <v>2.9330605813416293</v>
      </c>
      <c r="V832" s="126">
        <f t="shared" si="134"/>
        <v>2.1402333427694806</v>
      </c>
      <c r="W832" s="126">
        <f t="shared" si="135"/>
        <v>2.4619395201244747</v>
      </c>
      <c r="X832" s="126">
        <f t="shared" si="136"/>
        <v>3.685706584620779</v>
      </c>
      <c r="Y832" s="126">
        <f t="shared" si="137"/>
        <v>1.9019617499378891</v>
      </c>
      <c r="Z832" s="126">
        <f t="shared" si="138"/>
        <v>1.9555395610928559</v>
      </c>
      <c r="AA832" s="126">
        <f t="shared" si="139"/>
        <v>2.7150598975016327</v>
      </c>
      <c r="AB832" s="126">
        <f t="shared" si="140"/>
        <v>1.8317581105498348</v>
      </c>
    </row>
    <row r="833" spans="1:28">
      <c r="A833">
        <v>832</v>
      </c>
      <c r="B833" s="119">
        <v>0.52309099222679467</v>
      </c>
      <c r="F833">
        <v>0.53320123964842747</v>
      </c>
      <c r="G833">
        <v>0.86653457298176073</v>
      </c>
      <c r="H833">
        <v>0.31097901742620532</v>
      </c>
      <c r="I833">
        <v>0.64431235075953863</v>
      </c>
      <c r="J833">
        <v>0.97764568409287189</v>
      </c>
      <c r="K833">
        <v>2.7028400142254733E-2</v>
      </c>
      <c r="L833">
        <v>0.36036173347558803</v>
      </c>
      <c r="M833">
        <v>0.69369506680892135</v>
      </c>
      <c r="N833">
        <v>0.13813951125336585</v>
      </c>
      <c r="O833">
        <v>0.47147284458669914</v>
      </c>
      <c r="R833">
        <v>2.5</v>
      </c>
      <c r="S833" s="126">
        <f t="shared" si="131"/>
        <v>2.4869493374003988</v>
      </c>
      <c r="T833" s="126">
        <f t="shared" si="132"/>
        <v>3.327326674641899</v>
      </c>
      <c r="U833" s="126">
        <f t="shared" si="133"/>
        <v>2.4273517458263676</v>
      </c>
      <c r="V833" s="126">
        <f t="shared" si="134"/>
        <v>2.6868983887076077</v>
      </c>
      <c r="W833" s="126">
        <f t="shared" si="135"/>
        <v>4.1678541284943158</v>
      </c>
      <c r="X833" s="126">
        <f t="shared" si="136"/>
        <v>1.6676117585738659</v>
      </c>
      <c r="Y833" s="126">
        <f t="shared" si="137"/>
        <v>1.7050096562600416</v>
      </c>
      <c r="Z833" s="126">
        <f t="shared" si="138"/>
        <v>2.43630406818354</v>
      </c>
      <c r="AA833" s="126">
        <f t="shared" si="139"/>
        <v>1.4882406809626638</v>
      </c>
      <c r="AB833" s="126">
        <f t="shared" si="140"/>
        <v>1.8506879013253459</v>
      </c>
    </row>
    <row r="834" spans="1:28">
      <c r="A834">
        <v>833</v>
      </c>
      <c r="B834" s="119">
        <v>0.85642432556012793</v>
      </c>
      <c r="F834">
        <v>0.8048061779200324</v>
      </c>
      <c r="G834">
        <v>0.24925062236447695</v>
      </c>
      <c r="H834">
        <v>0.5825839556978103</v>
      </c>
      <c r="I834">
        <v>0.91591728903114356</v>
      </c>
      <c r="J834">
        <v>6.4065437179291779E-2</v>
      </c>
      <c r="K834">
        <v>0.39739877051262507</v>
      </c>
      <c r="L834">
        <v>0.73073210384595844</v>
      </c>
      <c r="M834">
        <v>0.17517654829040288</v>
      </c>
      <c r="N834">
        <v>0.50850988162373623</v>
      </c>
      <c r="O834">
        <v>0.84184321495706937</v>
      </c>
      <c r="R834">
        <v>2.5</v>
      </c>
      <c r="S834" s="126">
        <f t="shared" si="131"/>
        <v>3.12666018660707</v>
      </c>
      <c r="T834" s="126">
        <f t="shared" si="132"/>
        <v>2.1749211181439989</v>
      </c>
      <c r="U834" s="126">
        <f t="shared" si="133"/>
        <v>2.4268204545987109</v>
      </c>
      <c r="V834" s="126">
        <f t="shared" si="134"/>
        <v>3.518122966461843</v>
      </c>
      <c r="W834" s="126">
        <f t="shared" si="135"/>
        <v>1.6749912089009584</v>
      </c>
      <c r="X834" s="126">
        <f t="shared" si="136"/>
        <v>1.7890592002425196</v>
      </c>
      <c r="Y834" s="126">
        <f t="shared" si="137"/>
        <v>2.5681842341990722</v>
      </c>
      <c r="Z834" s="126">
        <f t="shared" si="138"/>
        <v>1.6822123072957207</v>
      </c>
      <c r="AA834" s="126">
        <f t="shared" si="139"/>
        <v>2.0248025795498199</v>
      </c>
      <c r="AB834" s="126">
        <f t="shared" si="140"/>
        <v>3.0058940895665933</v>
      </c>
    </row>
    <row r="835" spans="1:28">
      <c r="A835">
        <v>834</v>
      </c>
      <c r="B835" s="119">
        <v>0.30086877000457246</v>
      </c>
      <c r="F835">
        <v>0.28628765940151396</v>
      </c>
      <c r="G835">
        <v>0.61962099273484728</v>
      </c>
      <c r="H835">
        <v>0.95295432606818054</v>
      </c>
      <c r="I835">
        <v>0.10110247421632881</v>
      </c>
      <c r="J835">
        <v>0.4344358075496621</v>
      </c>
      <c r="K835">
        <v>0.76776914088299542</v>
      </c>
      <c r="L835">
        <v>0.21221358532743992</v>
      </c>
      <c r="M835">
        <v>0.54554691866077321</v>
      </c>
      <c r="N835">
        <v>0.87888025199410647</v>
      </c>
      <c r="O835">
        <v>0.323324696438551</v>
      </c>
      <c r="R835">
        <v>2.5</v>
      </c>
      <c r="S835" s="126">
        <f t="shared" si="131"/>
        <v>1.9528235123316307</v>
      </c>
      <c r="T835" s="126">
        <f t="shared" si="132"/>
        <v>2.3943562030914656</v>
      </c>
      <c r="U835" s="126">
        <f t="shared" si="133"/>
        <v>3.7460108246603294</v>
      </c>
      <c r="V835" s="126">
        <f t="shared" si="134"/>
        <v>1.9926094013522864</v>
      </c>
      <c r="W835" s="126">
        <f t="shared" si="135"/>
        <v>2.027045091108314</v>
      </c>
      <c r="X835" s="126">
        <f t="shared" si="136"/>
        <v>2.7838778294977184</v>
      </c>
      <c r="Y835" s="126">
        <f t="shared" si="137"/>
        <v>1.9020837505135513</v>
      </c>
      <c r="Z835" s="126">
        <f t="shared" si="138"/>
        <v>2.2120869939627643</v>
      </c>
      <c r="AA835" s="126">
        <f t="shared" si="139"/>
        <v>3.2380496559124348</v>
      </c>
      <c r="AB835" s="126">
        <f t="shared" si="140"/>
        <v>2.4110648507685757</v>
      </c>
    </row>
    <row r="836" spans="1:28">
      <c r="A836">
        <v>835</v>
      </c>
      <c r="B836" s="119">
        <v>0.63420210333790583</v>
      </c>
      <c r="F836">
        <v>0.65665802977188437</v>
      </c>
      <c r="G836">
        <v>0.98999136310521763</v>
      </c>
      <c r="H836">
        <v>6.4522684550119402E-3</v>
      </c>
      <c r="I836">
        <v>0.33978560178834522</v>
      </c>
      <c r="J836">
        <v>0.67311893512167853</v>
      </c>
      <c r="K836">
        <v>0.11756337956612305</v>
      </c>
      <c r="L836">
        <v>0.45089671289945632</v>
      </c>
      <c r="M836">
        <v>0.78423004623278958</v>
      </c>
      <c r="N836">
        <v>0.22867449067723417</v>
      </c>
      <c r="O836">
        <v>0.56200782401056748</v>
      </c>
      <c r="R836">
        <v>2.5</v>
      </c>
      <c r="S836" s="126">
        <f t="shared" si="131"/>
        <v>2.7509181713744955</v>
      </c>
      <c r="T836" s="126">
        <f t="shared" si="132"/>
        <v>4.4628434553993657</v>
      </c>
      <c r="U836" s="126">
        <f t="shared" si="133"/>
        <v>1.3539756136010852</v>
      </c>
      <c r="V836" s="126">
        <f t="shared" si="134"/>
        <v>1.5015533195299766</v>
      </c>
      <c r="W836" s="126">
        <f t="shared" si="135"/>
        <v>2.2863655251510062</v>
      </c>
      <c r="X836" s="126">
        <f t="shared" si="136"/>
        <v>1.3316062157643218</v>
      </c>
      <c r="Y836" s="126">
        <f t="shared" si="137"/>
        <v>1.7292156005311066</v>
      </c>
      <c r="Z836" s="126">
        <f t="shared" si="138"/>
        <v>2.6795852903760595</v>
      </c>
      <c r="AA836" s="126">
        <f t="shared" si="139"/>
        <v>1.8954798113758304</v>
      </c>
      <c r="AB836" s="126">
        <f t="shared" si="140"/>
        <v>2.2431153203933811</v>
      </c>
    </row>
    <row r="837" spans="1:28">
      <c r="A837">
        <v>836</v>
      </c>
      <c r="B837" s="119">
        <v>0.96753543667123909</v>
      </c>
      <c r="F837">
        <v>0.89534115734390074</v>
      </c>
      <c r="G837">
        <v>4.348930549204897E-2</v>
      </c>
      <c r="H837">
        <v>0.37682263882538225</v>
      </c>
      <c r="I837">
        <v>0.71015597215871562</v>
      </c>
      <c r="J837">
        <v>0.1546004166031601</v>
      </c>
      <c r="K837">
        <v>0.48793374993649336</v>
      </c>
      <c r="L837">
        <v>0.82126708326982656</v>
      </c>
      <c r="M837">
        <v>0.26571152771427115</v>
      </c>
      <c r="N837">
        <v>0.59904486104760446</v>
      </c>
      <c r="O837">
        <v>0.93237819438093772</v>
      </c>
      <c r="R837">
        <v>2.5</v>
      </c>
      <c r="S837" s="126">
        <f t="shared" si="131"/>
        <v>3.4537175141749894</v>
      </c>
      <c r="T837" s="126">
        <f t="shared" si="132"/>
        <v>1.4858748682245051</v>
      </c>
      <c r="U837" s="126">
        <f t="shared" si="133"/>
        <v>1.6496758651979455</v>
      </c>
      <c r="V837" s="126">
        <f t="shared" si="134"/>
        <v>2.447662117221062</v>
      </c>
      <c r="W837" s="126">
        <f t="shared" si="135"/>
        <v>1.5531830051409319</v>
      </c>
      <c r="X837" s="126">
        <f t="shared" si="136"/>
        <v>1.9174068398278989</v>
      </c>
      <c r="Y837" s="126">
        <f t="shared" si="137"/>
        <v>2.8844008993670691</v>
      </c>
      <c r="Z837" s="126">
        <f t="shared" si="138"/>
        <v>2.095238477047642</v>
      </c>
      <c r="AA837" s="126">
        <f t="shared" si="139"/>
        <v>2.4217165059431425</v>
      </c>
      <c r="AB837" s="126">
        <f t="shared" si="140"/>
        <v>3.6109188386244107</v>
      </c>
    </row>
    <row r="838" spans="1:28">
      <c r="A838">
        <v>837</v>
      </c>
      <c r="B838" s="119">
        <v>1.6918152720621856E-2</v>
      </c>
      <c r="F838">
        <v>8.0526342529086012E-2</v>
      </c>
      <c r="G838">
        <v>0.41385967586241929</v>
      </c>
      <c r="H838">
        <v>0.7471930091957526</v>
      </c>
      <c r="I838">
        <v>0.19163745364019713</v>
      </c>
      <c r="J838">
        <v>0.52497078697353039</v>
      </c>
      <c r="K838">
        <v>0.85830412030686365</v>
      </c>
      <c r="L838">
        <v>0.30274856475130818</v>
      </c>
      <c r="M838">
        <v>0.63608189808464155</v>
      </c>
      <c r="N838">
        <v>0.96941523141797481</v>
      </c>
      <c r="O838">
        <v>1.8797947467357617E-2</v>
      </c>
      <c r="R838">
        <v>2.5</v>
      </c>
      <c r="S838" s="126">
        <f t="shared" si="131"/>
        <v>1.2622373314400075</v>
      </c>
      <c r="T838" s="126">
        <f t="shared" si="132"/>
        <v>1.6166287561527146</v>
      </c>
      <c r="U838" s="126">
        <f t="shared" si="133"/>
        <v>2.5233000818738516</v>
      </c>
      <c r="V838" s="126">
        <f t="shared" si="134"/>
        <v>1.7108130422879917</v>
      </c>
      <c r="W838" s="126">
        <f t="shared" si="135"/>
        <v>2.073242109810967</v>
      </c>
      <c r="X838" s="126">
        <f t="shared" si="136"/>
        <v>3.0885275778181147</v>
      </c>
      <c r="Y838" s="126">
        <f t="shared" si="137"/>
        <v>2.2880026214055196</v>
      </c>
      <c r="Z838" s="126">
        <f t="shared" si="138"/>
        <v>2.5987123282361169</v>
      </c>
      <c r="AA838" s="126">
        <f t="shared" si="139"/>
        <v>4.0120868929997648</v>
      </c>
      <c r="AB838" s="126">
        <f t="shared" si="140"/>
        <v>1.4632505303093364</v>
      </c>
    </row>
    <row r="839" spans="1:28">
      <c r="A839">
        <v>838</v>
      </c>
      <c r="B839" s="119">
        <v>0.35025148605395517</v>
      </c>
      <c r="F839">
        <v>0.35213128080069089</v>
      </c>
      <c r="G839">
        <v>0.68546461413402415</v>
      </c>
      <c r="H839">
        <v>0.12990905857846874</v>
      </c>
      <c r="I839">
        <v>0.463242391911802</v>
      </c>
      <c r="J839">
        <v>0.79657572524513531</v>
      </c>
      <c r="K839">
        <v>0.24102016968957984</v>
      </c>
      <c r="L839">
        <v>0.57435350302291321</v>
      </c>
      <c r="M839">
        <v>0.90768683635624647</v>
      </c>
      <c r="N839">
        <v>5.5834984504394648E-2</v>
      </c>
      <c r="O839">
        <v>0.38916831783772793</v>
      </c>
      <c r="R839">
        <v>2.5</v>
      </c>
      <c r="S839" s="126">
        <f t="shared" si="131"/>
        <v>2.1051558021632664</v>
      </c>
      <c r="T839" s="126">
        <f t="shared" si="132"/>
        <v>2.618186145835403</v>
      </c>
      <c r="U839" s="126">
        <f t="shared" si="133"/>
        <v>1.548225733359577</v>
      </c>
      <c r="V839" s="126">
        <f t="shared" si="134"/>
        <v>1.8637627062977866</v>
      </c>
      <c r="W839" s="126">
        <f t="shared" si="135"/>
        <v>2.7825867866552065</v>
      </c>
      <c r="X839" s="126">
        <f t="shared" si="136"/>
        <v>1.9804007634974623</v>
      </c>
      <c r="Y839" s="126">
        <f t="shared" si="137"/>
        <v>2.3117012246987274</v>
      </c>
      <c r="Z839" s="126">
        <f t="shared" si="138"/>
        <v>3.4178048113043884</v>
      </c>
      <c r="AA839" s="126">
        <f t="shared" si="139"/>
        <v>1.5674806297575321</v>
      </c>
      <c r="AB839" s="126">
        <f t="shared" si="140"/>
        <v>1.7173724451449408</v>
      </c>
    </row>
    <row r="840" spans="1:28">
      <c r="A840">
        <v>839</v>
      </c>
      <c r="B840" s="119">
        <v>0.68358481938728843</v>
      </c>
      <c r="F840">
        <v>0.72250165117106135</v>
      </c>
      <c r="G840">
        <v>0.16694609561550577</v>
      </c>
      <c r="H840">
        <v>0.50027942894883903</v>
      </c>
      <c r="I840">
        <v>0.83361276228217229</v>
      </c>
      <c r="J840">
        <v>0.27805720672661682</v>
      </c>
      <c r="K840">
        <v>0.61139054005995019</v>
      </c>
      <c r="L840">
        <v>0.94472387339328345</v>
      </c>
      <c r="M840">
        <v>9.287202154143169E-2</v>
      </c>
      <c r="N840">
        <v>0.42620535487476496</v>
      </c>
      <c r="O840">
        <v>0.75953868820809833</v>
      </c>
      <c r="R840">
        <v>2.5</v>
      </c>
      <c r="S840" s="126">
        <f t="shared" si="131"/>
        <v>2.9050980719236219</v>
      </c>
      <c r="T840" s="126">
        <f t="shared" si="132"/>
        <v>1.8248223667453796</v>
      </c>
      <c r="U840" s="126">
        <f t="shared" si="133"/>
        <v>2.0794608717042897</v>
      </c>
      <c r="V840" s="126">
        <f t="shared" si="134"/>
        <v>3.0057167233915836</v>
      </c>
      <c r="W840" s="126">
        <f t="shared" si="135"/>
        <v>2.186904675352078</v>
      </c>
      <c r="X840" s="126">
        <f t="shared" si="136"/>
        <v>2.4942388503190234</v>
      </c>
      <c r="Y840" s="126">
        <f t="shared" si="137"/>
        <v>3.7314783009415819</v>
      </c>
      <c r="Z840" s="126">
        <f t="shared" si="138"/>
        <v>1.9457314639198462</v>
      </c>
      <c r="AA840" s="126">
        <f t="shared" si="139"/>
        <v>1.9862034591726185</v>
      </c>
      <c r="AB840" s="126">
        <f t="shared" si="140"/>
        <v>2.7413283534668542</v>
      </c>
    </row>
    <row r="841" spans="1:28">
      <c r="A841">
        <v>840</v>
      </c>
      <c r="B841" s="119">
        <v>0.12802926383173296</v>
      </c>
      <c r="F841">
        <v>0.20398313265254281</v>
      </c>
      <c r="G841">
        <v>0.53731646598587601</v>
      </c>
      <c r="H841">
        <v>0.87064979931920927</v>
      </c>
      <c r="I841">
        <v>0.31509424376365386</v>
      </c>
      <c r="J841">
        <v>0.64842757709698717</v>
      </c>
      <c r="K841">
        <v>0.98176091043032043</v>
      </c>
      <c r="L841">
        <v>3.1143626479703295E-2</v>
      </c>
      <c r="M841">
        <v>0.36447695981303657</v>
      </c>
      <c r="N841">
        <v>0.69781029314636989</v>
      </c>
      <c r="O841">
        <v>0.14225473759081442</v>
      </c>
      <c r="R841">
        <v>2.5</v>
      </c>
      <c r="S841" s="126">
        <f t="shared" si="131"/>
        <v>1.7357237002455275</v>
      </c>
      <c r="T841" s="126">
        <f t="shared" si="132"/>
        <v>2.1113655837879599</v>
      </c>
      <c r="U841" s="126">
        <f t="shared" si="133"/>
        <v>3.1544851060480803</v>
      </c>
      <c r="V841" s="126">
        <f t="shared" si="134"/>
        <v>2.3500621525400582</v>
      </c>
      <c r="W841" s="126">
        <f t="shared" si="135"/>
        <v>2.6571823965302639</v>
      </c>
      <c r="X841" s="126">
        <f t="shared" si="136"/>
        <v>4.2223433726413191</v>
      </c>
      <c r="Y841" s="126">
        <f t="shared" si="137"/>
        <v>1.7462476278404924</v>
      </c>
      <c r="Z841" s="126">
        <f t="shared" si="138"/>
        <v>1.753583956844468</v>
      </c>
      <c r="AA841" s="126">
        <f t="shared" si="139"/>
        <v>2.4704183590051176</v>
      </c>
      <c r="AB841" s="126">
        <f t="shared" si="140"/>
        <v>1.52062242190999</v>
      </c>
    </row>
    <row r="842" spans="1:28">
      <c r="A842">
        <v>841</v>
      </c>
      <c r="B842" s="119">
        <v>0.46136259716506628</v>
      </c>
      <c r="F842">
        <v>0.47558807092414768</v>
      </c>
      <c r="G842">
        <v>0.80892140425748094</v>
      </c>
      <c r="H842">
        <v>0.25336584870192547</v>
      </c>
      <c r="I842">
        <v>0.58669918203525884</v>
      </c>
      <c r="J842">
        <v>0.9200325153685921</v>
      </c>
      <c r="K842">
        <v>6.8180663516740334E-2</v>
      </c>
      <c r="L842">
        <v>0.40151399685007361</v>
      </c>
      <c r="M842">
        <v>0.73484733018340698</v>
      </c>
      <c r="N842">
        <v>0.17929177462785145</v>
      </c>
      <c r="O842">
        <v>0.51262510796118477</v>
      </c>
      <c r="R842">
        <v>2.5</v>
      </c>
      <c r="S842" s="126">
        <f t="shared" si="131"/>
        <v>2.3677250435486634</v>
      </c>
      <c r="T842" s="126">
        <f t="shared" si="132"/>
        <v>3.0725622757491333</v>
      </c>
      <c r="U842" s="126">
        <f t="shared" si="133"/>
        <v>2.1583833727169011</v>
      </c>
      <c r="V842" s="126">
        <f t="shared" si="134"/>
        <v>2.4272133830220279</v>
      </c>
      <c r="W842" s="126">
        <f t="shared" si="135"/>
        <v>3.5407283321919918</v>
      </c>
      <c r="X842" s="126">
        <f t="shared" si="136"/>
        <v>1.7127753704377304</v>
      </c>
      <c r="Y842" s="126">
        <f t="shared" si="137"/>
        <v>1.8168382767295306</v>
      </c>
      <c r="Z842" s="126">
        <f t="shared" si="138"/>
        <v>2.5924653310811721</v>
      </c>
      <c r="AA842" s="126">
        <f t="shared" si="139"/>
        <v>1.7074784742427749</v>
      </c>
      <c r="AB842" s="126">
        <f t="shared" si="140"/>
        <v>2.046012473623986</v>
      </c>
    </row>
    <row r="843" spans="1:28">
      <c r="A843">
        <v>842</v>
      </c>
      <c r="B843" s="119">
        <v>0.79469593049839959</v>
      </c>
      <c r="F843">
        <v>0.84595844129451792</v>
      </c>
      <c r="G843">
        <v>0.2904028857389625</v>
      </c>
      <c r="H843">
        <v>0.62373621907229582</v>
      </c>
      <c r="I843">
        <v>0.95706955240562908</v>
      </c>
      <c r="J843">
        <v>0.10521770055377737</v>
      </c>
      <c r="K843">
        <v>0.43855103388711064</v>
      </c>
      <c r="L843">
        <v>0.77188436722044396</v>
      </c>
      <c r="M843">
        <v>0.21632881166488849</v>
      </c>
      <c r="N843">
        <v>0.54966214499822175</v>
      </c>
      <c r="O843">
        <v>0.88299547833155501</v>
      </c>
      <c r="R843">
        <v>2.5</v>
      </c>
      <c r="S843" s="126">
        <f t="shared" si="131"/>
        <v>3.2589068859307071</v>
      </c>
      <c r="T843" s="126">
        <f t="shared" si="132"/>
        <v>2.344192783187105</v>
      </c>
      <c r="U843" s="126">
        <f t="shared" si="133"/>
        <v>2.599985042405188</v>
      </c>
      <c r="V843" s="126">
        <f t="shared" si="134"/>
        <v>3.8851957409637352</v>
      </c>
      <c r="W843" s="126">
        <f t="shared" si="135"/>
        <v>2.0814727873095098</v>
      </c>
      <c r="X843" s="126">
        <f t="shared" si="136"/>
        <v>2.0803253832716457</v>
      </c>
      <c r="Y843" s="126">
        <f t="shared" si="137"/>
        <v>2.821830173494591</v>
      </c>
      <c r="Z843" s="126">
        <f t="shared" si="138"/>
        <v>1.9327983021287052</v>
      </c>
      <c r="AA843" s="126">
        <f t="shared" si="139"/>
        <v>2.2360933423506064</v>
      </c>
      <c r="AB843" s="126">
        <f t="shared" si="140"/>
        <v>3.2671783348931749</v>
      </c>
    </row>
    <row r="844" spans="1:28">
      <c r="A844">
        <v>843</v>
      </c>
      <c r="B844" s="119">
        <v>0.23914037494284407</v>
      </c>
      <c r="F844">
        <v>0.32743992277599954</v>
      </c>
      <c r="G844">
        <v>0.66077325610933291</v>
      </c>
      <c r="H844">
        <v>0.99410658944266617</v>
      </c>
      <c r="I844">
        <v>1.05674947924605E-2</v>
      </c>
      <c r="J844">
        <v>0.34390082812579381</v>
      </c>
      <c r="K844">
        <v>0.67723416145912707</v>
      </c>
      <c r="L844">
        <v>0.12167860590357162</v>
      </c>
      <c r="M844">
        <v>0.45501193923690492</v>
      </c>
      <c r="N844">
        <v>0.78834527257023812</v>
      </c>
      <c r="O844">
        <v>0.23278971701468271</v>
      </c>
      <c r="R844">
        <v>2.5</v>
      </c>
      <c r="S844" s="126">
        <f t="shared" si="131"/>
        <v>2.049547306855235</v>
      </c>
      <c r="T844" s="126">
        <f t="shared" si="132"/>
        <v>2.5337708862112911</v>
      </c>
      <c r="U844" s="126">
        <f t="shared" si="133"/>
        <v>4.5124291066769562</v>
      </c>
      <c r="V844" s="126">
        <f t="shared" si="134"/>
        <v>1.5280448681131609</v>
      </c>
      <c r="W844" s="126">
        <f t="shared" si="135"/>
        <v>1.5982850177579824</v>
      </c>
      <c r="X844" s="126">
        <f t="shared" si="136"/>
        <v>2.3444157288917356</v>
      </c>
      <c r="Y844" s="126">
        <f t="shared" si="137"/>
        <v>1.3777890311515339</v>
      </c>
      <c r="Z844" s="126">
        <f t="shared" si="138"/>
        <v>1.7609948608763779</v>
      </c>
      <c r="AA844" s="126">
        <f t="shared" si="139"/>
        <v>2.7072149596178896</v>
      </c>
      <c r="AB844" s="126">
        <f t="shared" si="140"/>
        <v>1.9205250145938337</v>
      </c>
    </row>
    <row r="845" spans="1:28">
      <c r="A845">
        <v>844</v>
      </c>
      <c r="B845" s="119">
        <v>0.5724737082761775</v>
      </c>
      <c r="F845">
        <v>0.56612305034801602</v>
      </c>
      <c r="G845">
        <v>0.89945638368134928</v>
      </c>
      <c r="H845">
        <v>4.7604531829497532E-2</v>
      </c>
      <c r="I845">
        <v>0.38093786516283085</v>
      </c>
      <c r="J845">
        <v>0.71427119849616416</v>
      </c>
      <c r="K845">
        <v>0.15871564294060864</v>
      </c>
      <c r="L845">
        <v>0.49204897627394195</v>
      </c>
      <c r="M845">
        <v>0.8253823096072751</v>
      </c>
      <c r="N845">
        <v>0.26982675405171974</v>
      </c>
      <c r="O845">
        <v>0.603160087385053</v>
      </c>
      <c r="R845">
        <v>2.5</v>
      </c>
      <c r="S845" s="126">
        <f t="shared" si="131"/>
        <v>2.555566685455315</v>
      </c>
      <c r="T845" s="126">
        <f t="shared" si="132"/>
        <v>3.5006291748303182</v>
      </c>
      <c r="U845" s="126">
        <f t="shared" si="133"/>
        <v>1.5449338896354108</v>
      </c>
      <c r="V845" s="126">
        <f t="shared" si="134"/>
        <v>1.6882815187175413</v>
      </c>
      <c r="W845" s="126">
        <f t="shared" si="135"/>
        <v>2.4770170966781508</v>
      </c>
      <c r="X845" s="126">
        <f t="shared" si="136"/>
        <v>1.5820820537258489</v>
      </c>
      <c r="Y845" s="126">
        <f t="shared" si="137"/>
        <v>1.9404423126049295</v>
      </c>
      <c r="Z845" s="126">
        <f t="shared" si="138"/>
        <v>2.9090671134086188</v>
      </c>
      <c r="AA845" s="126">
        <f t="shared" si="139"/>
        <v>2.1179441822848393</v>
      </c>
      <c r="AB845" s="126">
        <f t="shared" si="140"/>
        <v>2.4419204007077631</v>
      </c>
    </row>
    <row r="846" spans="1:28">
      <c r="A846">
        <v>845</v>
      </c>
      <c r="B846" s="119">
        <v>0.90580704160951075</v>
      </c>
      <c r="F846">
        <v>0.93649342071838626</v>
      </c>
      <c r="G846">
        <v>8.4641568866534581E-2</v>
      </c>
      <c r="H846">
        <v>0.41797490219986788</v>
      </c>
      <c r="I846">
        <v>0.75130823553320114</v>
      </c>
      <c r="J846">
        <v>0.19575267997764567</v>
      </c>
      <c r="K846">
        <v>0.52908601331097893</v>
      </c>
      <c r="L846">
        <v>0.86241934664431219</v>
      </c>
      <c r="M846">
        <v>0.30686379108875678</v>
      </c>
      <c r="N846">
        <v>0.64019712442209009</v>
      </c>
      <c r="O846">
        <v>0.97353045775542335</v>
      </c>
      <c r="R846">
        <v>2.5</v>
      </c>
      <c r="S846" s="126">
        <f t="shared" si="131"/>
        <v>3.6768613305619171</v>
      </c>
      <c r="T846" s="126">
        <f t="shared" si="132"/>
        <v>1.8760213784529867</v>
      </c>
      <c r="U846" s="126">
        <f t="shared" si="133"/>
        <v>1.9338187599901433</v>
      </c>
      <c r="V846" s="126">
        <f t="shared" si="134"/>
        <v>2.6933841976929802</v>
      </c>
      <c r="W846" s="126">
        <f t="shared" si="135"/>
        <v>1.8086589883550581</v>
      </c>
      <c r="X846" s="126">
        <f t="shared" si="136"/>
        <v>2.1309471941495408</v>
      </c>
      <c r="Y846" s="126">
        <f t="shared" si="137"/>
        <v>3.1328074725873778</v>
      </c>
      <c r="Z846" s="126">
        <f t="shared" si="138"/>
        <v>2.3199506257907547</v>
      </c>
      <c r="AA846" s="126">
        <f t="shared" si="139"/>
        <v>2.6238260693908457</v>
      </c>
      <c r="AB846" s="126">
        <f t="shared" si="140"/>
        <v>4.0767947700607383</v>
      </c>
    </row>
    <row r="847" spans="1:28">
      <c r="A847">
        <v>846</v>
      </c>
      <c r="B847" s="119">
        <v>5.3955189757658895E-2</v>
      </c>
      <c r="F847">
        <v>2.2913173804806175E-2</v>
      </c>
      <c r="G847">
        <v>0.35624650713813949</v>
      </c>
      <c r="H847">
        <v>0.68957984047147269</v>
      </c>
      <c r="I847">
        <v>0.13402428491591728</v>
      </c>
      <c r="J847">
        <v>0.46735761824925059</v>
      </c>
      <c r="K847">
        <v>0.80069095158258385</v>
      </c>
      <c r="L847">
        <v>0.24513539602702838</v>
      </c>
      <c r="M847">
        <v>0.57846872936036176</v>
      </c>
      <c r="N847">
        <v>0.91180206269369501</v>
      </c>
      <c r="O847">
        <v>5.995021084184321E-2</v>
      </c>
      <c r="R847">
        <v>2.5</v>
      </c>
      <c r="S847" s="126">
        <f t="shared" si="131"/>
        <v>0.77111068245179015</v>
      </c>
      <c r="T847" s="126">
        <f t="shared" si="132"/>
        <v>1.2453406477913218</v>
      </c>
      <c r="U847" s="126">
        <f t="shared" si="133"/>
        <v>2.1956310100098575</v>
      </c>
      <c r="V847" s="126">
        <f t="shared" si="134"/>
        <v>1.3517297666228414</v>
      </c>
      <c r="W847" s="126">
        <f t="shared" si="135"/>
        <v>1.7735442935635735</v>
      </c>
      <c r="X847" s="126">
        <f t="shared" si="136"/>
        <v>2.7493177373261406</v>
      </c>
      <c r="Y847" s="126">
        <f t="shared" si="137"/>
        <v>1.9745230032039938</v>
      </c>
      <c r="Z847" s="126">
        <f t="shared" si="138"/>
        <v>2.3174146766776977</v>
      </c>
      <c r="AA847" s="126">
        <f t="shared" si="139"/>
        <v>3.4415366507490166</v>
      </c>
      <c r="AB847" s="126">
        <f t="shared" si="140"/>
        <v>1.6087216507388682</v>
      </c>
    </row>
    <row r="848" spans="1:28">
      <c r="A848">
        <v>847</v>
      </c>
      <c r="B848" s="119">
        <v>0.38728852309099221</v>
      </c>
      <c r="F848">
        <v>0.39328354417517652</v>
      </c>
      <c r="G848">
        <v>0.7266168775085099</v>
      </c>
      <c r="H848">
        <v>0.17106132195295431</v>
      </c>
      <c r="I848">
        <v>0.50439465528628757</v>
      </c>
      <c r="J848">
        <v>0.83772798861962083</v>
      </c>
      <c r="K848">
        <v>0.28217243306406542</v>
      </c>
      <c r="L848">
        <v>0.61550576639739873</v>
      </c>
      <c r="M848">
        <v>0.94883909973073199</v>
      </c>
      <c r="N848">
        <v>9.6987247878880259E-2</v>
      </c>
      <c r="O848">
        <v>0.43032058121221356</v>
      </c>
      <c r="R848">
        <v>2.5</v>
      </c>
      <c r="S848" s="126">
        <f t="shared" si="131"/>
        <v>2.194895436392057</v>
      </c>
      <c r="T848" s="126">
        <f t="shared" si="132"/>
        <v>2.7619169959095053</v>
      </c>
      <c r="U848" s="126">
        <f t="shared" si="133"/>
        <v>1.7663237895842834</v>
      </c>
      <c r="V848" s="126">
        <f t="shared" si="134"/>
        <v>2.0585677651937155</v>
      </c>
      <c r="W848" s="126">
        <f t="shared" si="135"/>
        <v>3.0089260227573069</v>
      </c>
      <c r="X848" s="126">
        <f t="shared" si="136"/>
        <v>2.1985989655338081</v>
      </c>
      <c r="Y848" s="126">
        <f t="shared" si="137"/>
        <v>2.5089856230788943</v>
      </c>
      <c r="Z848" s="126">
        <f t="shared" si="138"/>
        <v>3.7702196012424931</v>
      </c>
      <c r="AA848" s="126">
        <f t="shared" si="139"/>
        <v>1.9852980705562504</v>
      </c>
      <c r="AB848" s="126">
        <f t="shared" si="140"/>
        <v>2.0147379714455496</v>
      </c>
    </row>
    <row r="849" spans="1:28">
      <c r="A849">
        <v>848</v>
      </c>
      <c r="B849" s="119">
        <v>0.72062185642432564</v>
      </c>
      <c r="F849">
        <v>0.76365391454554687</v>
      </c>
      <c r="G849">
        <v>0.20809835898999135</v>
      </c>
      <c r="H849">
        <v>0.54143169232332455</v>
      </c>
      <c r="I849">
        <v>0.87476502565665781</v>
      </c>
      <c r="J849">
        <v>0.31920947010110245</v>
      </c>
      <c r="K849">
        <v>0.65254280343443571</v>
      </c>
      <c r="L849">
        <v>0.98587613676776897</v>
      </c>
      <c r="M849">
        <v>3.5258852817151853E-2</v>
      </c>
      <c r="N849">
        <v>0.36859218615048517</v>
      </c>
      <c r="O849">
        <v>0.70192551948381843</v>
      </c>
      <c r="R849">
        <v>2.5</v>
      </c>
      <c r="S849" s="126">
        <f t="shared" si="131"/>
        <v>3.0105209477439741</v>
      </c>
      <c r="T849" s="126">
        <f t="shared" si="132"/>
        <v>2.0042221681532437</v>
      </c>
      <c r="U849" s="126">
        <f t="shared" si="133"/>
        <v>2.2548627226992539</v>
      </c>
      <c r="V849" s="126">
        <f t="shared" si="134"/>
        <v>3.2428887514336835</v>
      </c>
      <c r="W849" s="126">
        <f t="shared" si="135"/>
        <v>2.4040211206263962</v>
      </c>
      <c r="X849" s="126">
        <f t="shared" si="136"/>
        <v>2.693470606660231</v>
      </c>
      <c r="Y849" s="126">
        <f t="shared" si="137"/>
        <v>4.3249356817311995</v>
      </c>
      <c r="Z849" s="126">
        <f t="shared" si="138"/>
        <v>1.8437309035618941</v>
      </c>
      <c r="AA849" s="126">
        <f t="shared" si="139"/>
        <v>1.8115966695977863</v>
      </c>
      <c r="AB849" s="126">
        <f t="shared" si="140"/>
        <v>2.509335875151006</v>
      </c>
    </row>
    <row r="850" spans="1:28">
      <c r="A850">
        <v>849</v>
      </c>
      <c r="B850" s="119">
        <v>0.16506630086877</v>
      </c>
      <c r="F850">
        <v>0.14636996392826296</v>
      </c>
      <c r="G850">
        <v>0.47970329726159627</v>
      </c>
      <c r="H850">
        <v>0.81303663059492948</v>
      </c>
      <c r="I850">
        <v>0.25748107503937406</v>
      </c>
      <c r="J850">
        <v>0.59081440837270738</v>
      </c>
      <c r="K850">
        <v>0.92414774170604064</v>
      </c>
      <c r="L850">
        <v>7.2295889854188902E-2</v>
      </c>
      <c r="M850">
        <v>0.4056292231875222</v>
      </c>
      <c r="N850">
        <v>0.73896255652085552</v>
      </c>
      <c r="O850">
        <v>0.18340700096529999</v>
      </c>
      <c r="R850">
        <v>2.5</v>
      </c>
      <c r="S850" s="126">
        <f t="shared" si="131"/>
        <v>1.5504306483652071</v>
      </c>
      <c r="T850" s="126">
        <f t="shared" si="132"/>
        <v>1.8989930015975067</v>
      </c>
      <c r="U850" s="126">
        <f t="shared" si="133"/>
        <v>2.8495256908277846</v>
      </c>
      <c r="V850" s="126">
        <f t="shared" si="134"/>
        <v>2.0568464887721021</v>
      </c>
      <c r="W850" s="126">
        <f t="shared" si="135"/>
        <v>2.384905916650411</v>
      </c>
      <c r="X850" s="126">
        <f t="shared" si="136"/>
        <v>3.5427622297038344</v>
      </c>
      <c r="Y850" s="126">
        <f t="shared" si="137"/>
        <v>1.7390164595013464</v>
      </c>
      <c r="Z850" s="126">
        <f t="shared" si="138"/>
        <v>1.8387925071800661</v>
      </c>
      <c r="AA850" s="126">
        <f t="shared" si="139"/>
        <v>2.6139005258762129</v>
      </c>
      <c r="AB850" s="126">
        <f t="shared" si="140"/>
        <v>1.731127074946146</v>
      </c>
    </row>
    <row r="851" spans="1:28">
      <c r="A851">
        <v>850</v>
      </c>
      <c r="B851" s="119">
        <v>0.49839963420210331</v>
      </c>
      <c r="F851">
        <v>0.51674033429863331</v>
      </c>
      <c r="G851">
        <v>0.85007366763196646</v>
      </c>
      <c r="H851">
        <v>0.2945181120764111</v>
      </c>
      <c r="I851">
        <v>0.62785144540974436</v>
      </c>
      <c r="J851">
        <v>0.96118477874307762</v>
      </c>
      <c r="K851">
        <v>0.10933292689122594</v>
      </c>
      <c r="L851">
        <v>0.44266626022455924</v>
      </c>
      <c r="M851">
        <v>0.7759995935578925</v>
      </c>
      <c r="N851">
        <v>0.22044403800233703</v>
      </c>
      <c r="O851">
        <v>0.55377737133567029</v>
      </c>
      <c r="R851">
        <v>2.5</v>
      </c>
      <c r="S851" s="126">
        <f t="shared" si="131"/>
        <v>2.4528476918736781</v>
      </c>
      <c r="T851" s="126">
        <f t="shared" si="132"/>
        <v>3.2496395917837222</v>
      </c>
      <c r="U851" s="126">
        <f t="shared" si="133"/>
        <v>2.3494119611045736</v>
      </c>
      <c r="V851" s="126">
        <f t="shared" si="134"/>
        <v>2.6115654125843029</v>
      </c>
      <c r="W851" s="126">
        <f t="shared" si="135"/>
        <v>3.9297451063353499</v>
      </c>
      <c r="X851" s="126">
        <f t="shared" si="136"/>
        <v>2.1222444940964258</v>
      </c>
      <c r="Y851" s="126">
        <f t="shared" si="137"/>
        <v>2.1094208959428582</v>
      </c>
      <c r="Z851" s="126">
        <f t="shared" si="138"/>
        <v>2.8477411852090841</v>
      </c>
      <c r="AA851" s="126">
        <f t="shared" si="139"/>
        <v>1.9573333962788395</v>
      </c>
      <c r="AB851" s="126">
        <f t="shared" si="140"/>
        <v>2.2570050217086255</v>
      </c>
    </row>
    <row r="852" spans="1:28">
      <c r="A852">
        <v>851</v>
      </c>
      <c r="B852" s="119">
        <v>0.83173296753543657</v>
      </c>
      <c r="F852">
        <v>0.88711070466900355</v>
      </c>
      <c r="G852">
        <v>0.33155514911344813</v>
      </c>
      <c r="H852">
        <v>0.66488848244678145</v>
      </c>
      <c r="I852">
        <v>0.99822181578011471</v>
      </c>
      <c r="J852">
        <v>3.7087842300462326E-3</v>
      </c>
      <c r="K852">
        <v>0.33704211756337954</v>
      </c>
      <c r="L852">
        <v>0.67037545089671291</v>
      </c>
      <c r="M852">
        <v>0.11481989534115734</v>
      </c>
      <c r="N852">
        <v>0.44815322867449064</v>
      </c>
      <c r="O852">
        <v>0.78148656200782396</v>
      </c>
      <c r="R852">
        <v>2.5</v>
      </c>
      <c r="S852" s="126">
        <f t="shared" si="131"/>
        <v>3.4173116802410126</v>
      </c>
      <c r="T852" s="126">
        <f t="shared" si="132"/>
        <v>2.5199664601818239</v>
      </c>
      <c r="U852" s="126">
        <f t="shared" si="133"/>
        <v>2.7794970024733598</v>
      </c>
      <c r="V852" s="126">
        <f t="shared" si="134"/>
        <v>4.9630320501237959</v>
      </c>
      <c r="W852" s="126">
        <f t="shared" si="135"/>
        <v>1.4477521729102949</v>
      </c>
      <c r="X852" s="126">
        <f t="shared" si="136"/>
        <v>1.54249863380382</v>
      </c>
      <c r="Y852" s="126">
        <f t="shared" si="137"/>
        <v>2.3006829235467965</v>
      </c>
      <c r="Z852" s="126">
        <f t="shared" si="138"/>
        <v>1.3272289454404764</v>
      </c>
      <c r="AA852" s="126">
        <f t="shared" si="139"/>
        <v>1.7212976827009343</v>
      </c>
      <c r="AB852" s="126">
        <f t="shared" si="140"/>
        <v>2.6679056594294388</v>
      </c>
    </row>
    <row r="853" spans="1:28">
      <c r="A853">
        <v>852</v>
      </c>
      <c r="B853" s="119">
        <v>0.2761774119798811</v>
      </c>
      <c r="F853">
        <v>0.22593100645226843</v>
      </c>
      <c r="G853">
        <v>0.55926433978560186</v>
      </c>
      <c r="H853">
        <v>0.89259767311893512</v>
      </c>
      <c r="I853">
        <v>4.074582126708326E-2</v>
      </c>
      <c r="J853">
        <v>0.37407915460041657</v>
      </c>
      <c r="K853">
        <v>0.70741248793375</v>
      </c>
      <c r="L853">
        <v>0.15185693237819436</v>
      </c>
      <c r="M853">
        <v>0.48519026571152768</v>
      </c>
      <c r="N853">
        <v>0.81852359904486094</v>
      </c>
      <c r="O853">
        <v>0.26296804348930547</v>
      </c>
      <c r="R853">
        <v>2.5</v>
      </c>
      <c r="S853" s="126">
        <f t="shared" si="131"/>
        <v>1.7977185266986317</v>
      </c>
      <c r="T853" s="126">
        <f t="shared" si="132"/>
        <v>2.1882420112081937</v>
      </c>
      <c r="U853" s="126">
        <f t="shared" si="133"/>
        <v>3.2846707255623206</v>
      </c>
      <c r="V853" s="126">
        <f t="shared" si="134"/>
        <v>1.3757221428640114</v>
      </c>
      <c r="W853" s="126">
        <f t="shared" si="135"/>
        <v>1.5883479032882881</v>
      </c>
      <c r="X853" s="126">
        <f t="shared" si="136"/>
        <v>2.4102410088836859</v>
      </c>
      <c r="Y853" s="126">
        <f t="shared" si="137"/>
        <v>1.5248063218575632</v>
      </c>
      <c r="Z853" s="126">
        <f t="shared" si="138"/>
        <v>1.8974694245498063</v>
      </c>
      <c r="AA853" s="126">
        <f t="shared" si="139"/>
        <v>2.8657598227946997</v>
      </c>
      <c r="AB853" s="126">
        <f t="shared" si="140"/>
        <v>2.0789521919664073</v>
      </c>
    </row>
    <row r="854" spans="1:28">
      <c r="A854">
        <v>853</v>
      </c>
      <c r="B854" s="119">
        <v>0.60951074531321447</v>
      </c>
      <c r="F854">
        <v>0.59630137682263884</v>
      </c>
      <c r="G854">
        <v>0.9296347101559721</v>
      </c>
      <c r="H854">
        <v>7.7782858304120309E-2</v>
      </c>
      <c r="I854">
        <v>0.41111619163745361</v>
      </c>
      <c r="J854">
        <v>0.74444952497078698</v>
      </c>
      <c r="K854">
        <v>0.1888939694152314</v>
      </c>
      <c r="L854">
        <v>0.52222730274856477</v>
      </c>
      <c r="M854">
        <v>0.85556063608189803</v>
      </c>
      <c r="N854">
        <v>0.3000050805263425</v>
      </c>
      <c r="O854">
        <v>0.63333841385967593</v>
      </c>
      <c r="R854">
        <v>2.5</v>
      </c>
      <c r="S854" s="126">
        <f t="shared" si="131"/>
        <v>2.6193014057706363</v>
      </c>
      <c r="T854" s="126">
        <f t="shared" si="132"/>
        <v>3.6931813023052937</v>
      </c>
      <c r="U854" s="126">
        <f t="shared" si="133"/>
        <v>1.8465854602479093</v>
      </c>
      <c r="V854" s="126">
        <f t="shared" si="134"/>
        <v>1.9045096372484678</v>
      </c>
      <c r="W854" s="126">
        <f t="shared" si="135"/>
        <v>2.660930164294828</v>
      </c>
      <c r="X854" s="126">
        <f t="shared" si="136"/>
        <v>1.7716543185054809</v>
      </c>
      <c r="Y854" s="126">
        <f t="shared" si="137"/>
        <v>2.0981389166807811</v>
      </c>
      <c r="Z854" s="126">
        <f t="shared" si="138"/>
        <v>3.0910222310715145</v>
      </c>
      <c r="AA854" s="126">
        <f t="shared" si="139"/>
        <v>2.2827617224856862</v>
      </c>
      <c r="AB854" s="126">
        <f t="shared" si="140"/>
        <v>2.5900597065911688</v>
      </c>
    </row>
    <row r="855" spans="1:28">
      <c r="A855">
        <v>854</v>
      </c>
      <c r="B855" s="119">
        <v>0.94284407864654773</v>
      </c>
      <c r="F855">
        <v>0.96667174719300919</v>
      </c>
      <c r="G855">
        <v>1.605446324239191E-2</v>
      </c>
      <c r="H855">
        <v>0.34938779657572522</v>
      </c>
      <c r="I855">
        <v>0.68272112990905853</v>
      </c>
      <c r="J855">
        <v>0.12716557435350301</v>
      </c>
      <c r="K855">
        <v>0.46049890768683632</v>
      </c>
      <c r="L855">
        <v>0.79383224102016969</v>
      </c>
      <c r="M855">
        <v>0.23827668546461411</v>
      </c>
      <c r="N855">
        <v>0.57161001879794759</v>
      </c>
      <c r="O855">
        <v>0.90494335213128085</v>
      </c>
      <c r="R855">
        <v>2.5</v>
      </c>
      <c r="S855" s="126">
        <f t="shared" si="131"/>
        <v>3.9308966854580421</v>
      </c>
      <c r="T855" s="126">
        <f t="shared" si="132"/>
        <v>1.369806858993786</v>
      </c>
      <c r="U855" s="126">
        <f t="shared" si="133"/>
        <v>1.5310163645861721</v>
      </c>
      <c r="V855" s="126">
        <f t="shared" si="134"/>
        <v>2.3232615499959057</v>
      </c>
      <c r="W855" s="126">
        <f t="shared" si="135"/>
        <v>1.3892154771510401</v>
      </c>
      <c r="X855" s="126">
        <f t="shared" si="136"/>
        <v>1.7781460315131179</v>
      </c>
      <c r="Y855" s="126">
        <f t="shared" si="137"/>
        <v>2.7315868828083394</v>
      </c>
      <c r="Z855" s="126">
        <f t="shared" si="138"/>
        <v>1.9474834058645452</v>
      </c>
      <c r="AA855" s="126">
        <f t="shared" si="139"/>
        <v>2.2893880822699311</v>
      </c>
      <c r="AB855" s="126">
        <f t="shared" si="140"/>
        <v>3.3930631643361107</v>
      </c>
    </row>
    <row r="856" spans="1:28">
      <c r="A856">
        <v>855</v>
      </c>
      <c r="B856" s="119">
        <v>9.0992226794695916E-2</v>
      </c>
      <c r="F856">
        <v>5.3091500279428938E-2</v>
      </c>
      <c r="G856">
        <v>0.38642483361276225</v>
      </c>
      <c r="H856">
        <v>0.71975816694609573</v>
      </c>
      <c r="I856">
        <v>0.16420261139054004</v>
      </c>
      <c r="J856">
        <v>0.49753594472387336</v>
      </c>
      <c r="K856">
        <v>0.83086927805720667</v>
      </c>
      <c r="L856">
        <v>0.27531372250165115</v>
      </c>
      <c r="M856">
        <v>0.60864705583498457</v>
      </c>
      <c r="N856">
        <v>0.94198038916831783</v>
      </c>
      <c r="O856">
        <v>9.0128537316465987E-2</v>
      </c>
      <c r="R856">
        <v>2.5</v>
      </c>
      <c r="S856" s="126">
        <f t="shared" si="131"/>
        <v>1.0856888581498543</v>
      </c>
      <c r="T856" s="126">
        <f t="shared" si="132"/>
        <v>1.4693166125746959</v>
      </c>
      <c r="U856" s="126">
        <f t="shared" si="133"/>
        <v>2.3803412253604117</v>
      </c>
      <c r="V856" s="126">
        <f t="shared" si="134"/>
        <v>1.5519841846247906</v>
      </c>
      <c r="W856" s="126">
        <f t="shared" si="135"/>
        <v>1.9366603058295968</v>
      </c>
      <c r="X856" s="126">
        <f t="shared" si="136"/>
        <v>2.9249263852816725</v>
      </c>
      <c r="Y856" s="126">
        <f t="shared" si="137"/>
        <v>2.1395381588640756</v>
      </c>
      <c r="Z856" s="126">
        <f t="shared" si="138"/>
        <v>2.464534643702001</v>
      </c>
      <c r="AA856" s="126">
        <f t="shared" si="139"/>
        <v>3.6966728926986354</v>
      </c>
      <c r="AB856" s="126">
        <f t="shared" si="140"/>
        <v>1.9144729932531845</v>
      </c>
    </row>
    <row r="857" spans="1:28">
      <c r="A857">
        <v>856</v>
      </c>
      <c r="B857" s="119">
        <v>0.42432556012802924</v>
      </c>
      <c r="F857">
        <v>0.42346187064979929</v>
      </c>
      <c r="G857">
        <v>0.75679520398313271</v>
      </c>
      <c r="H857">
        <v>0.20123964842757708</v>
      </c>
      <c r="I857">
        <v>0.53457298176091039</v>
      </c>
      <c r="J857">
        <v>0.86790631509424365</v>
      </c>
      <c r="K857">
        <v>0.31235075953868818</v>
      </c>
      <c r="L857">
        <v>0.64568409287202155</v>
      </c>
      <c r="M857">
        <v>0.97901742620535481</v>
      </c>
      <c r="N857">
        <v>2.8400142254737588E-2</v>
      </c>
      <c r="O857">
        <v>0.3617334755880709</v>
      </c>
      <c r="R857">
        <v>2.5</v>
      </c>
      <c r="S857" s="126">
        <f t="shared" si="131"/>
        <v>2.2590039401583026</v>
      </c>
      <c r="T857" s="126">
        <f t="shared" si="132"/>
        <v>2.871188957388461</v>
      </c>
      <c r="U857" s="126">
        <f t="shared" si="133"/>
        <v>1.9142631869185236</v>
      </c>
      <c r="V857" s="126">
        <f t="shared" si="134"/>
        <v>2.1954043226616529</v>
      </c>
      <c r="W857" s="126">
        <f t="shared" si="135"/>
        <v>3.1860669559853672</v>
      </c>
      <c r="X857" s="126">
        <f t="shared" si="136"/>
        <v>2.3595541743793151</v>
      </c>
      <c r="Y857" s="126">
        <f t="shared" si="137"/>
        <v>2.6558623737944345</v>
      </c>
      <c r="Z857" s="126">
        <f t="shared" si="138"/>
        <v>4.1740962207725678</v>
      </c>
      <c r="AA857" s="126">
        <f t="shared" si="139"/>
        <v>1.6885124385009789</v>
      </c>
      <c r="AB857" s="126">
        <f t="shared" si="140"/>
        <v>1.7185355360167343</v>
      </c>
    </row>
    <row r="858" spans="1:28">
      <c r="A858">
        <v>857</v>
      </c>
      <c r="B858" s="119">
        <v>0.75765889346136261</v>
      </c>
      <c r="F858">
        <v>0.69506680892140427</v>
      </c>
      <c r="G858">
        <v>0.13951125336584869</v>
      </c>
      <c r="H858">
        <v>0.472844586699182</v>
      </c>
      <c r="I858">
        <v>0.80617792003251532</v>
      </c>
      <c r="J858">
        <v>0.25062236447695979</v>
      </c>
      <c r="K858">
        <v>0.58395569781029322</v>
      </c>
      <c r="L858">
        <v>0.91728903114362648</v>
      </c>
      <c r="M858">
        <v>6.543717929177463E-2</v>
      </c>
      <c r="N858">
        <v>0.39877051262510793</v>
      </c>
      <c r="O858">
        <v>0.73210384595844136</v>
      </c>
      <c r="R858">
        <v>2.5</v>
      </c>
      <c r="S858" s="126">
        <f t="shared" si="131"/>
        <v>2.8390933496646937</v>
      </c>
      <c r="T858" s="126">
        <f t="shared" si="132"/>
        <v>1.6957950692710617</v>
      </c>
      <c r="U858" s="126">
        <f t="shared" si="133"/>
        <v>1.9578476957451831</v>
      </c>
      <c r="V858" s="126">
        <f t="shared" si="134"/>
        <v>2.8582844104887095</v>
      </c>
      <c r="W858" s="126">
        <f t="shared" si="135"/>
        <v>2.0435963421377679</v>
      </c>
      <c r="X858" s="126">
        <f t="shared" si="136"/>
        <v>2.363716046232113</v>
      </c>
      <c r="Y858" s="126">
        <f t="shared" si="137"/>
        <v>3.49378235203889</v>
      </c>
      <c r="Z858" s="126">
        <f t="shared" si="138"/>
        <v>1.6717076877553607</v>
      </c>
      <c r="AA858" s="126">
        <f t="shared" si="139"/>
        <v>1.7903411459822656</v>
      </c>
      <c r="AB858" s="126">
        <f t="shared" si="140"/>
        <v>2.5722594229952267</v>
      </c>
    </row>
    <row r="859" spans="1:28">
      <c r="A859">
        <v>858</v>
      </c>
      <c r="B859" s="119">
        <v>0.20210333790580703</v>
      </c>
      <c r="F859">
        <v>0.17654829040288572</v>
      </c>
      <c r="G859">
        <v>0.50988162373621915</v>
      </c>
      <c r="H859">
        <v>0.8432149570695523</v>
      </c>
      <c r="I859">
        <v>0.28765940151399683</v>
      </c>
      <c r="J859">
        <v>0.6209927348473302</v>
      </c>
      <c r="K859">
        <v>0.95432606818066346</v>
      </c>
      <c r="L859">
        <v>0.10247421632881167</v>
      </c>
      <c r="M859">
        <v>0.43580754966214497</v>
      </c>
      <c r="N859">
        <v>0.76914088299547834</v>
      </c>
      <c r="O859">
        <v>0.21358532743992276</v>
      </c>
      <c r="R859">
        <v>2.5</v>
      </c>
      <c r="S859" s="126">
        <f t="shared" si="131"/>
        <v>1.6523184128468706</v>
      </c>
      <c r="T859" s="126">
        <f t="shared" si="132"/>
        <v>2.0126146948015697</v>
      </c>
      <c r="U859" s="126">
        <f t="shared" si="133"/>
        <v>3.004467358749439</v>
      </c>
      <c r="V859" s="126">
        <f t="shared" si="134"/>
        <v>2.2096904787522602</v>
      </c>
      <c r="W859" s="126">
        <f t="shared" si="135"/>
        <v>2.5264297694399622</v>
      </c>
      <c r="X859" s="126">
        <f t="shared" si="136"/>
        <v>3.8240457801692864</v>
      </c>
      <c r="Y859" s="126">
        <f t="shared" si="137"/>
        <v>2.0381939148406119</v>
      </c>
      <c r="Z859" s="126">
        <f t="shared" si="138"/>
        <v>2.0528299911405399</v>
      </c>
      <c r="AA859" s="126">
        <f t="shared" si="139"/>
        <v>2.8005494858721667</v>
      </c>
      <c r="AB859" s="126">
        <f t="shared" si="140"/>
        <v>1.9143573079086993</v>
      </c>
    </row>
    <row r="860" spans="1:28">
      <c r="A860">
        <v>859</v>
      </c>
      <c r="B860" s="119">
        <v>0.53543667123914029</v>
      </c>
      <c r="F860">
        <v>0.54691866077325613</v>
      </c>
      <c r="G860">
        <v>0.88025199410658939</v>
      </c>
      <c r="H860">
        <v>0.32469643855103386</v>
      </c>
      <c r="I860">
        <v>0.65802977188436729</v>
      </c>
      <c r="J860">
        <v>0.99136310521770055</v>
      </c>
      <c r="K860">
        <v>7.8240105674947935E-3</v>
      </c>
      <c r="L860">
        <v>0.34115734390082808</v>
      </c>
      <c r="M860">
        <v>0.67449067723416145</v>
      </c>
      <c r="N860">
        <v>0.1189351216786059</v>
      </c>
      <c r="O860">
        <v>0.45226845501193919</v>
      </c>
      <c r="R860">
        <v>2.5</v>
      </c>
      <c r="S860" s="126">
        <f t="shared" si="131"/>
        <v>2.5154549285179306</v>
      </c>
      <c r="T860" s="126">
        <f t="shared" si="132"/>
        <v>3.3961639765313008</v>
      </c>
      <c r="U860" s="126">
        <f t="shared" si="133"/>
        <v>2.4936806088143104</v>
      </c>
      <c r="V860" s="126">
        <f t="shared" si="134"/>
        <v>2.750820753639549</v>
      </c>
      <c r="W860" s="126">
        <f t="shared" si="135"/>
        <v>4.5079966340593627</v>
      </c>
      <c r="X860" s="126">
        <f t="shared" si="136"/>
        <v>1.4338858398123326</v>
      </c>
      <c r="Y860" s="126">
        <f t="shared" si="137"/>
        <v>1.5448023964705768</v>
      </c>
      <c r="Z860" s="126">
        <f t="shared" si="138"/>
        <v>2.3112413610663052</v>
      </c>
      <c r="AA860" s="126">
        <f t="shared" si="139"/>
        <v>1.3498237626070093</v>
      </c>
      <c r="AB860" s="126">
        <f t="shared" si="140"/>
        <v>1.741228840094724</v>
      </c>
    </row>
    <row r="861" spans="1:28">
      <c r="A861">
        <v>860</v>
      </c>
      <c r="B861" s="119">
        <v>0.86877000457247355</v>
      </c>
      <c r="F861">
        <v>0.7856017883452725</v>
      </c>
      <c r="G861">
        <v>0.230046232789717</v>
      </c>
      <c r="H861">
        <v>0.5633795661230504</v>
      </c>
      <c r="I861">
        <v>0.89671289945638366</v>
      </c>
      <c r="J861">
        <v>4.4861047604531822E-2</v>
      </c>
      <c r="K861">
        <v>0.37819438093786512</v>
      </c>
      <c r="L861">
        <v>0.71152771427119854</v>
      </c>
      <c r="M861">
        <v>0.15597215871564293</v>
      </c>
      <c r="N861">
        <v>0.48930549204897622</v>
      </c>
      <c r="O861">
        <v>0.82263882538230948</v>
      </c>
      <c r="R861">
        <v>2.5</v>
      </c>
      <c r="S861" s="126">
        <f t="shared" si="131"/>
        <v>3.0708528377663695</v>
      </c>
      <c r="T861" s="126">
        <f t="shared" si="132"/>
        <v>2.0958627702254438</v>
      </c>
      <c r="U861" s="126">
        <f t="shared" si="133"/>
        <v>2.3466993601234933</v>
      </c>
      <c r="V861" s="126">
        <f t="shared" si="134"/>
        <v>3.3829353162417082</v>
      </c>
      <c r="W861" s="126">
        <f t="shared" si="135"/>
        <v>1.4624160800768664</v>
      </c>
      <c r="X861" s="126">
        <f t="shared" si="136"/>
        <v>1.6408629902147434</v>
      </c>
      <c r="Y861" s="126">
        <f t="shared" si="137"/>
        <v>2.4465425705520474</v>
      </c>
      <c r="Z861" s="126">
        <f t="shared" si="138"/>
        <v>1.5573626557032763</v>
      </c>
      <c r="AA861" s="126">
        <f t="shared" si="139"/>
        <v>1.9223447196174541</v>
      </c>
      <c r="AB861" s="126">
        <f t="shared" si="140"/>
        <v>2.891224175931856</v>
      </c>
    </row>
    <row r="862" spans="1:28">
      <c r="A862">
        <v>861</v>
      </c>
      <c r="B862" s="119">
        <v>0.31321444901691814</v>
      </c>
      <c r="F862">
        <v>0.26708326982675401</v>
      </c>
      <c r="G862">
        <v>0.60041660316008738</v>
      </c>
      <c r="H862">
        <v>0.93374993649342064</v>
      </c>
      <c r="I862">
        <v>8.1898084641568863E-2</v>
      </c>
      <c r="J862">
        <v>0.41523141797490215</v>
      </c>
      <c r="K862">
        <v>0.74856475130823552</v>
      </c>
      <c r="L862">
        <v>0.19300919575267997</v>
      </c>
      <c r="M862">
        <v>0.52634252908601331</v>
      </c>
      <c r="N862">
        <v>0.85967586241934657</v>
      </c>
      <c r="O862">
        <v>0.30412030686379105</v>
      </c>
      <c r="R862">
        <v>2.5</v>
      </c>
      <c r="S862" s="126">
        <f t="shared" si="131"/>
        <v>1.9054836273598768</v>
      </c>
      <c r="T862" s="126">
        <f t="shared" si="132"/>
        <v>2.3292737266626249</v>
      </c>
      <c r="U862" s="126">
        <f t="shared" si="133"/>
        <v>3.5731799129048363</v>
      </c>
      <c r="V862" s="126">
        <f t="shared" si="134"/>
        <v>1.8091421492890918</v>
      </c>
      <c r="W862" s="126">
        <f t="shared" si="135"/>
        <v>1.8944060043437969</v>
      </c>
      <c r="X862" s="126">
        <f t="shared" si="136"/>
        <v>2.6664554566135603</v>
      </c>
      <c r="Y862" s="126">
        <f t="shared" si="137"/>
        <v>1.7869013264534235</v>
      </c>
      <c r="Z862" s="126">
        <f t="shared" si="138"/>
        <v>2.1143259934934386</v>
      </c>
      <c r="AA862" s="126">
        <f t="shared" si="139"/>
        <v>3.1142348671159867</v>
      </c>
      <c r="AB862" s="126">
        <f t="shared" si="140"/>
        <v>2.3041605568954764</v>
      </c>
    </row>
    <row r="863" spans="1:28">
      <c r="A863">
        <v>862</v>
      </c>
      <c r="B863" s="119">
        <v>0.64654778235025145</v>
      </c>
      <c r="F863">
        <v>0.63745364019712447</v>
      </c>
      <c r="G863">
        <v>0.97078697353045773</v>
      </c>
      <c r="H863">
        <v>2.0169689579840472E-2</v>
      </c>
      <c r="I863">
        <v>0.35350302291317376</v>
      </c>
      <c r="J863">
        <v>0.68683635624650707</v>
      </c>
      <c r="K863">
        <v>0.13128080069095158</v>
      </c>
      <c r="L863">
        <v>0.46461413402428486</v>
      </c>
      <c r="M863">
        <v>0.79794746735761823</v>
      </c>
      <c r="N863">
        <v>0.24239191180206268</v>
      </c>
      <c r="O863">
        <v>0.57572524513539614</v>
      </c>
      <c r="R863">
        <v>2.5</v>
      </c>
      <c r="S863" s="126">
        <f t="shared" si="131"/>
        <v>2.7082772045677181</v>
      </c>
      <c r="T863" s="126">
        <f t="shared" si="132"/>
        <v>4.0838312816354438</v>
      </c>
      <c r="U863" s="126">
        <f t="shared" si="133"/>
        <v>1.5232092447887289</v>
      </c>
      <c r="V863" s="126">
        <f t="shared" si="134"/>
        <v>1.6172665115153915</v>
      </c>
      <c r="W863" s="126">
        <f t="shared" si="135"/>
        <v>2.3761629332474143</v>
      </c>
      <c r="X863" s="126">
        <f t="shared" si="136"/>
        <v>1.4319163609641157</v>
      </c>
      <c r="Y863" s="126">
        <f t="shared" si="137"/>
        <v>1.8081532972616525</v>
      </c>
      <c r="Z863" s="126">
        <f t="shared" si="138"/>
        <v>2.7586460095223804</v>
      </c>
      <c r="AA863" s="126">
        <f t="shared" si="139"/>
        <v>1.9719936040098145</v>
      </c>
      <c r="AB863" s="126">
        <f t="shared" si="140"/>
        <v>2.3103630469823431</v>
      </c>
    </row>
    <row r="864" spans="1:28">
      <c r="A864">
        <v>863</v>
      </c>
      <c r="B864" s="119">
        <v>0.97988111568358471</v>
      </c>
      <c r="F864">
        <v>0.90905857846872939</v>
      </c>
      <c r="G864">
        <v>5.72067266168775E-2</v>
      </c>
      <c r="H864">
        <v>0.39054005995021079</v>
      </c>
      <c r="I864">
        <v>0.72387339328354428</v>
      </c>
      <c r="J864">
        <v>0.16831783772798861</v>
      </c>
      <c r="K864">
        <v>0.50165117106132195</v>
      </c>
      <c r="L864">
        <v>0.83498450439465521</v>
      </c>
      <c r="M864">
        <v>0.27942894883909969</v>
      </c>
      <c r="N864">
        <v>0.61276228217243311</v>
      </c>
      <c r="O864">
        <v>0.94609561550576637</v>
      </c>
      <c r="R864">
        <v>2.5</v>
      </c>
      <c r="S864" s="126">
        <f t="shared" si="131"/>
        <v>3.51931906825354</v>
      </c>
      <c r="T864" s="126">
        <f t="shared" si="132"/>
        <v>1.6284562394193096</v>
      </c>
      <c r="U864" s="126">
        <f t="shared" si="133"/>
        <v>1.7509679517394945</v>
      </c>
      <c r="V864" s="126">
        <f t="shared" si="134"/>
        <v>2.5320144386183459</v>
      </c>
      <c r="W864" s="126">
        <f t="shared" si="135"/>
        <v>1.6418220714610847</v>
      </c>
      <c r="X864" s="126">
        <f t="shared" si="136"/>
        <v>1.9903209645449311</v>
      </c>
      <c r="Y864" s="126">
        <f t="shared" si="137"/>
        <v>2.9654603971328513</v>
      </c>
      <c r="Z864" s="126">
        <f t="shared" si="138"/>
        <v>2.1700402687013516</v>
      </c>
      <c r="AA864" s="126">
        <f t="shared" si="139"/>
        <v>2.4887161591175442</v>
      </c>
      <c r="AB864" s="126">
        <f t="shared" si="140"/>
        <v>3.7389340500509189</v>
      </c>
    </row>
    <row r="865" spans="1:28">
      <c r="A865">
        <v>864</v>
      </c>
      <c r="B865" s="119">
        <v>2.9263831732967534E-2</v>
      </c>
      <c r="F865">
        <v>9.4243763653914542E-2</v>
      </c>
      <c r="G865">
        <v>0.42757709698724783</v>
      </c>
      <c r="H865">
        <v>0.76091043032058125</v>
      </c>
      <c r="I865">
        <v>0.20535487476502565</v>
      </c>
      <c r="J865">
        <v>0.53868820809835893</v>
      </c>
      <c r="K865">
        <v>0.87202154143169219</v>
      </c>
      <c r="L865">
        <v>0.31646598587613672</v>
      </c>
      <c r="M865">
        <v>0.64979931920947009</v>
      </c>
      <c r="N865">
        <v>0.98313265254280335</v>
      </c>
      <c r="O865">
        <v>3.2515368592186143E-2</v>
      </c>
      <c r="R865">
        <v>2.5</v>
      </c>
      <c r="S865" s="126">
        <f t="shared" si="131"/>
        <v>1.3335605250803884</v>
      </c>
      <c r="T865" s="126">
        <f t="shared" si="132"/>
        <v>1.6814109518364293</v>
      </c>
      <c r="U865" s="126">
        <f t="shared" si="133"/>
        <v>2.5917809714735318</v>
      </c>
      <c r="V865" s="126">
        <f t="shared" si="134"/>
        <v>1.7858387412307881</v>
      </c>
      <c r="W865" s="126">
        <f t="shared" si="135"/>
        <v>2.1394023719901494</v>
      </c>
      <c r="X865" s="126">
        <f t="shared" si="136"/>
        <v>3.1739631768078729</v>
      </c>
      <c r="Y865" s="126">
        <f t="shared" si="137"/>
        <v>2.3630334241576629</v>
      </c>
      <c r="Z865" s="126">
        <f t="shared" si="138"/>
        <v>2.6667535327474301</v>
      </c>
      <c r="AA865" s="126">
        <f t="shared" si="139"/>
        <v>4.2532767695354128</v>
      </c>
      <c r="AB865" s="126">
        <f t="shared" si="140"/>
        <v>1.77762977859547</v>
      </c>
    </row>
    <row r="866" spans="1:28">
      <c r="A866">
        <v>865</v>
      </c>
      <c r="B866" s="119">
        <v>0.36259716506630085</v>
      </c>
      <c r="F866">
        <v>0.36584870192551944</v>
      </c>
      <c r="G866">
        <v>0.69918203525885281</v>
      </c>
      <c r="H866">
        <v>0.14362647970329726</v>
      </c>
      <c r="I866">
        <v>0.47695981303663054</v>
      </c>
      <c r="J866">
        <v>0.81029314636996386</v>
      </c>
      <c r="K866">
        <v>0.25473759081440833</v>
      </c>
      <c r="L866">
        <v>0.58807092414774176</v>
      </c>
      <c r="M866">
        <v>0.92140425748107502</v>
      </c>
      <c r="N866">
        <v>6.9552405629223185E-2</v>
      </c>
      <c r="O866">
        <v>0.40288573896255647</v>
      </c>
      <c r="R866">
        <v>2.5</v>
      </c>
      <c r="S866" s="126">
        <f t="shared" si="131"/>
        <v>2.1354295161043986</v>
      </c>
      <c r="T866" s="126">
        <f t="shared" si="132"/>
        <v>2.6655806674295843</v>
      </c>
      <c r="U866" s="126">
        <f t="shared" si="133"/>
        <v>1.6237231705679964</v>
      </c>
      <c r="V866" s="126">
        <f t="shared" si="134"/>
        <v>1.9301493678876382</v>
      </c>
      <c r="W866" s="126">
        <f t="shared" si="135"/>
        <v>2.8568008018475988</v>
      </c>
      <c r="X866" s="126">
        <f t="shared" si="136"/>
        <v>2.0534719904190668</v>
      </c>
      <c r="Y866" s="126">
        <f t="shared" si="137"/>
        <v>2.3773909520288932</v>
      </c>
      <c r="Z866" s="126">
        <f t="shared" si="138"/>
        <v>3.523350253911663</v>
      </c>
      <c r="AA866" s="126">
        <f t="shared" si="139"/>
        <v>1.7125745005022075</v>
      </c>
      <c r="AB866" s="126">
        <f t="shared" si="140"/>
        <v>1.8196616727313113</v>
      </c>
    </row>
    <row r="867" spans="1:28">
      <c r="A867">
        <v>866</v>
      </c>
      <c r="B867" s="119">
        <v>0.69593049839963417</v>
      </c>
      <c r="F867">
        <v>0.7362190722958899</v>
      </c>
      <c r="G867">
        <v>0.18066351674033429</v>
      </c>
      <c r="H867">
        <v>0.51399685007366769</v>
      </c>
      <c r="I867">
        <v>0.84733018340700084</v>
      </c>
      <c r="J867">
        <v>0.29177462785144537</v>
      </c>
      <c r="K867">
        <v>0.62510796118477874</v>
      </c>
      <c r="L867">
        <v>0.958441294518112</v>
      </c>
      <c r="M867">
        <v>0.10658944266626022</v>
      </c>
      <c r="N867">
        <v>0.43992277599959351</v>
      </c>
      <c r="O867">
        <v>0.77325610933292688</v>
      </c>
      <c r="R867">
        <v>2.5</v>
      </c>
      <c r="S867" s="126">
        <f t="shared" si="131"/>
        <v>2.9392801939810966</v>
      </c>
      <c r="T867" s="126">
        <f t="shared" si="132"/>
        <v>1.8860997604177219</v>
      </c>
      <c r="U867" s="126">
        <f t="shared" si="133"/>
        <v>2.138625144667345</v>
      </c>
      <c r="V867" s="126">
        <f t="shared" si="134"/>
        <v>3.0820616127040665</v>
      </c>
      <c r="W867" s="126">
        <f t="shared" si="135"/>
        <v>2.2586098476926613</v>
      </c>
      <c r="X867" s="126">
        <f t="shared" si="136"/>
        <v>2.5599533374154135</v>
      </c>
      <c r="Y867" s="126">
        <f t="shared" si="137"/>
        <v>3.8776375035955777</v>
      </c>
      <c r="Z867" s="126">
        <f t="shared" si="138"/>
        <v>2.0838578045696661</v>
      </c>
      <c r="AA867" s="126">
        <f t="shared" si="139"/>
        <v>2.0843934733284248</v>
      </c>
      <c r="AB867" s="126">
        <f t="shared" si="140"/>
        <v>2.8276244535931401</v>
      </c>
    </row>
    <row r="868" spans="1:28">
      <c r="A868">
        <v>867</v>
      </c>
      <c r="B868" s="119">
        <v>0.14037494284407864</v>
      </c>
      <c r="F868">
        <v>0.21770055377737133</v>
      </c>
      <c r="G868">
        <v>0.55103388711070467</v>
      </c>
      <c r="H868">
        <v>0.88436722044403793</v>
      </c>
      <c r="I868">
        <v>0.3288116648884824</v>
      </c>
      <c r="J868">
        <v>0.66214499822181583</v>
      </c>
      <c r="K868">
        <v>0.99547833155514909</v>
      </c>
      <c r="L868">
        <v>1.1939236904943354E-2</v>
      </c>
      <c r="M868">
        <v>0.34527257023827668</v>
      </c>
      <c r="N868">
        <v>0.67860590357160999</v>
      </c>
      <c r="O868">
        <v>0.12305034801605447</v>
      </c>
      <c r="R868">
        <v>2.5</v>
      </c>
      <c r="S868" s="126">
        <f t="shared" si="131"/>
        <v>1.7748977782063744</v>
      </c>
      <c r="T868" s="126">
        <f t="shared" si="132"/>
        <v>2.1595913692252013</v>
      </c>
      <c r="U868" s="126">
        <f t="shared" si="133"/>
        <v>3.2345104190864937</v>
      </c>
      <c r="V868" s="126">
        <f t="shared" si="134"/>
        <v>2.4218435835658738</v>
      </c>
      <c r="W868" s="126">
        <f t="shared" si="135"/>
        <v>2.7239799322918823</v>
      </c>
      <c r="X868" s="126">
        <f t="shared" si="136"/>
        <v>4.6838671556309279</v>
      </c>
      <c r="Y868" s="126">
        <f t="shared" si="137"/>
        <v>1.6525507481184274</v>
      </c>
      <c r="Z868" s="126">
        <f t="shared" si="138"/>
        <v>1.6639338835306261</v>
      </c>
      <c r="AA868" s="126">
        <f t="shared" si="139"/>
        <v>2.380566131113806</v>
      </c>
      <c r="AB868" s="126">
        <f t="shared" si="140"/>
        <v>1.4015370896426553</v>
      </c>
    </row>
    <row r="869" spans="1:28">
      <c r="A869">
        <v>868</v>
      </c>
      <c r="B869" s="119">
        <v>0.47370827617741196</v>
      </c>
      <c r="F869">
        <v>0.45638368134938778</v>
      </c>
      <c r="G869">
        <v>0.78971701468272104</v>
      </c>
      <c r="H869">
        <v>0.23416145912716554</v>
      </c>
      <c r="I869">
        <v>0.56749479246049894</v>
      </c>
      <c r="J869">
        <v>0.9008281257938322</v>
      </c>
      <c r="K869">
        <v>4.8976273941980383E-2</v>
      </c>
      <c r="L869">
        <v>0.38230960727531371</v>
      </c>
      <c r="M869">
        <v>0.71564294060864708</v>
      </c>
      <c r="N869">
        <v>0.16008738505309147</v>
      </c>
      <c r="O869">
        <v>0.49342071838642482</v>
      </c>
      <c r="R869">
        <v>2.5</v>
      </c>
      <c r="S869" s="126">
        <f t="shared" si="131"/>
        <v>2.3278717404075047</v>
      </c>
      <c r="T869" s="126">
        <f t="shared" si="132"/>
        <v>2.9960424691202481</v>
      </c>
      <c r="U869" s="126">
        <f t="shared" si="133"/>
        <v>2.0693847860948722</v>
      </c>
      <c r="V869" s="126">
        <f t="shared" si="134"/>
        <v>2.3420159414806108</v>
      </c>
      <c r="W869" s="126">
        <f t="shared" si="135"/>
        <v>3.3997522059609118</v>
      </c>
      <c r="X869" s="126">
        <f t="shared" si="136"/>
        <v>1.5055129402683201</v>
      </c>
      <c r="Y869" s="126">
        <f t="shared" si="137"/>
        <v>1.6714362067834772</v>
      </c>
      <c r="Z869" s="126">
        <f t="shared" si="138"/>
        <v>2.4718829879808446</v>
      </c>
      <c r="AA869" s="126">
        <f t="shared" si="139"/>
        <v>1.5841631405113681</v>
      </c>
      <c r="AB869" s="126">
        <f t="shared" si="140"/>
        <v>1.9443247701377739</v>
      </c>
    </row>
    <row r="870" spans="1:28">
      <c r="A870">
        <v>869</v>
      </c>
      <c r="B870" s="119">
        <v>0.80704160951074522</v>
      </c>
      <c r="F870">
        <v>0.82675405171975802</v>
      </c>
      <c r="G870">
        <v>0.27119849616420261</v>
      </c>
      <c r="H870">
        <v>0.60453182949753592</v>
      </c>
      <c r="I870">
        <v>0.93786516283086918</v>
      </c>
      <c r="J870">
        <v>8.6013310979017432E-2</v>
      </c>
      <c r="K870">
        <v>0.41934664431235075</v>
      </c>
      <c r="L870">
        <v>0.75267997764568406</v>
      </c>
      <c r="M870">
        <v>0.19712442209012851</v>
      </c>
      <c r="N870">
        <v>0.53045775542346185</v>
      </c>
      <c r="O870">
        <v>0.86379108875679511</v>
      </c>
      <c r="R870">
        <v>2.5</v>
      </c>
      <c r="S870" s="126">
        <f t="shared" si="131"/>
        <v>3.1947070683050609</v>
      </c>
      <c r="T870" s="126">
        <f t="shared" si="132"/>
        <v>2.2649254144382791</v>
      </c>
      <c r="U870" s="126">
        <f t="shared" si="133"/>
        <v>2.5187292429215162</v>
      </c>
      <c r="V870" s="126">
        <f t="shared" si="134"/>
        <v>3.6954379695679238</v>
      </c>
      <c r="W870" s="126">
        <f t="shared" si="135"/>
        <v>1.8926080706104009</v>
      </c>
      <c r="X870" s="126">
        <f t="shared" si="136"/>
        <v>1.9450516778292612</v>
      </c>
      <c r="Y870" s="126">
        <f t="shared" si="137"/>
        <v>2.7026054757544928</v>
      </c>
      <c r="Z870" s="126">
        <f t="shared" si="138"/>
        <v>1.8173789945161547</v>
      </c>
      <c r="AA870" s="126">
        <f t="shared" si="139"/>
        <v>2.1381738251723563</v>
      </c>
      <c r="AB870" s="126">
        <f t="shared" si="140"/>
        <v>3.1416011537514104</v>
      </c>
    </row>
    <row r="871" spans="1:28">
      <c r="A871">
        <v>870</v>
      </c>
      <c r="B871" s="119">
        <v>0.25148605395518975</v>
      </c>
      <c r="F871">
        <v>0.30823553320123964</v>
      </c>
      <c r="G871">
        <v>0.64156886653457301</v>
      </c>
      <c r="H871">
        <v>0.97490219986790627</v>
      </c>
      <c r="I871">
        <v>2.428491591728903E-2</v>
      </c>
      <c r="J871">
        <v>0.35761824925062236</v>
      </c>
      <c r="K871">
        <v>0.69095158258395561</v>
      </c>
      <c r="L871">
        <v>0.13539602702840012</v>
      </c>
      <c r="M871">
        <v>0.46872936036173346</v>
      </c>
      <c r="N871">
        <v>0.80206269369506678</v>
      </c>
      <c r="O871">
        <v>0.24650713813951122</v>
      </c>
      <c r="R871">
        <v>2.5</v>
      </c>
      <c r="S871" s="126">
        <f t="shared" si="131"/>
        <v>2.0051197655922923</v>
      </c>
      <c r="T871" s="126">
        <f t="shared" si="132"/>
        <v>2.4686188670154361</v>
      </c>
      <c r="U871" s="126">
        <f t="shared" si="133"/>
        <v>4.0176556405295933</v>
      </c>
      <c r="V871" s="126">
        <f t="shared" si="134"/>
        <v>1.5542080878036391</v>
      </c>
      <c r="W871" s="126">
        <f t="shared" si="135"/>
        <v>1.641958639928923</v>
      </c>
      <c r="X871" s="126">
        <f t="shared" si="136"/>
        <v>2.3981794264509944</v>
      </c>
      <c r="Y871" s="126">
        <f t="shared" si="137"/>
        <v>1.4587493589878648</v>
      </c>
      <c r="Z871" s="126">
        <f t="shared" si="138"/>
        <v>1.8301775065612125</v>
      </c>
      <c r="AA871" s="126">
        <f t="shared" si="139"/>
        <v>2.7818397559491688</v>
      </c>
      <c r="AB871" s="126">
        <f t="shared" si="140"/>
        <v>1.9944611548684685</v>
      </c>
    </row>
    <row r="872" spans="1:28">
      <c r="A872">
        <v>871</v>
      </c>
      <c r="B872" s="119">
        <v>0.58481938728852312</v>
      </c>
      <c r="F872">
        <v>0.57984047147284468</v>
      </c>
      <c r="G872">
        <v>0.91317380480617794</v>
      </c>
      <c r="H872">
        <v>6.1321952954326062E-2</v>
      </c>
      <c r="I872">
        <v>0.39465528628765939</v>
      </c>
      <c r="J872">
        <v>0.72798861962099282</v>
      </c>
      <c r="K872">
        <v>0.17243306406543715</v>
      </c>
      <c r="L872">
        <v>0.5057663973987705</v>
      </c>
      <c r="M872">
        <v>0.83909973073210375</v>
      </c>
      <c r="N872">
        <v>0.28354417517654829</v>
      </c>
      <c r="O872">
        <v>0.61687750850988166</v>
      </c>
      <c r="R872">
        <v>2.5</v>
      </c>
      <c r="S872" s="126">
        <f t="shared" si="131"/>
        <v>2.5844125846306039</v>
      </c>
      <c r="T872" s="126">
        <f t="shared" si="132"/>
        <v>3.5828441082681546</v>
      </c>
      <c r="U872" s="126">
        <f t="shared" si="133"/>
        <v>1.6891628634520193</v>
      </c>
      <c r="V872" s="126">
        <f t="shared" si="134"/>
        <v>1.7903092033472676</v>
      </c>
      <c r="W872" s="126">
        <f t="shared" si="135"/>
        <v>2.561976881530347</v>
      </c>
      <c r="X872" s="126">
        <f t="shared" si="136"/>
        <v>1.6702757873006848</v>
      </c>
      <c r="Y872" s="126">
        <f t="shared" si="137"/>
        <v>2.0131303021907399</v>
      </c>
      <c r="Z872" s="126">
        <f t="shared" si="138"/>
        <v>2.9907093723107199</v>
      </c>
      <c r="AA872" s="126">
        <f t="shared" si="139"/>
        <v>2.1927879135717476</v>
      </c>
      <c r="AB872" s="126">
        <f t="shared" si="140"/>
        <v>2.5090275806087847</v>
      </c>
    </row>
    <row r="873" spans="1:28">
      <c r="A873">
        <v>872</v>
      </c>
      <c r="B873" s="119">
        <v>0.91815272062185638</v>
      </c>
      <c r="F873">
        <v>0.95021084184321492</v>
      </c>
      <c r="G873">
        <v>9.835898999136311E-2</v>
      </c>
      <c r="H873">
        <v>0.43169232332469643</v>
      </c>
      <c r="I873">
        <v>0.7650256566580298</v>
      </c>
      <c r="J873">
        <v>0.20947010110247419</v>
      </c>
      <c r="K873">
        <v>0.54280343443580747</v>
      </c>
      <c r="L873">
        <v>0.87613676776914073</v>
      </c>
      <c r="M873">
        <v>0.32058121221358532</v>
      </c>
      <c r="N873">
        <v>0.65391454554691864</v>
      </c>
      <c r="O873">
        <v>0.98724787888025189</v>
      </c>
      <c r="R873">
        <v>2.5</v>
      </c>
      <c r="S873" s="126">
        <f t="shared" si="131"/>
        <v>3.7765917058540737</v>
      </c>
      <c r="T873" s="126">
        <f t="shared" si="132"/>
        <v>1.9950596504934861</v>
      </c>
      <c r="U873" s="126">
        <f t="shared" si="133"/>
        <v>2.0225233391279072</v>
      </c>
      <c r="V873" s="126">
        <f t="shared" si="134"/>
        <v>2.7742172570957275</v>
      </c>
      <c r="W873" s="126">
        <f t="shared" si="135"/>
        <v>1.8893951509445124</v>
      </c>
      <c r="X873" s="126">
        <f t="shared" si="136"/>
        <v>2.2000026050500567</v>
      </c>
      <c r="Y873" s="126">
        <f t="shared" si="137"/>
        <v>3.2208261942975493</v>
      </c>
      <c r="Z873" s="126">
        <f t="shared" si="138"/>
        <v>2.3960967248782588</v>
      </c>
      <c r="AA873" s="126">
        <f t="shared" si="139"/>
        <v>2.6925527974078851</v>
      </c>
      <c r="AB873" s="126">
        <f t="shared" si="140"/>
        <v>4.3573424076050342</v>
      </c>
    </row>
    <row r="874" spans="1:28">
      <c r="A874">
        <v>873</v>
      </c>
      <c r="B874" s="119">
        <v>6.6300868770004559E-2</v>
      </c>
      <c r="F874">
        <v>3.6630594929634705E-2</v>
      </c>
      <c r="G874">
        <v>0.36996392826296803</v>
      </c>
      <c r="H874">
        <v>0.70329726159630135</v>
      </c>
      <c r="I874">
        <v>0.1477417060407458</v>
      </c>
      <c r="J874">
        <v>0.48107503937407914</v>
      </c>
      <c r="K874">
        <v>0.8144083727074124</v>
      </c>
      <c r="L874">
        <v>0.25885281715185693</v>
      </c>
      <c r="M874">
        <v>0.5921861504851903</v>
      </c>
      <c r="N874">
        <v>0.92551948381852356</v>
      </c>
      <c r="O874">
        <v>7.3667631966671754E-2</v>
      </c>
      <c r="R874">
        <v>2.5</v>
      </c>
      <c r="S874" s="126">
        <f t="shared" si="131"/>
        <v>0.94084559587127314</v>
      </c>
      <c r="T874" s="126">
        <f t="shared" si="132"/>
        <v>1.3608049963425017</v>
      </c>
      <c r="U874" s="126">
        <f t="shared" si="133"/>
        <v>2.2860350039655297</v>
      </c>
      <c r="V874" s="126">
        <f t="shared" si="134"/>
        <v>1.4478091553609276</v>
      </c>
      <c r="W874" s="126">
        <f t="shared" si="135"/>
        <v>1.8502549035283475</v>
      </c>
      <c r="X874" s="126">
        <f t="shared" si="136"/>
        <v>2.829250495892413</v>
      </c>
      <c r="Y874" s="126">
        <f t="shared" si="137"/>
        <v>2.0501570479339031</v>
      </c>
      <c r="Z874" s="126">
        <f t="shared" si="138"/>
        <v>2.3844567954959843</v>
      </c>
      <c r="AA874" s="126">
        <f t="shared" si="139"/>
        <v>3.5505158857728754</v>
      </c>
      <c r="AB874" s="126">
        <f t="shared" si="140"/>
        <v>1.7510746761238192</v>
      </c>
    </row>
    <row r="875" spans="1:28">
      <c r="A875">
        <v>874</v>
      </c>
      <c r="B875" s="119">
        <v>0.39963420210333789</v>
      </c>
      <c r="F875">
        <v>0.40700096530000507</v>
      </c>
      <c r="G875">
        <v>0.74033429863333844</v>
      </c>
      <c r="H875">
        <v>0.18477874307778283</v>
      </c>
      <c r="I875">
        <v>0.51811207641111623</v>
      </c>
      <c r="J875">
        <v>0.85144540974444938</v>
      </c>
      <c r="K875">
        <v>0.29588985418889396</v>
      </c>
      <c r="L875">
        <v>0.62922318752222728</v>
      </c>
      <c r="M875">
        <v>0.96255652085556054</v>
      </c>
      <c r="N875">
        <v>0.11070466900370879</v>
      </c>
      <c r="O875">
        <v>0.4440380023370421</v>
      </c>
      <c r="R875">
        <v>2.5</v>
      </c>
      <c r="S875" s="126">
        <f t="shared" ref="S875:S938" si="141">NORMINV(F875,0,1)*0.8248+0.4974*(2.3356-R875)+R875</f>
        <v>2.2241796690996685</v>
      </c>
      <c r="T875" s="126">
        <f t="shared" ref="T875:T938" si="142">NORMINV(G875,0,1)*0.8248+0.4974*(2.3356-S875)+S875</f>
        <v>2.8110817729678574</v>
      </c>
      <c r="U875" s="126">
        <f t="shared" ref="U875:U938" si="143">NORMINV(H875,0,1)*0.8248+0.4974*(2.3356-T875)+T875</f>
        <v>1.8344819803787027</v>
      </c>
      <c r="V875" s="126">
        <f t="shared" ref="V875:V938" si="144">NORMINV(I875,0,1)*0.8248+0.4974*(2.3356-U875)+U875</f>
        <v>2.121197076803333</v>
      </c>
      <c r="W875" s="126">
        <f t="shared" ref="W875:W938" si="145">NORMINV(J875,0,1)*0.8248+0.4974*(2.3356-V875)+V875</f>
        <v>3.0878210226630656</v>
      </c>
      <c r="X875" s="126">
        <f t="shared" ref="X875:X938" si="146">NORMINV(K875,0,1)*0.8248+0.4974*(2.3356-W875)+W875</f>
        <v>2.2713600370813056</v>
      </c>
      <c r="Y875" s="126">
        <f t="shared" ref="Y875:Y938" si="147">NORMINV(L875,0,1)*0.8248+0.4974*(2.3356-X875)+X875</f>
        <v>2.5753292648473267</v>
      </c>
      <c r="Z875" s="126">
        <f t="shared" ref="Z875:Z938" si="148">NORMINV(M875,0,1)*0.8248+0.4974*(2.3356-Y875)+Y875</f>
        <v>3.9251854535751223</v>
      </c>
      <c r="AA875" s="126">
        <f t="shared" ref="AA875:AA938" si="149">NORMINV(N875,0,1)*0.8248+0.4974*(2.3356-Z875)+Z875</f>
        <v>2.1259691437743373</v>
      </c>
      <c r="AB875" s="126">
        <f t="shared" ref="AB875:AB938" si="150">NORMINV(O875,0,1)*0.8248+0.4974*(2.3356-AA875)+AA875</f>
        <v>2.1141578692625123</v>
      </c>
    </row>
    <row r="876" spans="1:28">
      <c r="A876">
        <v>875</v>
      </c>
      <c r="B876" s="119">
        <v>0.73296753543667126</v>
      </c>
      <c r="F876">
        <v>0.77737133567037542</v>
      </c>
      <c r="G876">
        <v>0.22181578011481987</v>
      </c>
      <c r="H876">
        <v>0.55514911344815321</v>
      </c>
      <c r="I876">
        <v>0.88848244678148647</v>
      </c>
      <c r="J876">
        <v>0.332926891225931</v>
      </c>
      <c r="K876">
        <v>0.66626022455926437</v>
      </c>
      <c r="L876">
        <v>0.99959355789259763</v>
      </c>
      <c r="M876">
        <v>2.0322105370116343E-4</v>
      </c>
      <c r="N876">
        <v>0.33353655438703445</v>
      </c>
      <c r="O876">
        <v>0.66686988772036782</v>
      </c>
      <c r="R876">
        <v>2.5</v>
      </c>
      <c r="S876" s="126">
        <f t="shared" si="141"/>
        <v>3.0478348703581606</v>
      </c>
      <c r="T876" s="126">
        <f t="shared" si="142"/>
        <v>2.0617104234507968</v>
      </c>
      <c r="U876" s="126">
        <f t="shared" si="143"/>
        <v>2.3123276674273994</v>
      </c>
      <c r="V876" s="126">
        <f t="shared" si="144"/>
        <v>3.3289197765076715</v>
      </c>
      <c r="W876" s="126">
        <f t="shared" si="145"/>
        <v>2.478656436234413</v>
      </c>
      <c r="X876" s="126">
        <f t="shared" si="146"/>
        <v>2.7618422782476744</v>
      </c>
      <c r="Y876" s="126">
        <f t="shared" si="147"/>
        <v>5.3115649046983648</v>
      </c>
      <c r="Z876" s="126">
        <f t="shared" si="148"/>
        <v>0.91493838525733118</v>
      </c>
      <c r="AA876" s="126">
        <f t="shared" si="149"/>
        <v>1.2667725328936748</v>
      </c>
      <c r="AB876" s="126">
        <f t="shared" si="150"/>
        <v>2.154132239392621</v>
      </c>
    </row>
    <row r="877" spans="1:28">
      <c r="A877">
        <v>876</v>
      </c>
      <c r="B877" s="119">
        <v>0.17741197988111568</v>
      </c>
      <c r="F877">
        <v>0.11131433216481228</v>
      </c>
      <c r="G877">
        <v>0.44464766549814555</v>
      </c>
      <c r="H877">
        <v>0.77798099883147886</v>
      </c>
      <c r="I877">
        <v>0.22242544327592337</v>
      </c>
      <c r="J877">
        <v>0.55575877660925677</v>
      </c>
      <c r="K877">
        <v>0.88909210994259003</v>
      </c>
      <c r="L877">
        <v>3.72402580907382E-2</v>
      </c>
      <c r="M877">
        <v>0.37057359142407148</v>
      </c>
      <c r="N877">
        <v>0.70390692475740491</v>
      </c>
      <c r="O877">
        <v>0.1483513692018493</v>
      </c>
      <c r="R877">
        <v>2.5</v>
      </c>
      <c r="S877" s="126">
        <f t="shared" si="141"/>
        <v>1.4123277122550839</v>
      </c>
      <c r="T877" s="126">
        <f t="shared" si="142"/>
        <v>1.7567545518071919</v>
      </c>
      <c r="U877" s="126">
        <f t="shared" si="143"/>
        <v>2.6759678112599818</v>
      </c>
      <c r="V877" s="126">
        <f t="shared" si="144"/>
        <v>1.8764990238654518</v>
      </c>
      <c r="W877" s="126">
        <f t="shared" si="145"/>
        <v>2.2205131925490629</v>
      </c>
      <c r="X877" s="126">
        <f t="shared" si="146"/>
        <v>3.2854271214316615</v>
      </c>
      <c r="Y877" s="126">
        <f t="shared" si="147"/>
        <v>1.3418283916542966</v>
      </c>
      <c r="Z877" s="126">
        <f t="shared" si="148"/>
        <v>1.563670445386153</v>
      </c>
      <c r="AA877" s="126">
        <f t="shared" si="149"/>
        <v>2.3894494068721643</v>
      </c>
      <c r="AB877" s="126">
        <f t="shared" si="150"/>
        <v>1.5019608907518209</v>
      </c>
    </row>
    <row r="878" spans="1:28">
      <c r="A878">
        <v>877</v>
      </c>
      <c r="B878" s="119">
        <v>0.51074531321444905</v>
      </c>
      <c r="F878">
        <v>0.48168470253518259</v>
      </c>
      <c r="G878">
        <v>0.81501803586851584</v>
      </c>
      <c r="H878">
        <v>0.25946248031296038</v>
      </c>
      <c r="I878">
        <v>0.59279581364629375</v>
      </c>
      <c r="J878">
        <v>0.926129146979627</v>
      </c>
      <c r="K878">
        <v>7.4277295127775242E-2</v>
      </c>
      <c r="L878">
        <v>0.40761062846110852</v>
      </c>
      <c r="M878">
        <v>0.74094396179444189</v>
      </c>
      <c r="N878">
        <v>0.18538840623888633</v>
      </c>
      <c r="O878">
        <v>0.51872173957221968</v>
      </c>
      <c r="R878">
        <v>2.5</v>
      </c>
      <c r="S878" s="126">
        <f t="shared" si="141"/>
        <v>2.380347855297162</v>
      </c>
      <c r="T878" s="126">
        <f t="shared" si="142"/>
        <v>3.0975572344059357</v>
      </c>
      <c r="U878" s="126">
        <f t="shared" si="143"/>
        <v>2.1865608740069198</v>
      </c>
      <c r="V878" s="126">
        <f t="shared" si="144"/>
        <v>2.4543087897528402</v>
      </c>
      <c r="W878" s="126">
        <f t="shared" si="145"/>
        <v>3.5892059242697139</v>
      </c>
      <c r="X878" s="126">
        <f t="shared" si="146"/>
        <v>1.77411023183969</v>
      </c>
      <c r="Y878" s="126">
        <f t="shared" si="147"/>
        <v>1.8606430617622653</v>
      </c>
      <c r="Z878" s="126">
        <f t="shared" si="148"/>
        <v>2.6299205044852574</v>
      </c>
      <c r="AA878" s="126">
        <f t="shared" si="149"/>
        <v>1.7453136309423256</v>
      </c>
      <c r="AB878" s="126">
        <f t="shared" si="150"/>
        <v>2.0776428677501295</v>
      </c>
    </row>
    <row r="879" spans="1:28">
      <c r="A879">
        <v>878</v>
      </c>
      <c r="B879" s="119">
        <v>0.8440786465477822</v>
      </c>
      <c r="F879">
        <v>0.85205507290555293</v>
      </c>
      <c r="G879">
        <v>0.29649951734999741</v>
      </c>
      <c r="H879">
        <v>0.62983285068333084</v>
      </c>
      <c r="I879">
        <v>0.9631661840166641</v>
      </c>
      <c r="J879">
        <v>1.2548900066046842E-2</v>
      </c>
      <c r="K879">
        <v>0.34588223339938012</v>
      </c>
      <c r="L879">
        <v>0.67921556673271344</v>
      </c>
      <c r="M879">
        <v>0.12366001117715796</v>
      </c>
      <c r="N879">
        <v>0.45699334451049123</v>
      </c>
      <c r="O879">
        <v>0.7903266778438246</v>
      </c>
      <c r="R879">
        <v>2.5</v>
      </c>
      <c r="S879" s="126">
        <f t="shared" si="141"/>
        <v>3.280381032245971</v>
      </c>
      <c r="T879" s="126">
        <f t="shared" si="142"/>
        <v>2.3695953835749908</v>
      </c>
      <c r="U879" s="126">
        <f t="shared" si="143"/>
        <v>2.6260336088535414</v>
      </c>
      <c r="V879" s="126">
        <f t="shared" si="144"/>
        <v>3.9568687145398695</v>
      </c>
      <c r="W879" s="126">
        <f t="shared" si="145"/>
        <v>1.3029850195277799</v>
      </c>
      <c r="X879" s="126">
        <f t="shared" si="146"/>
        <v>1.4896061117083148</v>
      </c>
      <c r="Y879" s="126">
        <f t="shared" si="147"/>
        <v>2.2943531369488759</v>
      </c>
      <c r="Z879" s="126">
        <f t="shared" si="148"/>
        <v>1.3606719400252976</v>
      </c>
      <c r="AA879" s="126">
        <f t="shared" si="149"/>
        <v>1.7565133957158769</v>
      </c>
      <c r="AB879" s="126">
        <f t="shared" si="150"/>
        <v>2.7106226606223172</v>
      </c>
    </row>
    <row r="880" spans="1:28">
      <c r="A880">
        <v>879</v>
      </c>
      <c r="B880" s="119">
        <v>0.28852309099222678</v>
      </c>
      <c r="F880">
        <v>0.23477112228826905</v>
      </c>
      <c r="G880">
        <v>0.5681044556216025</v>
      </c>
      <c r="H880">
        <v>0.90143778895493576</v>
      </c>
      <c r="I880">
        <v>4.9585937103083878E-2</v>
      </c>
      <c r="J880">
        <v>0.38291927043641716</v>
      </c>
      <c r="K880">
        <v>0.71625260376975064</v>
      </c>
      <c r="L880">
        <v>0.16069704821419498</v>
      </c>
      <c r="M880">
        <v>0.49403038154752826</v>
      </c>
      <c r="N880">
        <v>0.82736371488086158</v>
      </c>
      <c r="O880">
        <v>0.27180815932530605</v>
      </c>
      <c r="R880">
        <v>2.5</v>
      </c>
      <c r="S880" s="126">
        <f t="shared" si="141"/>
        <v>1.82171224236314</v>
      </c>
      <c r="T880" s="126">
        <f t="shared" si="142"/>
        <v>2.2188146943180742</v>
      </c>
      <c r="U880" s="126">
        <f t="shared" si="143"/>
        <v>3.340720499670037</v>
      </c>
      <c r="V880" s="126">
        <f t="shared" si="144"/>
        <v>1.4807759422258508</v>
      </c>
      <c r="W880" s="126">
        <f t="shared" si="145"/>
        <v>1.660321322505609</v>
      </c>
      <c r="X880" s="126">
        <f t="shared" si="146"/>
        <v>2.467780152788853</v>
      </c>
      <c r="Y880" s="126">
        <f t="shared" si="147"/>
        <v>1.5841644430546613</v>
      </c>
      <c r="Z880" s="126">
        <f t="shared" si="148"/>
        <v>1.9455860393026683</v>
      </c>
      <c r="AA880" s="126">
        <f t="shared" si="149"/>
        <v>2.9180240782056792</v>
      </c>
      <c r="AB880" s="126">
        <f t="shared" si="150"/>
        <v>2.1273811475357207</v>
      </c>
    </row>
    <row r="881" spans="1:28">
      <c r="A881">
        <v>880</v>
      </c>
      <c r="B881" s="119">
        <v>0.6218564243255601</v>
      </c>
      <c r="F881">
        <v>0.60514149265863948</v>
      </c>
      <c r="G881">
        <v>0.93847482599197274</v>
      </c>
      <c r="H881">
        <v>8.662297414012092E-2</v>
      </c>
      <c r="I881">
        <v>0.41995630747345419</v>
      </c>
      <c r="J881">
        <v>0.75328964080678762</v>
      </c>
      <c r="K881">
        <v>0.19773408525123201</v>
      </c>
      <c r="L881">
        <v>0.5310674185845653</v>
      </c>
      <c r="M881">
        <v>0.86440075191789856</v>
      </c>
      <c r="N881">
        <v>0.30884519636234309</v>
      </c>
      <c r="O881">
        <v>0.64217852969567646</v>
      </c>
      <c r="R881">
        <v>2.5</v>
      </c>
      <c r="S881" s="126">
        <f t="shared" si="141"/>
        <v>2.6381835394881339</v>
      </c>
      <c r="T881" s="126">
        <f t="shared" si="142"/>
        <v>3.7595989921942836</v>
      </c>
      <c r="U881" s="126">
        <f t="shared" si="143"/>
        <v>1.9280498946202247</v>
      </c>
      <c r="V881" s="126">
        <f t="shared" si="144"/>
        <v>1.9641513816262794</v>
      </c>
      <c r="W881" s="126">
        <f t="shared" si="145"/>
        <v>2.7137975488413146</v>
      </c>
      <c r="X881" s="126">
        <f t="shared" si="146"/>
        <v>1.8248143351804553</v>
      </c>
      <c r="Y881" s="126">
        <f t="shared" si="147"/>
        <v>2.1431750463761614</v>
      </c>
      <c r="Z881" s="126">
        <f t="shared" si="148"/>
        <v>3.1464202180702325</v>
      </c>
      <c r="AA881" s="126">
        <f t="shared" si="149"/>
        <v>2.3314388482919837</v>
      </c>
      <c r="AB881" s="126">
        <f t="shared" si="150"/>
        <v>2.6339733687303895</v>
      </c>
    </row>
    <row r="882" spans="1:28">
      <c r="A882">
        <v>881</v>
      </c>
      <c r="B882" s="119">
        <v>0.95518975765889336</v>
      </c>
      <c r="F882">
        <v>0.97551186302900972</v>
      </c>
      <c r="G882">
        <v>2.4894579078392518E-2</v>
      </c>
      <c r="H882">
        <v>0.3582279124117258</v>
      </c>
      <c r="I882">
        <v>0.69156124574505917</v>
      </c>
      <c r="J882">
        <v>0.13600569018950362</v>
      </c>
      <c r="K882">
        <v>0.46933902352283691</v>
      </c>
      <c r="L882">
        <v>0.80267235685617022</v>
      </c>
      <c r="M882">
        <v>0.24711680130061472</v>
      </c>
      <c r="N882">
        <v>0.58045013463394812</v>
      </c>
      <c r="O882">
        <v>0.91378346796728138</v>
      </c>
      <c r="R882">
        <v>2.5</v>
      </c>
      <c r="S882" s="126">
        <f t="shared" si="141"/>
        <v>4.0420921605274414</v>
      </c>
      <c r="T882" s="126">
        <f t="shared" si="142"/>
        <v>1.575214286746986</v>
      </c>
      <c r="U882" s="126">
        <f t="shared" si="143"/>
        <v>1.6538631528582717</v>
      </c>
      <c r="V882" s="126">
        <f t="shared" si="144"/>
        <v>2.4055905038914318</v>
      </c>
      <c r="W882" s="126">
        <f t="shared" si="145"/>
        <v>1.4647819809743312</v>
      </c>
      <c r="X882" s="126">
        <f t="shared" si="146"/>
        <v>1.8344737713806798</v>
      </c>
      <c r="Y882" s="126">
        <f t="shared" si="147"/>
        <v>2.7858081377970203</v>
      </c>
      <c r="Z882" s="126">
        <f t="shared" si="148"/>
        <v>1.9980489271917854</v>
      </c>
      <c r="AA882" s="126">
        <f t="shared" si="149"/>
        <v>2.3334184830054436</v>
      </c>
      <c r="AB882" s="126">
        <f t="shared" si="150"/>
        <v>3.4598833548976007</v>
      </c>
    </row>
    <row r="883" spans="1:28">
      <c r="A883">
        <v>882</v>
      </c>
      <c r="B883" s="119">
        <v>0.10333790580704159</v>
      </c>
      <c r="F883">
        <v>6.1931616115429557E-2</v>
      </c>
      <c r="G883">
        <v>0.39526494944876284</v>
      </c>
      <c r="H883">
        <v>0.72859828278209626</v>
      </c>
      <c r="I883">
        <v>0.17304272722654065</v>
      </c>
      <c r="J883">
        <v>0.50637606055987405</v>
      </c>
      <c r="K883">
        <v>0.8397093938932072</v>
      </c>
      <c r="L883">
        <v>0.28415383833765173</v>
      </c>
      <c r="M883">
        <v>0.6174871716709851</v>
      </c>
      <c r="N883">
        <v>0.95082050500431836</v>
      </c>
      <c r="O883">
        <v>9.8968653152466599E-2</v>
      </c>
      <c r="R883">
        <v>2.5</v>
      </c>
      <c r="S883" s="126">
        <f t="shared" si="141"/>
        <v>1.1490593193823035</v>
      </c>
      <c r="T883" s="126">
        <f t="shared" si="142"/>
        <v>1.5201591553944276</v>
      </c>
      <c r="U883" s="126">
        <f t="shared" si="143"/>
        <v>2.4277155064234881</v>
      </c>
      <c r="V883" s="126">
        <f t="shared" si="144"/>
        <v>1.6047629600521502</v>
      </c>
      <c r="W883" s="126">
        <f t="shared" si="145"/>
        <v>1.9814641597846108</v>
      </c>
      <c r="X883" s="126">
        <f t="shared" si="146"/>
        <v>2.9768556504351844</v>
      </c>
      <c r="Y883" s="126">
        <f t="shared" si="147"/>
        <v>2.1873090467673997</v>
      </c>
      <c r="Z883" s="126">
        <f t="shared" si="148"/>
        <v>2.5075916236894948</v>
      </c>
      <c r="AA883" s="126">
        <f t="shared" si="149"/>
        <v>3.7853234153368787</v>
      </c>
      <c r="AB883" s="126">
        <f t="shared" si="150"/>
        <v>2.0023418021037966</v>
      </c>
    </row>
    <row r="884" spans="1:28">
      <c r="A884">
        <v>883</v>
      </c>
      <c r="B884" s="119">
        <v>0.43667123914037492</v>
      </c>
      <c r="F884">
        <v>0.43230198648579987</v>
      </c>
      <c r="G884">
        <v>0.76563531981913324</v>
      </c>
      <c r="H884">
        <v>0.21007976426357769</v>
      </c>
      <c r="I884">
        <v>0.54341309759691103</v>
      </c>
      <c r="J884">
        <v>0.87674643093024429</v>
      </c>
      <c r="K884">
        <v>0.32119087537468877</v>
      </c>
      <c r="L884">
        <v>0.65452420870802219</v>
      </c>
      <c r="M884">
        <v>0.98785754204135545</v>
      </c>
      <c r="N884">
        <v>4.3184473911497242E-3</v>
      </c>
      <c r="O884">
        <v>0.33765178072448299</v>
      </c>
      <c r="R884">
        <v>2.5</v>
      </c>
      <c r="S884" s="126">
        <f t="shared" si="141"/>
        <v>2.2775854451834556</v>
      </c>
      <c r="T884" s="126">
        <f t="shared" si="142"/>
        <v>2.9040490879134957</v>
      </c>
      <c r="U884" s="126">
        <f t="shared" si="143"/>
        <v>1.9563945180236004</v>
      </c>
      <c r="V884" s="126">
        <f t="shared" si="144"/>
        <v>2.234944354689492</v>
      </c>
      <c r="W884" s="126">
        <f t="shared" si="145"/>
        <v>3.2408505777014565</v>
      </c>
      <c r="X884" s="126">
        <f t="shared" si="146"/>
        <v>2.407565494494694</v>
      </c>
      <c r="Y884" s="126">
        <f t="shared" si="147"/>
        <v>2.699680665952553</v>
      </c>
      <c r="Z884" s="126">
        <f t="shared" si="148"/>
        <v>4.3765244333230084</v>
      </c>
      <c r="AA884" s="126">
        <f t="shared" si="149"/>
        <v>1.1953597433644276</v>
      </c>
      <c r="AB884" s="126">
        <f t="shared" si="150"/>
        <v>1.4170227150065857</v>
      </c>
    </row>
    <row r="885" spans="1:28">
      <c r="A885">
        <v>884</v>
      </c>
      <c r="B885" s="119">
        <v>0.77000457247370824</v>
      </c>
      <c r="F885">
        <v>0.67098511405781636</v>
      </c>
      <c r="G885">
        <v>0.11542955850226083</v>
      </c>
      <c r="H885">
        <v>0.44876289183559409</v>
      </c>
      <c r="I885">
        <v>0.78209622516892741</v>
      </c>
      <c r="J885">
        <v>0.22654066961337194</v>
      </c>
      <c r="K885">
        <v>0.55987400294670531</v>
      </c>
      <c r="L885">
        <v>0.89320733628003857</v>
      </c>
      <c r="M885">
        <v>4.1355484428186762E-2</v>
      </c>
      <c r="N885">
        <v>0.37468881776152002</v>
      </c>
      <c r="O885">
        <v>0.70802215109485345</v>
      </c>
      <c r="R885">
        <v>2.5</v>
      </c>
      <c r="S885" s="126">
        <f t="shared" si="141"/>
        <v>2.7833127796936705</v>
      </c>
      <c r="T885" s="126">
        <f t="shared" si="142"/>
        <v>1.572387362363604</v>
      </c>
      <c r="U885" s="126">
        <f t="shared" si="143"/>
        <v>1.8457853847333472</v>
      </c>
      <c r="V885" s="126">
        <f t="shared" si="144"/>
        <v>2.7321794631359602</v>
      </c>
      <c r="W885" s="126">
        <f t="shared" si="145"/>
        <v>1.9160833928884622</v>
      </c>
      <c r="X885" s="126">
        <f t="shared" si="146"/>
        <v>2.2490068882676066</v>
      </c>
      <c r="Y885" s="126">
        <f t="shared" si="147"/>
        <v>3.3179373272414212</v>
      </c>
      <c r="Z885" s="126">
        <f t="shared" si="148"/>
        <v>1.3981557838514074</v>
      </c>
      <c r="AA885" s="126">
        <f t="shared" si="149"/>
        <v>1.6009498382926239</v>
      </c>
      <c r="AB885" s="126">
        <f t="shared" si="150"/>
        <v>2.4180383890257127</v>
      </c>
    </row>
    <row r="886" spans="1:28">
      <c r="A886">
        <v>885</v>
      </c>
      <c r="B886" s="119">
        <v>0.21444901691815271</v>
      </c>
      <c r="F886">
        <v>0.15246659553929787</v>
      </c>
      <c r="G886">
        <v>0.48579992887263113</v>
      </c>
      <c r="H886">
        <v>0.81913326220596439</v>
      </c>
      <c r="I886">
        <v>0.26357770665040892</v>
      </c>
      <c r="J886">
        <v>0.59691103998374229</v>
      </c>
      <c r="K886">
        <v>0.93024437331707555</v>
      </c>
      <c r="L886">
        <v>7.8392521465223797E-2</v>
      </c>
      <c r="M886">
        <v>0.41172585479855706</v>
      </c>
      <c r="N886">
        <v>0.74505918813189043</v>
      </c>
      <c r="O886">
        <v>0.1895036325763349</v>
      </c>
      <c r="R886">
        <v>2.5</v>
      </c>
      <c r="S886" s="126">
        <f t="shared" si="141"/>
        <v>1.5720554416384473</v>
      </c>
      <c r="T886" s="126">
        <f t="shared" si="142"/>
        <v>1.9224781245060569</v>
      </c>
      <c r="U886" s="126">
        <f t="shared" si="143"/>
        <v>2.8802377649394004</v>
      </c>
      <c r="V886" s="126">
        <f t="shared" si="144"/>
        <v>2.0877691446049522</v>
      </c>
      <c r="W886" s="126">
        <f t="shared" si="145"/>
        <v>2.4134129034128966</v>
      </c>
      <c r="X886" s="126">
        <f t="shared" si="146"/>
        <v>3.5934443969141396</v>
      </c>
      <c r="Y886" s="126">
        <f t="shared" si="147"/>
        <v>1.799902664007603</v>
      </c>
      <c r="Z886" s="126">
        <f t="shared" si="148"/>
        <v>1.8823393133399708</v>
      </c>
      <c r="AA886" s="126">
        <f t="shared" si="149"/>
        <v>2.6513525472256858</v>
      </c>
      <c r="AB886" s="126">
        <f t="shared" si="150"/>
        <v>1.7686984708172493</v>
      </c>
    </row>
    <row r="887" spans="1:28">
      <c r="A887">
        <v>886</v>
      </c>
      <c r="B887" s="119">
        <v>0.54778235025148603</v>
      </c>
      <c r="F887">
        <v>0.52283696590966822</v>
      </c>
      <c r="G887">
        <v>0.85617029924300148</v>
      </c>
      <c r="H887">
        <v>0.30061474368744595</v>
      </c>
      <c r="I887">
        <v>0.63394807702077938</v>
      </c>
      <c r="J887">
        <v>0.96728141035411264</v>
      </c>
      <c r="K887">
        <v>1.6664126403495402E-2</v>
      </c>
      <c r="L887">
        <v>0.34999745973682866</v>
      </c>
      <c r="M887">
        <v>0.68333079307016198</v>
      </c>
      <c r="N887">
        <v>0.12777523751460651</v>
      </c>
      <c r="O887">
        <v>0.46110857084793977</v>
      </c>
      <c r="R887">
        <v>2.5</v>
      </c>
      <c r="S887" s="126">
        <f t="shared" si="141"/>
        <v>2.4654679289421932</v>
      </c>
      <c r="T887" s="126">
        <f t="shared" si="142"/>
        <v>3.2778569432868299</v>
      </c>
      <c r="U887" s="126">
        <f t="shared" si="143"/>
        <v>2.3781104232463361</v>
      </c>
      <c r="V887" s="126">
        <f t="shared" si="144"/>
        <v>2.6393181144583706</v>
      </c>
      <c r="W887" s="126">
        <f t="shared" si="145"/>
        <v>4.0077444814322734</v>
      </c>
      <c r="X887" s="126">
        <f t="shared" si="146"/>
        <v>1.420757558101887</v>
      </c>
      <c r="Y887" s="126">
        <f t="shared" si="147"/>
        <v>1.5579822113744248</v>
      </c>
      <c r="Z887" s="126">
        <f t="shared" si="148"/>
        <v>2.338226360047809</v>
      </c>
      <c r="AA887" s="126">
        <f t="shared" si="149"/>
        <v>1.3991464579324118</v>
      </c>
      <c r="AB887" s="126">
        <f t="shared" si="150"/>
        <v>1.78440391920505</v>
      </c>
    </row>
    <row r="888" spans="1:28">
      <c r="A888">
        <v>887</v>
      </c>
      <c r="B888" s="119">
        <v>0.88111568358481929</v>
      </c>
      <c r="F888">
        <v>0.79444190418127314</v>
      </c>
      <c r="G888">
        <v>0.23888634862571761</v>
      </c>
      <c r="H888">
        <v>0.57221968195905104</v>
      </c>
      <c r="I888">
        <v>0.9055530152923843</v>
      </c>
      <c r="J888">
        <v>5.370116344053244E-2</v>
      </c>
      <c r="K888">
        <v>0.3870344967738657</v>
      </c>
      <c r="L888">
        <v>0.72036783010719918</v>
      </c>
      <c r="M888">
        <v>0.16481227455164355</v>
      </c>
      <c r="N888">
        <v>0.4981456078849768</v>
      </c>
      <c r="O888">
        <v>0.83147894121831012</v>
      </c>
      <c r="R888">
        <v>2.5</v>
      </c>
      <c r="S888" s="126">
        <f t="shared" si="141"/>
        <v>3.0961560952726561</v>
      </c>
      <c r="T888" s="126">
        <f t="shared" si="142"/>
        <v>2.1323386805131959</v>
      </c>
      <c r="U888" s="126">
        <f t="shared" si="143"/>
        <v>2.3835776772135819</v>
      </c>
      <c r="V888" s="126">
        <f t="shared" si="144"/>
        <v>3.4433837214821739</v>
      </c>
      <c r="W888" s="126">
        <f t="shared" si="145"/>
        <v>1.5644609885524734</v>
      </c>
      <c r="X888" s="126">
        <f t="shared" si="146"/>
        <v>1.7112612611279396</v>
      </c>
      <c r="Y888" s="126">
        <f t="shared" si="147"/>
        <v>2.5034365756541943</v>
      </c>
      <c r="Z888" s="126">
        <f t="shared" si="148"/>
        <v>1.6158815547221532</v>
      </c>
      <c r="AA888" s="126">
        <f t="shared" si="149"/>
        <v>1.9700356010925524</v>
      </c>
      <c r="AB888" s="126">
        <f t="shared" si="150"/>
        <v>2.9436967976211266</v>
      </c>
    </row>
    <row r="889" spans="1:28">
      <c r="A889">
        <v>888</v>
      </c>
      <c r="B889" s="119">
        <v>0.32556012802926382</v>
      </c>
      <c r="F889">
        <v>0.27592338566275459</v>
      </c>
      <c r="G889">
        <v>0.60925671899608802</v>
      </c>
      <c r="H889">
        <v>0.94259005232942128</v>
      </c>
      <c r="I889">
        <v>9.0738200477569475E-2</v>
      </c>
      <c r="J889">
        <v>0.42407153381090273</v>
      </c>
      <c r="K889">
        <v>0.75740486714423616</v>
      </c>
      <c r="L889">
        <v>0.20184931158868058</v>
      </c>
      <c r="M889">
        <v>0.53518264492201384</v>
      </c>
      <c r="N889">
        <v>0.8685159782553471</v>
      </c>
      <c r="O889">
        <v>0.31296042269979163</v>
      </c>
      <c r="R889">
        <v>2.5</v>
      </c>
      <c r="S889" s="126">
        <f t="shared" si="141"/>
        <v>1.9274755123237921</v>
      </c>
      <c r="T889" s="126">
        <f t="shared" si="142"/>
        <v>2.3592615633712146</v>
      </c>
      <c r="U889" s="126">
        <f t="shared" si="143"/>
        <v>3.6481145518656986</v>
      </c>
      <c r="V889" s="126">
        <f t="shared" si="144"/>
        <v>1.8931530970129342</v>
      </c>
      <c r="W889" s="126">
        <f t="shared" si="145"/>
        <v>1.9552866592878355</v>
      </c>
      <c r="X889" s="126">
        <f t="shared" si="146"/>
        <v>2.7201476752179357</v>
      </c>
      <c r="Y889" s="126">
        <f t="shared" si="147"/>
        <v>1.8401377031815562</v>
      </c>
      <c r="Z889" s="126">
        <f t="shared" si="148"/>
        <v>2.159414151708281</v>
      </c>
      <c r="AA889" s="126">
        <f t="shared" si="149"/>
        <v>3.170332989781719</v>
      </c>
      <c r="AB889" s="126">
        <f t="shared" si="150"/>
        <v>2.3530663615282466</v>
      </c>
    </row>
    <row r="890" spans="1:28">
      <c r="A890">
        <v>889</v>
      </c>
      <c r="B890" s="119">
        <v>0.65889346136259719</v>
      </c>
      <c r="F890">
        <v>0.646293756033125</v>
      </c>
      <c r="G890">
        <v>0.97962708936645826</v>
      </c>
      <c r="H890">
        <v>2.900980541584108E-2</v>
      </c>
      <c r="I890">
        <v>0.36234313874917434</v>
      </c>
      <c r="J890">
        <v>0.69567647208250771</v>
      </c>
      <c r="K890">
        <v>0.14012091652695219</v>
      </c>
      <c r="L890">
        <v>0.47345424986028545</v>
      </c>
      <c r="M890">
        <v>0.80678758319361876</v>
      </c>
      <c r="N890">
        <v>0.25123202763806324</v>
      </c>
      <c r="O890">
        <v>0.58456536097139666</v>
      </c>
      <c r="R890">
        <v>2.5</v>
      </c>
      <c r="S890" s="126">
        <f t="shared" si="141"/>
        <v>2.7278024740715159</v>
      </c>
      <c r="T890" s="126">
        <f t="shared" si="142"/>
        <v>4.220350211430179</v>
      </c>
      <c r="U890" s="126">
        <f t="shared" si="143"/>
        <v>1.7194260445920717</v>
      </c>
      <c r="V890" s="126">
        <f t="shared" si="144"/>
        <v>1.7354142108605217</v>
      </c>
      <c r="W890" s="126">
        <f t="shared" si="145"/>
        <v>2.456248881888536</v>
      </c>
      <c r="X890" s="126">
        <f t="shared" si="146"/>
        <v>1.505638683327309</v>
      </c>
      <c r="Y890" s="126">
        <f t="shared" si="147"/>
        <v>1.8635384171927811</v>
      </c>
      <c r="Z890" s="126">
        <f t="shared" si="148"/>
        <v>2.8127169097574223</v>
      </c>
      <c r="AA890" s="126">
        <f t="shared" si="149"/>
        <v>2.0222734170418653</v>
      </c>
      <c r="AB890" s="126">
        <f t="shared" si="150"/>
        <v>2.3542884688475003</v>
      </c>
    </row>
    <row r="891" spans="1:28">
      <c r="A891">
        <v>890</v>
      </c>
      <c r="B891" s="119">
        <v>0.99222679469593045</v>
      </c>
      <c r="F891">
        <v>0.91789869430472992</v>
      </c>
      <c r="G891">
        <v>6.6046842452878118E-2</v>
      </c>
      <c r="H891">
        <v>0.39938017578621138</v>
      </c>
      <c r="I891">
        <v>0.7327135091195448</v>
      </c>
      <c r="J891">
        <v>0.17715795356398922</v>
      </c>
      <c r="K891">
        <v>0.51049128689732259</v>
      </c>
      <c r="L891">
        <v>0.84382462023065574</v>
      </c>
      <c r="M891">
        <v>0.28826906467510027</v>
      </c>
      <c r="N891">
        <v>0.62160239800843364</v>
      </c>
      <c r="O891">
        <v>0.9549357313417669</v>
      </c>
      <c r="R891">
        <v>2.5</v>
      </c>
      <c r="S891" s="126">
        <f t="shared" si="141"/>
        <v>3.5655863001390466</v>
      </c>
      <c r="T891" s="126">
        <f t="shared" si="142"/>
        <v>1.7117274875766508</v>
      </c>
      <c r="U891" s="126">
        <f t="shared" si="143"/>
        <v>1.8117574566036878</v>
      </c>
      <c r="V891" s="126">
        <f t="shared" si="144"/>
        <v>2.5845509350577633</v>
      </c>
      <c r="W891" s="126">
        <f t="shared" si="145"/>
        <v>1.6967514756260216</v>
      </c>
      <c r="X891" s="126">
        <f t="shared" si="146"/>
        <v>2.0362076217899512</v>
      </c>
      <c r="Y891" s="126">
        <f t="shared" si="147"/>
        <v>3.0184222456048246</v>
      </c>
      <c r="Z891" s="126">
        <f t="shared" si="148"/>
        <v>2.2181780981285528</v>
      </c>
      <c r="AA891" s="126">
        <f t="shared" si="149"/>
        <v>2.5320176952671103</v>
      </c>
      <c r="AB891" s="126">
        <f t="shared" si="150"/>
        <v>3.8321246438441441</v>
      </c>
    </row>
    <row r="892" spans="1:28">
      <c r="A892">
        <v>891</v>
      </c>
      <c r="B892" s="119">
        <v>8.6877000457247378E-3</v>
      </c>
      <c r="F892">
        <v>0.10308387948991515</v>
      </c>
      <c r="G892">
        <v>0.43641721282324841</v>
      </c>
      <c r="H892">
        <v>0.76975054615658178</v>
      </c>
      <c r="I892">
        <v>0.21419499060102626</v>
      </c>
      <c r="J892">
        <v>0.54752832393435957</v>
      </c>
      <c r="K892">
        <v>0.88086165726769283</v>
      </c>
      <c r="L892">
        <v>0.32530610171213731</v>
      </c>
      <c r="M892">
        <v>0.65863943504547073</v>
      </c>
      <c r="N892">
        <v>0.99197276837880399</v>
      </c>
      <c r="O892">
        <v>8.4336737285982833E-3</v>
      </c>
      <c r="R892">
        <v>2.5</v>
      </c>
      <c r="S892" s="126">
        <f t="shared" si="141"/>
        <v>1.3755371345373308</v>
      </c>
      <c r="T892" s="126">
        <f t="shared" si="142"/>
        <v>1.7210555601855158</v>
      </c>
      <c r="U892" s="126">
        <f t="shared" si="143"/>
        <v>2.6354534591825227</v>
      </c>
      <c r="V892" s="126">
        <f t="shared" si="144"/>
        <v>1.8331062010023413</v>
      </c>
      <c r="W892" s="126">
        <f t="shared" si="145"/>
        <v>2.1815434672226659</v>
      </c>
      <c r="X892" s="126">
        <f t="shared" si="146"/>
        <v>3.2308620802070371</v>
      </c>
      <c r="Y892" s="126">
        <f t="shared" si="147"/>
        <v>2.411997011331612</v>
      </c>
      <c r="Z892" s="126">
        <f t="shared" si="148"/>
        <v>2.7111363928702508</v>
      </c>
      <c r="AA892" s="126">
        <f t="shared" si="149"/>
        <v>4.510194978672998</v>
      </c>
      <c r="AB892" s="126">
        <f t="shared" si="150"/>
        <v>1.4576204208723382</v>
      </c>
    </row>
    <row r="893" spans="1:28">
      <c r="A893">
        <v>892</v>
      </c>
      <c r="B893" s="119">
        <v>0.34202103337905809</v>
      </c>
      <c r="F893">
        <v>0.34176700706193158</v>
      </c>
      <c r="G893">
        <v>0.6751003403952649</v>
      </c>
      <c r="H893">
        <v>0.1195447848397094</v>
      </c>
      <c r="I893">
        <v>0.45287811817304269</v>
      </c>
      <c r="J893">
        <v>0.78621145150637595</v>
      </c>
      <c r="K893">
        <v>0.23065589595082048</v>
      </c>
      <c r="L893">
        <v>0.56398922928415385</v>
      </c>
      <c r="M893">
        <v>0.89732256261748711</v>
      </c>
      <c r="N893">
        <v>4.5470710765635323E-2</v>
      </c>
      <c r="O893">
        <v>0.37880404409896862</v>
      </c>
      <c r="R893">
        <v>2.5</v>
      </c>
      <c r="S893" s="126">
        <f t="shared" si="141"/>
        <v>2.0820014983231978</v>
      </c>
      <c r="T893" s="126">
        <f t="shared" si="142"/>
        <v>2.5826344076232872</v>
      </c>
      <c r="U893" s="126">
        <f t="shared" si="143"/>
        <v>1.4887509443896436</v>
      </c>
      <c r="V893" s="126">
        <f t="shared" si="144"/>
        <v>1.8123230811736488</v>
      </c>
      <c r="W893" s="126">
        <f t="shared" si="145"/>
        <v>2.7269516205114614</v>
      </c>
      <c r="X893" s="126">
        <f t="shared" si="146"/>
        <v>1.924672636176862</v>
      </c>
      <c r="Y893" s="126">
        <f t="shared" si="147"/>
        <v>2.2619359597813524</v>
      </c>
      <c r="Z893" s="126">
        <f t="shared" si="148"/>
        <v>3.3431378320055867</v>
      </c>
      <c r="AA893" s="126">
        <f t="shared" si="149"/>
        <v>1.4477033061436009</v>
      </c>
      <c r="AB893" s="126">
        <f t="shared" si="150"/>
        <v>1.6347906167765953</v>
      </c>
    </row>
    <row r="894" spans="1:28">
      <c r="A894">
        <v>893</v>
      </c>
      <c r="B894" s="119">
        <v>0.67535436671239135</v>
      </c>
      <c r="F894">
        <v>0.71213737743230199</v>
      </c>
      <c r="G894">
        <v>0.15658182187674641</v>
      </c>
      <c r="H894">
        <v>0.48991515521007972</v>
      </c>
      <c r="I894">
        <v>0.82324848854341293</v>
      </c>
      <c r="J894">
        <v>0.26769293298785751</v>
      </c>
      <c r="K894">
        <v>0.60102626632119083</v>
      </c>
      <c r="L894">
        <v>0.93435959965452409</v>
      </c>
      <c r="M894">
        <v>8.2507747802672365E-2</v>
      </c>
      <c r="N894">
        <v>0.41584108113600565</v>
      </c>
      <c r="O894">
        <v>0.74917441446933897</v>
      </c>
      <c r="R894">
        <v>2.5</v>
      </c>
      <c r="S894" s="126">
        <f t="shared" si="141"/>
        <v>2.8798182342718439</v>
      </c>
      <c r="T894" s="126">
        <f t="shared" si="142"/>
        <v>1.7772258816815185</v>
      </c>
      <c r="U894" s="126">
        <f t="shared" si="143"/>
        <v>2.0341088632006792</v>
      </c>
      <c r="V894" s="126">
        <f t="shared" si="144"/>
        <v>2.9493331915533454</v>
      </c>
      <c r="W894" s="126">
        <f t="shared" si="145"/>
        <v>2.1328467491700227</v>
      </c>
      <c r="X894" s="126">
        <f t="shared" si="146"/>
        <v>2.4448486158152694</v>
      </c>
      <c r="Y894" s="126">
        <f t="shared" si="147"/>
        <v>3.6351895951553184</v>
      </c>
      <c r="Z894" s="126">
        <f t="shared" si="148"/>
        <v>1.8436220046462046</v>
      </c>
      <c r="AA894" s="126">
        <f t="shared" si="149"/>
        <v>1.9130250475732344</v>
      </c>
      <c r="AB894" s="126">
        <f t="shared" si="150"/>
        <v>2.6773920121768162</v>
      </c>
    </row>
    <row r="895" spans="1:28">
      <c r="A895">
        <v>894</v>
      </c>
      <c r="B895" s="119">
        <v>0.11979881115683584</v>
      </c>
      <c r="F895">
        <v>0.19361885891378344</v>
      </c>
      <c r="G895">
        <v>0.52695219224711676</v>
      </c>
      <c r="H895">
        <v>0.86028552558045002</v>
      </c>
      <c r="I895">
        <v>0.30472997002489455</v>
      </c>
      <c r="J895">
        <v>0.63806330335822792</v>
      </c>
      <c r="K895">
        <v>0.97139663669156118</v>
      </c>
      <c r="L895">
        <v>2.077935274094396E-2</v>
      </c>
      <c r="M895">
        <v>0.35411268607427726</v>
      </c>
      <c r="N895">
        <v>0.68744601940761052</v>
      </c>
      <c r="O895">
        <v>0.13189046385205505</v>
      </c>
      <c r="R895">
        <v>2.5</v>
      </c>
      <c r="S895" s="126">
        <f t="shared" si="141"/>
        <v>1.7050743316029644</v>
      </c>
      <c r="T895" s="126">
        <f t="shared" si="142"/>
        <v>2.0744630236266741</v>
      </c>
      <c r="U895" s="126">
        <f t="shared" si="143"/>
        <v>3.0964587510300507</v>
      </c>
      <c r="V895" s="126">
        <f t="shared" si="144"/>
        <v>2.2966630573379923</v>
      </c>
      <c r="W895" s="126">
        <f t="shared" si="145"/>
        <v>2.6074212971085022</v>
      </c>
      <c r="X895" s="126">
        <f t="shared" si="146"/>
        <v>4.0407626176914242</v>
      </c>
      <c r="Y895" s="126">
        <f t="shared" si="147"/>
        <v>1.5117446764825351</v>
      </c>
      <c r="Z895" s="126">
        <f t="shared" si="148"/>
        <v>1.6128567247382151</v>
      </c>
      <c r="AA895" s="126">
        <f t="shared" si="149"/>
        <v>2.3753662553289594</v>
      </c>
      <c r="AB895" s="126">
        <f t="shared" si="150"/>
        <v>1.433873153237323</v>
      </c>
    </row>
    <row r="896" spans="1:28">
      <c r="A896">
        <v>895</v>
      </c>
      <c r="B896" s="119">
        <v>0.4531321444901692</v>
      </c>
      <c r="F896">
        <v>0.46522379718538837</v>
      </c>
      <c r="G896">
        <v>0.79855713051872168</v>
      </c>
      <c r="H896">
        <v>0.24300157496316616</v>
      </c>
      <c r="I896">
        <v>0.57633490829649958</v>
      </c>
      <c r="J896">
        <v>0.90966824162983284</v>
      </c>
      <c r="K896">
        <v>5.7816389777981002E-2</v>
      </c>
      <c r="L896">
        <v>0.3911497231113143</v>
      </c>
      <c r="M896">
        <v>0.72448305644464772</v>
      </c>
      <c r="N896">
        <v>0.16892750088909209</v>
      </c>
      <c r="O896">
        <v>0.5022608342224254</v>
      </c>
      <c r="R896">
        <v>2.5</v>
      </c>
      <c r="S896" s="126">
        <f t="shared" si="141"/>
        <v>2.3462374882200301</v>
      </c>
      <c r="T896" s="126">
        <f t="shared" si="142"/>
        <v>3.0308739095903876</v>
      </c>
      <c r="U896" s="126">
        <f t="shared" si="143"/>
        <v>2.1104230979098864</v>
      </c>
      <c r="V896" s="126">
        <f t="shared" si="144"/>
        <v>2.3812215552739979</v>
      </c>
      <c r="W896" s="126">
        <f t="shared" si="145"/>
        <v>3.4627014103145637</v>
      </c>
      <c r="X896" s="126">
        <f t="shared" si="146"/>
        <v>1.6043642035992014</v>
      </c>
      <c r="Y896" s="126">
        <f t="shared" si="147"/>
        <v>1.7401690922784907</v>
      </c>
      <c r="Z896" s="126">
        <f t="shared" si="148"/>
        <v>2.5280917412902744</v>
      </c>
      <c r="AA896" s="126">
        <f t="shared" si="149"/>
        <v>1.6418480583378443</v>
      </c>
      <c r="AB896" s="126">
        <f t="shared" si="150"/>
        <v>1.9915944992894836</v>
      </c>
    </row>
    <row r="897" spans="1:28">
      <c r="A897">
        <v>896</v>
      </c>
      <c r="B897" s="119">
        <v>0.7864654778235024</v>
      </c>
      <c r="F897">
        <v>0.83559416755575866</v>
      </c>
      <c r="G897">
        <v>0.28003861200020319</v>
      </c>
      <c r="H897">
        <v>0.61337194533353656</v>
      </c>
      <c r="I897">
        <v>0.94670527866686982</v>
      </c>
      <c r="J897">
        <v>9.4853426815018044E-2</v>
      </c>
      <c r="K897">
        <v>0.42818676014835133</v>
      </c>
      <c r="L897">
        <v>0.7615200934816847</v>
      </c>
      <c r="M897">
        <v>0.20596453792612912</v>
      </c>
      <c r="N897">
        <v>0.53929787125946238</v>
      </c>
      <c r="O897">
        <v>0.87263120459279564</v>
      </c>
      <c r="R897">
        <v>2.5</v>
      </c>
      <c r="S897" s="126">
        <f t="shared" si="141"/>
        <v>3.2236531043257499</v>
      </c>
      <c r="T897" s="126">
        <f t="shared" si="142"/>
        <v>2.3013024196262117</v>
      </c>
      <c r="U897" s="126">
        <f t="shared" si="143"/>
        <v>2.5560020914104138</v>
      </c>
      <c r="V897" s="126">
        <f t="shared" si="144"/>
        <v>3.7773655244171431</v>
      </c>
      <c r="W897" s="126">
        <f t="shared" si="145"/>
        <v>1.9785500255970407</v>
      </c>
      <c r="X897" s="126">
        <f t="shared" si="146"/>
        <v>2.0068641291486089</v>
      </c>
      <c r="Y897" s="126">
        <f t="shared" si="147"/>
        <v>2.7569757709908589</v>
      </c>
      <c r="Z897" s="126">
        <f t="shared" si="148"/>
        <v>1.8706320903541214</v>
      </c>
      <c r="AA897" s="126">
        <f t="shared" si="149"/>
        <v>2.1832860223787374</v>
      </c>
      <c r="AB897" s="126">
        <f t="shared" si="150"/>
        <v>3.1984260993608014</v>
      </c>
    </row>
    <row r="898" spans="1:28">
      <c r="A898">
        <v>897</v>
      </c>
      <c r="B898" s="119">
        <v>0.23090992226794693</v>
      </c>
      <c r="F898">
        <v>0.31707564903724023</v>
      </c>
      <c r="G898">
        <v>0.65040898237057354</v>
      </c>
      <c r="H898">
        <v>0.9837423157039068</v>
      </c>
      <c r="I898">
        <v>3.3125031753289645E-2</v>
      </c>
      <c r="J898">
        <v>0.36645836508662294</v>
      </c>
      <c r="K898">
        <v>0.69979169841995625</v>
      </c>
      <c r="L898">
        <v>0.14423614286440073</v>
      </c>
      <c r="M898">
        <v>0.47756947619773404</v>
      </c>
      <c r="N898">
        <v>0.8109028095310673</v>
      </c>
      <c r="O898">
        <v>0.25534725397551183</v>
      </c>
      <c r="R898">
        <v>2.5</v>
      </c>
      <c r="S898" s="126">
        <f t="shared" si="141"/>
        <v>2.0257116908416783</v>
      </c>
      <c r="T898" s="126">
        <f t="shared" si="142"/>
        <v>2.4985733674568662</v>
      </c>
      <c r="U898" s="126">
        <f t="shared" si="143"/>
        <v>4.1809467844637105</v>
      </c>
      <c r="V898" s="126">
        <f t="shared" si="144"/>
        <v>1.7481380613610717</v>
      </c>
      <c r="W898" s="126">
        <f t="shared" si="145"/>
        <v>1.7588801032579258</v>
      </c>
      <c r="X898" s="126">
        <f t="shared" si="146"/>
        <v>2.4777720652003419</v>
      </c>
      <c r="Y898" s="126">
        <f t="shared" si="147"/>
        <v>1.5315478265060891</v>
      </c>
      <c r="Z898" s="126">
        <f t="shared" si="148"/>
        <v>1.885084549269463</v>
      </c>
      <c r="AA898" s="126">
        <f t="shared" si="149"/>
        <v>2.8360078592525726</v>
      </c>
      <c r="AB898" s="126">
        <f t="shared" si="150"/>
        <v>2.0445872973172392</v>
      </c>
    </row>
    <row r="899" spans="1:28">
      <c r="A899">
        <v>898</v>
      </c>
      <c r="B899" s="119">
        <v>0.5642432556012803</v>
      </c>
      <c r="F899">
        <v>0.5886805873088452</v>
      </c>
      <c r="G899">
        <v>0.92201392064217846</v>
      </c>
      <c r="H899">
        <v>7.0162068790326687E-2</v>
      </c>
      <c r="I899">
        <v>0.40349540212365997</v>
      </c>
      <c r="J899">
        <v>0.73682873545699334</v>
      </c>
      <c r="K899">
        <v>0.18127317990143776</v>
      </c>
      <c r="L899">
        <v>0.51460651323477113</v>
      </c>
      <c r="M899">
        <v>0.84793984656810428</v>
      </c>
      <c r="N899">
        <v>0.29238429101254887</v>
      </c>
      <c r="O899">
        <v>0.62571762434588218</v>
      </c>
      <c r="R899">
        <v>2.5</v>
      </c>
      <c r="S899" s="126">
        <f t="shared" si="141"/>
        <v>2.6031082281749085</v>
      </c>
      <c r="T899" s="126">
        <f t="shared" si="142"/>
        <v>3.6402339446605794</v>
      </c>
      <c r="U899" s="126">
        <f t="shared" si="143"/>
        <v>1.7750712742587083</v>
      </c>
      <c r="V899" s="126">
        <f t="shared" si="144"/>
        <v>1.8523714436996268</v>
      </c>
      <c r="W899" s="126">
        <f t="shared" si="145"/>
        <v>2.6153218137933809</v>
      </c>
      <c r="X899" s="126">
        <f t="shared" si="146"/>
        <v>1.7251881905722866</v>
      </c>
      <c r="Y899" s="126">
        <f t="shared" si="147"/>
        <v>2.0590122588007378</v>
      </c>
      <c r="Z899" s="126">
        <f t="shared" si="148"/>
        <v>3.0441825350936749</v>
      </c>
      <c r="AA899" s="126">
        <f t="shared" si="149"/>
        <v>2.2410359446459451</v>
      </c>
      <c r="AB899" s="126">
        <f t="shared" si="150"/>
        <v>2.5524472531720264</v>
      </c>
    </row>
    <row r="900" spans="1:28">
      <c r="A900">
        <v>899</v>
      </c>
      <c r="B900" s="119">
        <v>0.89757658893461356</v>
      </c>
      <c r="F900">
        <v>0.95905095767921544</v>
      </c>
      <c r="G900">
        <v>0.10719910582736372</v>
      </c>
      <c r="H900">
        <v>0.44053243916069701</v>
      </c>
      <c r="I900">
        <v>0.77386577249403032</v>
      </c>
      <c r="J900">
        <v>0.2183102169384748</v>
      </c>
      <c r="K900">
        <v>0.55164355027180811</v>
      </c>
      <c r="L900">
        <v>0.88497688360514137</v>
      </c>
      <c r="M900">
        <v>0.3294213280495859</v>
      </c>
      <c r="N900">
        <v>0.66275466138291927</v>
      </c>
      <c r="O900">
        <v>0.99608799471625253</v>
      </c>
      <c r="R900">
        <v>2.5</v>
      </c>
      <c r="S900" s="126">
        <f t="shared" si="141"/>
        <v>3.8531959695691835</v>
      </c>
      <c r="T900" s="126">
        <f t="shared" si="142"/>
        <v>2.0743034015924637</v>
      </c>
      <c r="U900" s="126">
        <f t="shared" si="143"/>
        <v>2.0808662243000624</v>
      </c>
      <c r="V900" s="126">
        <f t="shared" si="144"/>
        <v>2.8275222787778591</v>
      </c>
      <c r="W900" s="126">
        <f t="shared" si="145"/>
        <v>1.9412176767907621</v>
      </c>
      <c r="X900" s="126">
        <f t="shared" si="146"/>
        <v>2.2444547475194909</v>
      </c>
      <c r="Y900" s="126">
        <f t="shared" si="147"/>
        <v>3.2797481606700676</v>
      </c>
      <c r="Z900" s="126">
        <f t="shared" si="148"/>
        <v>2.4459700870908145</v>
      </c>
      <c r="AA900" s="126">
        <f t="shared" si="149"/>
        <v>2.7374821081429346</v>
      </c>
      <c r="AB900" s="126">
        <f t="shared" si="150"/>
        <v>4.7312005763432952</v>
      </c>
    </row>
    <row r="901" spans="1:28">
      <c r="A901">
        <v>900</v>
      </c>
      <c r="B901" s="119">
        <v>4.5724737082761778E-2</v>
      </c>
      <c r="F901">
        <v>1.5749631661840166E-3</v>
      </c>
      <c r="G901">
        <v>0.33490829649951731</v>
      </c>
      <c r="H901">
        <v>0.66824162983285063</v>
      </c>
      <c r="I901">
        <v>0.11268607427729513</v>
      </c>
      <c r="J901">
        <v>0.44601940761062842</v>
      </c>
      <c r="K901">
        <v>0.77935274094396167</v>
      </c>
      <c r="L901">
        <v>0.22379718538840623</v>
      </c>
      <c r="M901">
        <v>0.55713051872173958</v>
      </c>
      <c r="N901">
        <v>0.89046385205507284</v>
      </c>
      <c r="O901">
        <v>3.8612000203221052E-2</v>
      </c>
      <c r="R901">
        <v>2.5</v>
      </c>
      <c r="S901" s="126">
        <f t="shared" si="141"/>
        <v>-1.7171890836605197E-2</v>
      </c>
      <c r="T901" s="126">
        <f t="shared" si="142"/>
        <v>0.80140234457718784</v>
      </c>
      <c r="U901" s="126">
        <f t="shared" si="143"/>
        <v>1.9233521739812913</v>
      </c>
      <c r="V901" s="126">
        <f t="shared" si="144"/>
        <v>1.1284444182289</v>
      </c>
      <c r="W901" s="126">
        <f t="shared" si="145"/>
        <v>1.6169377620727805</v>
      </c>
      <c r="X901" s="126">
        <f t="shared" si="146"/>
        <v>2.6095038323159763</v>
      </c>
      <c r="Y901" s="126">
        <f t="shared" si="147"/>
        <v>1.84688481951121</v>
      </c>
      <c r="Z901" s="126">
        <f t="shared" si="148"/>
        <v>2.2084938481742715</v>
      </c>
      <c r="AA901" s="126">
        <f t="shared" si="149"/>
        <v>3.2853945704424765</v>
      </c>
      <c r="AB901" s="126">
        <f t="shared" si="150"/>
        <v>1.355524328314103</v>
      </c>
    </row>
    <row r="902" spans="1:28">
      <c r="A902">
        <v>901</v>
      </c>
      <c r="B902" s="119">
        <v>0.37905807041609513</v>
      </c>
      <c r="F902">
        <v>0.37194533353655435</v>
      </c>
      <c r="G902">
        <v>0.70527866686988772</v>
      </c>
      <c r="H902">
        <v>0.14972311131433216</v>
      </c>
      <c r="I902">
        <v>0.48305644464766545</v>
      </c>
      <c r="J902">
        <v>0.81638977798099865</v>
      </c>
      <c r="K902">
        <v>0.26083422242544324</v>
      </c>
      <c r="L902">
        <v>0.59416755575877656</v>
      </c>
      <c r="M902">
        <v>0.92750088909210981</v>
      </c>
      <c r="N902">
        <v>7.5649037240258094E-2</v>
      </c>
      <c r="O902">
        <v>0.40898237057359138</v>
      </c>
      <c r="R902">
        <v>2.5</v>
      </c>
      <c r="S902" s="126">
        <f t="shared" si="141"/>
        <v>2.1487607731854013</v>
      </c>
      <c r="T902" s="126">
        <f t="shared" si="142"/>
        <v>2.6867928564454493</v>
      </c>
      <c r="U902" s="126">
        <f t="shared" si="143"/>
        <v>1.6562791717637166</v>
      </c>
      <c r="V902" s="126">
        <f t="shared" si="144"/>
        <v>1.9591325722331125</v>
      </c>
      <c r="W902" s="126">
        <f t="shared" si="145"/>
        <v>2.8901031252912737</v>
      </c>
      <c r="X902" s="126">
        <f t="shared" si="146"/>
        <v>2.0857815011484422</v>
      </c>
      <c r="Y902" s="126">
        <f t="shared" si="147"/>
        <v>2.4065735496351102</v>
      </c>
      <c r="Z902" s="126">
        <f t="shared" si="148"/>
        <v>3.573358072532995</v>
      </c>
      <c r="AA902" s="126">
        <f t="shared" si="149"/>
        <v>1.7741409782372419</v>
      </c>
      <c r="AB902" s="126">
        <f t="shared" si="150"/>
        <v>1.8635718598510966</v>
      </c>
    </row>
    <row r="903" spans="1:28">
      <c r="A903">
        <v>902</v>
      </c>
      <c r="B903" s="119">
        <v>0.71239140374942844</v>
      </c>
      <c r="F903">
        <v>0.7423157039069247</v>
      </c>
      <c r="G903">
        <v>0.1867601483513692</v>
      </c>
      <c r="H903">
        <v>0.52009348168470249</v>
      </c>
      <c r="I903">
        <v>0.85342681501803574</v>
      </c>
      <c r="J903">
        <v>0.29787125946248028</v>
      </c>
      <c r="K903">
        <v>0.63120459279581365</v>
      </c>
      <c r="L903">
        <v>0.96453792612914691</v>
      </c>
      <c r="M903">
        <v>1.3920642178529695E-2</v>
      </c>
      <c r="N903">
        <v>0.34725397551186299</v>
      </c>
      <c r="O903">
        <v>0.68058730884519625</v>
      </c>
      <c r="R903">
        <v>2.5</v>
      </c>
      <c r="S903" s="126">
        <f t="shared" si="141"/>
        <v>2.9547607463203955</v>
      </c>
      <c r="T903" s="126">
        <f t="shared" si="142"/>
        <v>1.9128017658494412</v>
      </c>
      <c r="U903" s="126">
        <f t="shared" si="143"/>
        <v>2.1646617978235003</v>
      </c>
      <c r="V903" s="126">
        <f t="shared" si="144"/>
        <v>3.1167528153414632</v>
      </c>
      <c r="W903" s="126">
        <f t="shared" si="145"/>
        <v>2.2906238862092518</v>
      </c>
      <c r="X903" s="126">
        <f t="shared" si="146"/>
        <v>2.5893404781926566</v>
      </c>
      <c r="Y903" s="126">
        <f t="shared" si="147"/>
        <v>3.9526880960944579</v>
      </c>
      <c r="Z903" s="126">
        <f t="shared" si="148"/>
        <v>1.3341880476896208</v>
      </c>
      <c r="AA903" s="126">
        <f t="shared" si="149"/>
        <v>1.5083544112294576</v>
      </c>
      <c r="AB903" s="126">
        <f t="shared" si="150"/>
        <v>2.3069394368494258</v>
      </c>
    </row>
    <row r="904" spans="1:28">
      <c r="A904">
        <v>903</v>
      </c>
      <c r="B904" s="119">
        <v>0.15683584819387286</v>
      </c>
      <c r="F904">
        <v>0.12503175328964081</v>
      </c>
      <c r="G904">
        <v>0.45836508662297409</v>
      </c>
      <c r="H904">
        <v>0.79169841995630741</v>
      </c>
      <c r="I904">
        <v>0.23614286440075191</v>
      </c>
      <c r="J904">
        <v>0.56947619773408531</v>
      </c>
      <c r="K904">
        <v>0.90280953106741857</v>
      </c>
      <c r="L904">
        <v>5.095767921556673E-2</v>
      </c>
      <c r="M904">
        <v>0.38429101254890002</v>
      </c>
      <c r="N904">
        <v>0.71762434588223345</v>
      </c>
      <c r="O904">
        <v>0.16206879032667784</v>
      </c>
      <c r="R904">
        <v>2.5</v>
      </c>
      <c r="S904" s="126">
        <f t="shared" si="141"/>
        <v>1.469546486712934</v>
      </c>
      <c r="T904" s="126">
        <f t="shared" si="142"/>
        <v>1.8140858389862431</v>
      </c>
      <c r="U904" s="126">
        <f t="shared" si="143"/>
        <v>2.7434955311554421</v>
      </c>
      <c r="V904" s="126">
        <f t="shared" si="144"/>
        <v>1.9477709255085887</v>
      </c>
      <c r="W904" s="126">
        <f t="shared" si="145"/>
        <v>2.2850507276762495</v>
      </c>
      <c r="X904" s="126">
        <f t="shared" si="146"/>
        <v>3.380559703717541</v>
      </c>
      <c r="Y904" s="126">
        <f t="shared" si="147"/>
        <v>1.5117224695112785</v>
      </c>
      <c r="Z904" s="126">
        <f t="shared" si="148"/>
        <v>1.6788381057025212</v>
      </c>
      <c r="AA904" s="126">
        <f t="shared" si="149"/>
        <v>2.4804301714868178</v>
      </c>
      <c r="AB904" s="126">
        <f t="shared" si="150"/>
        <v>1.5951463536647528</v>
      </c>
    </row>
    <row r="905" spans="1:28">
      <c r="A905">
        <v>904</v>
      </c>
      <c r="B905" s="119">
        <v>0.49016918152720623</v>
      </c>
      <c r="F905">
        <v>0.49540212366001113</v>
      </c>
      <c r="G905">
        <v>0.82873545699334439</v>
      </c>
      <c r="H905">
        <v>0.27317990143778892</v>
      </c>
      <c r="I905">
        <v>0.60651323477112229</v>
      </c>
      <c r="J905">
        <v>0.93984656810445555</v>
      </c>
      <c r="K905">
        <v>8.7994716252603772E-2</v>
      </c>
      <c r="L905">
        <v>0.42132804958593706</v>
      </c>
      <c r="M905">
        <v>0.75466138291927043</v>
      </c>
      <c r="N905">
        <v>0.19910582736371488</v>
      </c>
      <c r="O905">
        <v>0.53243916069704811</v>
      </c>
      <c r="R905">
        <v>2.5</v>
      </c>
      <c r="S905" s="126">
        <f t="shared" si="141"/>
        <v>2.4087212719377784</v>
      </c>
      <c r="T905" s="126">
        <f t="shared" si="142"/>
        <v>3.1552343921457209</v>
      </c>
      <c r="U905" s="126">
        <f t="shared" si="143"/>
        <v>2.2500092379527921</v>
      </c>
      <c r="V905" s="126">
        <f t="shared" si="144"/>
        <v>2.5154782769759749</v>
      </c>
      <c r="W905" s="126">
        <f t="shared" si="145"/>
        <v>3.7073227919386809</v>
      </c>
      <c r="X905" s="126">
        <f t="shared" si="146"/>
        <v>1.9089025425035677</v>
      </c>
      <c r="Y905" s="126">
        <f t="shared" si="147"/>
        <v>1.9574213925286312</v>
      </c>
      <c r="Z905" s="126">
        <f t="shared" si="148"/>
        <v>2.7140060486094604</v>
      </c>
      <c r="AA905" s="126">
        <f t="shared" si="149"/>
        <v>1.8289797997211541</v>
      </c>
      <c r="AB905" s="126">
        <f t="shared" si="150"/>
        <v>2.148113658510983</v>
      </c>
    </row>
    <row r="906" spans="1:28">
      <c r="A906">
        <v>905</v>
      </c>
      <c r="B906" s="119">
        <v>0.82350251486053938</v>
      </c>
      <c r="F906">
        <v>0.86577249403038137</v>
      </c>
      <c r="G906">
        <v>0.31021693847482595</v>
      </c>
      <c r="H906">
        <v>0.64355027180815927</v>
      </c>
      <c r="I906">
        <v>0.97688360514149253</v>
      </c>
      <c r="J906">
        <v>2.626632119087537E-2</v>
      </c>
      <c r="K906">
        <v>0.35959965452420867</v>
      </c>
      <c r="L906">
        <v>0.69293298785754198</v>
      </c>
      <c r="M906">
        <v>0.13737743230198649</v>
      </c>
      <c r="N906">
        <v>0.47071076563531977</v>
      </c>
      <c r="O906">
        <v>0.80404409896865303</v>
      </c>
      <c r="R906">
        <v>2.5</v>
      </c>
      <c r="S906" s="126">
        <f t="shared" si="141"/>
        <v>3.330973803169698</v>
      </c>
      <c r="T906" s="126">
        <f t="shared" si="142"/>
        <v>2.4274046126421749</v>
      </c>
      <c r="U906" s="126">
        <f t="shared" si="143"/>
        <v>2.6852383927207182</v>
      </c>
      <c r="V906" s="126">
        <f t="shared" si="144"/>
        <v>4.1553705686025202</v>
      </c>
      <c r="W906" s="126">
        <f t="shared" si="145"/>
        <v>1.6511414782492517</v>
      </c>
      <c r="X906" s="126">
        <f t="shared" si="146"/>
        <v>1.6950515415814367</v>
      </c>
      <c r="Y906" s="126">
        <f t="shared" si="147"/>
        <v>2.4295090290542261</v>
      </c>
      <c r="Z906" s="126">
        <f t="shared" si="148"/>
        <v>1.4819702526999867</v>
      </c>
      <c r="AA906" s="126">
        <f t="shared" si="149"/>
        <v>1.8459566615676104</v>
      </c>
      <c r="AB906" s="126">
        <f t="shared" si="150"/>
        <v>2.7956622714715351</v>
      </c>
    </row>
    <row r="907" spans="1:28">
      <c r="A907">
        <v>906</v>
      </c>
      <c r="B907" s="119">
        <v>0.26794695930498402</v>
      </c>
      <c r="F907">
        <v>0.24848854341309759</v>
      </c>
      <c r="G907">
        <v>0.58182187674643093</v>
      </c>
      <c r="H907">
        <v>0.91515521007976419</v>
      </c>
      <c r="I907">
        <v>6.3303358227912415E-2</v>
      </c>
      <c r="J907">
        <v>0.3966366915612457</v>
      </c>
      <c r="K907">
        <v>0.72997002489457907</v>
      </c>
      <c r="L907">
        <v>0.17441446933902352</v>
      </c>
      <c r="M907">
        <v>0.50774780267235686</v>
      </c>
      <c r="N907">
        <v>0.84108113600569001</v>
      </c>
      <c r="O907">
        <v>0.2855255804501346</v>
      </c>
      <c r="R907">
        <v>2.5</v>
      </c>
      <c r="S907" s="126">
        <f t="shared" si="141"/>
        <v>1.857978935463396</v>
      </c>
      <c r="T907" s="126">
        <f t="shared" si="142"/>
        <v>2.2659154425540495</v>
      </c>
      <c r="U907" s="126">
        <f t="shared" si="143"/>
        <v>3.4331934933907813</v>
      </c>
      <c r="V907" s="126">
        <f t="shared" si="144"/>
        <v>1.6272688607520607</v>
      </c>
      <c r="W907" s="126">
        <f t="shared" si="145"/>
        <v>1.7634437540015935</v>
      </c>
      <c r="X907" s="126">
        <f t="shared" si="146"/>
        <v>2.5534076544974309</v>
      </c>
      <c r="Y907" s="126">
        <f t="shared" si="147"/>
        <v>1.6723453723912671</v>
      </c>
      <c r="Z907" s="126">
        <f t="shared" si="148"/>
        <v>2.0182675575897968</v>
      </c>
      <c r="AA907" s="126">
        <f t="shared" si="149"/>
        <v>3.0000106418607722</v>
      </c>
      <c r="AB907" s="126">
        <f t="shared" si="150"/>
        <v>2.2022802242872426</v>
      </c>
    </row>
    <row r="908" spans="1:28">
      <c r="A908">
        <v>907</v>
      </c>
      <c r="B908" s="119">
        <v>0.60128029263831728</v>
      </c>
      <c r="F908">
        <v>0.61885891378346791</v>
      </c>
      <c r="G908">
        <v>0.95219224711680117</v>
      </c>
      <c r="H908">
        <v>0.10034039526494945</v>
      </c>
      <c r="I908">
        <v>0.43367372859828274</v>
      </c>
      <c r="J908">
        <v>0.76700706193161605</v>
      </c>
      <c r="K908">
        <v>0.21145150637606056</v>
      </c>
      <c r="L908">
        <v>0.54478483970939384</v>
      </c>
      <c r="M908">
        <v>0.8781181730427271</v>
      </c>
      <c r="N908">
        <v>0.32256261748717163</v>
      </c>
      <c r="O908">
        <v>0.655895950820505</v>
      </c>
      <c r="R908">
        <v>2.5</v>
      </c>
      <c r="S908" s="126">
        <f t="shared" si="141"/>
        <v>2.6677172780046154</v>
      </c>
      <c r="T908" s="126">
        <f t="shared" si="142"/>
        <v>3.8770445570271601</v>
      </c>
      <c r="U908" s="126">
        <f t="shared" si="143"/>
        <v>2.0549040950880366</v>
      </c>
      <c r="V908" s="126">
        <f t="shared" si="144"/>
        <v>2.0567569563696053</v>
      </c>
      <c r="W908" s="126">
        <f t="shared" si="145"/>
        <v>2.796753972328601</v>
      </c>
      <c r="X908" s="126">
        <f t="shared" si="146"/>
        <v>1.9063853960872044</v>
      </c>
      <c r="Y908" s="126">
        <f t="shared" si="147"/>
        <v>2.2126632542117246</v>
      </c>
      <c r="Z908" s="126">
        <f t="shared" si="148"/>
        <v>3.2352244702351642</v>
      </c>
      <c r="AA908" s="126">
        <f t="shared" si="149"/>
        <v>2.4078939218603677</v>
      </c>
      <c r="AB908" s="126">
        <f t="shared" si="150"/>
        <v>2.7029172665578556</v>
      </c>
    </row>
    <row r="909" spans="1:28">
      <c r="A909">
        <v>908</v>
      </c>
      <c r="B909" s="119">
        <v>0.93461362597165054</v>
      </c>
      <c r="F909">
        <v>0.98922928415383826</v>
      </c>
      <c r="G909">
        <v>5.6901895036325775E-3</v>
      </c>
      <c r="H909">
        <v>0.33902352283696585</v>
      </c>
      <c r="I909">
        <v>0.67235685617029917</v>
      </c>
      <c r="J909">
        <v>0.11680130061474368</v>
      </c>
      <c r="K909">
        <v>0.45013463394807696</v>
      </c>
      <c r="L909">
        <v>0.78346796728141022</v>
      </c>
      <c r="M909">
        <v>0.2279124117258548</v>
      </c>
      <c r="N909">
        <v>0.56124574505918812</v>
      </c>
      <c r="O909">
        <v>0.89457907839252138</v>
      </c>
      <c r="R909">
        <v>2.5</v>
      </c>
      <c r="S909" s="126">
        <f t="shared" si="141"/>
        <v>4.3139129760229222</v>
      </c>
      <c r="T909" s="126">
        <f t="shared" si="142"/>
        <v>1.2424989860042817</v>
      </c>
      <c r="U909" s="126">
        <f t="shared" si="143"/>
        <v>1.443808551977187</v>
      </c>
      <c r="V909" s="126">
        <f t="shared" si="144"/>
        <v>2.2556015147848285</v>
      </c>
      <c r="W909" s="126">
        <f t="shared" si="145"/>
        <v>1.3129488359569943</v>
      </c>
      <c r="X909" s="126">
        <f t="shared" si="146"/>
        <v>1.7182505977097762</v>
      </c>
      <c r="Y909" s="126">
        <f t="shared" si="147"/>
        <v>2.6719297182445674</v>
      </c>
      <c r="Z909" s="126">
        <f t="shared" si="148"/>
        <v>1.889553418284573</v>
      </c>
      <c r="AA909" s="126">
        <f t="shared" si="149"/>
        <v>2.2385420776895368</v>
      </c>
      <c r="AB909" s="126">
        <f t="shared" si="150"/>
        <v>3.3188529403373366</v>
      </c>
    </row>
    <row r="910" spans="1:28">
      <c r="A910">
        <v>909</v>
      </c>
      <c r="B910" s="119">
        <v>8.2761774119798806E-2</v>
      </c>
      <c r="F910">
        <v>4.2727226540669613E-2</v>
      </c>
      <c r="G910">
        <v>0.37606055987400289</v>
      </c>
      <c r="H910">
        <v>0.70939389320733626</v>
      </c>
      <c r="I910">
        <v>0.15383833765178073</v>
      </c>
      <c r="J910">
        <v>0.48717167098511399</v>
      </c>
      <c r="K910">
        <v>0.8205050043184472</v>
      </c>
      <c r="L910">
        <v>0.26494944876289178</v>
      </c>
      <c r="M910">
        <v>0.5982827820962251</v>
      </c>
      <c r="N910">
        <v>0.93161611542955836</v>
      </c>
      <c r="O910">
        <v>7.9764263577706648E-2</v>
      </c>
      <c r="R910">
        <v>2.5</v>
      </c>
      <c r="S910" s="126">
        <f t="shared" si="141"/>
        <v>0.99967130685634364</v>
      </c>
      <c r="T910" s="126">
        <f t="shared" si="142"/>
        <v>1.4036543256560794</v>
      </c>
      <c r="U910" s="126">
        <f t="shared" si="143"/>
        <v>2.3221760882354721</v>
      </c>
      <c r="V910" s="126">
        <f t="shared" si="144"/>
        <v>1.4874670760345965</v>
      </c>
      <c r="W910" s="126">
        <f t="shared" si="145"/>
        <v>1.8828016732001454</v>
      </c>
      <c r="X910" s="126">
        <f t="shared" si="146"/>
        <v>2.864605462523429</v>
      </c>
      <c r="Y910" s="126">
        <f t="shared" si="147"/>
        <v>2.0833714835666748</v>
      </c>
      <c r="Z910" s="126">
        <f t="shared" si="148"/>
        <v>2.4141266122428688</v>
      </c>
      <c r="AA910" s="126">
        <f t="shared" si="149"/>
        <v>3.6023170988788307</v>
      </c>
      <c r="AB910" s="126">
        <f t="shared" si="150"/>
        <v>1.8120396659644165</v>
      </c>
    </row>
    <row r="911" spans="1:28">
      <c r="A911">
        <v>910</v>
      </c>
      <c r="B911" s="119">
        <v>0.41609510745313216</v>
      </c>
      <c r="F911">
        <v>0.41309759691103992</v>
      </c>
      <c r="G911">
        <v>0.74643093024437324</v>
      </c>
      <c r="H911">
        <v>0.19087537468881777</v>
      </c>
      <c r="I911">
        <v>0.52420870802215103</v>
      </c>
      <c r="J911">
        <v>0.85754204135548429</v>
      </c>
      <c r="K911">
        <v>0.30198648579992882</v>
      </c>
      <c r="L911">
        <v>0.63531981913326219</v>
      </c>
      <c r="M911">
        <v>0.96865315246659545</v>
      </c>
      <c r="N911">
        <v>1.8035868515978253E-2</v>
      </c>
      <c r="O911">
        <v>0.35136920184931153</v>
      </c>
      <c r="R911">
        <v>2.5</v>
      </c>
      <c r="S911" s="126">
        <f t="shared" si="141"/>
        <v>2.2371145995549573</v>
      </c>
      <c r="T911" s="126">
        <f t="shared" si="142"/>
        <v>2.8331914603854029</v>
      </c>
      <c r="U911" s="126">
        <f t="shared" si="143"/>
        <v>1.8642575018946994</v>
      </c>
      <c r="V911" s="126">
        <f t="shared" si="144"/>
        <v>2.1487847223042937</v>
      </c>
      <c r="W911" s="126">
        <f t="shared" si="145"/>
        <v>3.1236993271219022</v>
      </c>
      <c r="X911" s="126">
        <f t="shared" si="146"/>
        <v>2.303878521271538</v>
      </c>
      <c r="Y911" s="126">
        <f t="shared" si="147"/>
        <v>2.60501821728894</v>
      </c>
      <c r="Z911" s="126">
        <f t="shared" si="148"/>
        <v>4.0062573382952023</v>
      </c>
      <c r="AA911" s="126">
        <f t="shared" si="149"/>
        <v>1.4463943671312296</v>
      </c>
      <c r="AB911" s="126">
        <f t="shared" si="150"/>
        <v>1.5739196878646167</v>
      </c>
    </row>
    <row r="912" spans="1:28">
      <c r="A912">
        <v>911</v>
      </c>
      <c r="B912" s="119">
        <v>0.74942844078646542</v>
      </c>
      <c r="F912">
        <v>0.68470253518264479</v>
      </c>
      <c r="G912">
        <v>0.12914697962708938</v>
      </c>
      <c r="H912">
        <v>0.46248031296042263</v>
      </c>
      <c r="I912">
        <v>0.79581364629375595</v>
      </c>
      <c r="J912">
        <v>0.24025809073820048</v>
      </c>
      <c r="K912">
        <v>0.57359142407153385</v>
      </c>
      <c r="L912">
        <v>0.90692475740486711</v>
      </c>
      <c r="M912">
        <v>5.5072905553015292E-2</v>
      </c>
      <c r="N912">
        <v>0.38840623888634856</v>
      </c>
      <c r="O912">
        <v>0.72173957221968199</v>
      </c>
      <c r="R912">
        <v>2.5</v>
      </c>
      <c r="S912" s="126">
        <f t="shared" si="141"/>
        <v>2.8148652227443898</v>
      </c>
      <c r="T912" s="126">
        <f t="shared" si="142"/>
        <v>1.6440978442191372</v>
      </c>
      <c r="U912" s="126">
        <f t="shared" si="143"/>
        <v>1.9103655940213506</v>
      </c>
      <c r="V912" s="126">
        <f t="shared" si="144"/>
        <v>2.8037894154885197</v>
      </c>
      <c r="W912" s="126">
        <f t="shared" si="145"/>
        <v>1.9890382048629194</v>
      </c>
      <c r="X912" s="126">
        <f t="shared" si="146"/>
        <v>2.3144391896451424</v>
      </c>
      <c r="Y912" s="126">
        <f t="shared" si="147"/>
        <v>3.4153939349792539</v>
      </c>
      <c r="Z912" s="126">
        <f t="shared" si="148"/>
        <v>1.5606550038164424</v>
      </c>
      <c r="AA912" s="126">
        <f t="shared" si="149"/>
        <v>1.7123021793536455</v>
      </c>
      <c r="AB912" s="126">
        <f t="shared" si="150"/>
        <v>2.5073269696770164</v>
      </c>
    </row>
    <row r="913" spans="1:28">
      <c r="A913">
        <v>912</v>
      </c>
      <c r="B913" s="119">
        <v>0.1938728852309099</v>
      </c>
      <c r="F913">
        <v>0.16618401666412641</v>
      </c>
      <c r="G913">
        <v>0.49951734999745967</v>
      </c>
      <c r="H913">
        <v>0.83285068333079293</v>
      </c>
      <c r="I913">
        <v>0.27729512777523746</v>
      </c>
      <c r="J913">
        <v>0.61062846110857083</v>
      </c>
      <c r="K913">
        <v>0.94396179444190409</v>
      </c>
      <c r="L913">
        <v>9.2109942590052327E-2</v>
      </c>
      <c r="M913">
        <v>0.4254432759233856</v>
      </c>
      <c r="N913">
        <v>0.75877660925671897</v>
      </c>
      <c r="O913">
        <v>0.20322105370116345</v>
      </c>
      <c r="R913">
        <v>2.5</v>
      </c>
      <c r="S913" s="126">
        <f t="shared" si="141"/>
        <v>1.6187033317462614</v>
      </c>
      <c r="T913" s="126">
        <f t="shared" si="142"/>
        <v>1.9742898713390022</v>
      </c>
      <c r="U913" s="126">
        <f t="shared" si="143"/>
        <v>2.9503430141391536</v>
      </c>
      <c r="V913" s="126">
        <f t="shared" si="144"/>
        <v>2.1571990018411062</v>
      </c>
      <c r="W913" s="126">
        <f t="shared" si="145"/>
        <v>2.4776693179032154</v>
      </c>
      <c r="X913" s="126">
        <f t="shared" si="146"/>
        <v>3.7175527220419173</v>
      </c>
      <c r="Y913" s="126">
        <f t="shared" si="147"/>
        <v>1.9349393370466217</v>
      </c>
      <c r="Z913" s="126">
        <f t="shared" si="148"/>
        <v>1.9791759679122298</v>
      </c>
      <c r="AA913" s="126">
        <f t="shared" si="149"/>
        <v>2.7357782637688688</v>
      </c>
      <c r="AB913" s="126">
        <f t="shared" si="150"/>
        <v>1.852004552232732</v>
      </c>
    </row>
    <row r="914" spans="1:28">
      <c r="A914">
        <v>913</v>
      </c>
      <c r="B914" s="119">
        <v>0.52720621856424321</v>
      </c>
      <c r="F914">
        <v>0.53655438703449665</v>
      </c>
      <c r="G914">
        <v>0.86988772036782991</v>
      </c>
      <c r="H914">
        <v>0.31433216481227449</v>
      </c>
      <c r="I914">
        <v>0.64766549814560781</v>
      </c>
      <c r="J914">
        <v>0.98099883147894107</v>
      </c>
      <c r="K914">
        <v>3.0381547528323932E-2</v>
      </c>
      <c r="L914">
        <v>0.36371488086165721</v>
      </c>
      <c r="M914">
        <v>0.69704821419499052</v>
      </c>
      <c r="N914">
        <v>0.14149265863943505</v>
      </c>
      <c r="O914">
        <v>0.47482599197276831</v>
      </c>
      <c r="R914">
        <v>2.5</v>
      </c>
      <c r="S914" s="126">
        <f t="shared" si="141"/>
        <v>2.4939084921168448</v>
      </c>
      <c r="T914" s="126">
        <f t="shared" si="142"/>
        <v>3.3437756115024362</v>
      </c>
      <c r="U914" s="126">
        <f t="shared" si="143"/>
        <v>2.443429455264539</v>
      </c>
      <c r="V914" s="126">
        <f t="shared" si="144"/>
        <v>2.7024152324157087</v>
      </c>
      <c r="W914" s="126">
        <f t="shared" si="145"/>
        <v>4.2312807291614041</v>
      </c>
      <c r="X914" s="126">
        <f t="shared" si="146"/>
        <v>1.7416914645811685</v>
      </c>
      <c r="Y914" s="126">
        <f t="shared" si="147"/>
        <v>1.749620376539132</v>
      </c>
      <c r="Z914" s="126">
        <f t="shared" si="148"/>
        <v>2.4666253848011319</v>
      </c>
      <c r="AA914" s="126">
        <f t="shared" si="149"/>
        <v>1.5159173945639444</v>
      </c>
      <c r="AB914" s="126">
        <f t="shared" si="150"/>
        <v>1.8715465032543299</v>
      </c>
    </row>
    <row r="915" spans="1:28">
      <c r="A915">
        <v>914</v>
      </c>
      <c r="B915" s="119">
        <v>0.86053955189757647</v>
      </c>
      <c r="F915">
        <v>0.80815932530610157</v>
      </c>
      <c r="G915">
        <v>0.2526037697505461</v>
      </c>
      <c r="H915">
        <v>0.58593710308387947</v>
      </c>
      <c r="I915">
        <v>0.91927043641721273</v>
      </c>
      <c r="J915">
        <v>6.741858456536097E-2</v>
      </c>
      <c r="K915">
        <v>0.40075191789869424</v>
      </c>
      <c r="L915">
        <v>0.73408525123202761</v>
      </c>
      <c r="M915">
        <v>0.17852969567647209</v>
      </c>
      <c r="N915">
        <v>0.5118630290098054</v>
      </c>
      <c r="O915">
        <v>0.84519636234313855</v>
      </c>
      <c r="R915">
        <v>2.5</v>
      </c>
      <c r="S915" s="126">
        <f t="shared" si="141"/>
        <v>3.1367382226244951</v>
      </c>
      <c r="T915" s="126">
        <f t="shared" si="142"/>
        <v>2.1886725671150069</v>
      </c>
      <c r="U915" s="126">
        <f t="shared" si="143"/>
        <v>2.4408232421104046</v>
      </c>
      <c r="V915" s="126">
        <f t="shared" si="144"/>
        <v>3.5433544815414004</v>
      </c>
      <c r="W915" s="126">
        <f t="shared" si="145"/>
        <v>1.7092971369487988</v>
      </c>
      <c r="X915" s="126">
        <f t="shared" si="146"/>
        <v>1.8134643600641949</v>
      </c>
      <c r="Y915" s="126">
        <f t="shared" si="147"/>
        <v>2.5888525385669436</v>
      </c>
      <c r="Z915" s="126">
        <f t="shared" si="148"/>
        <v>1.7032580876096293</v>
      </c>
      <c r="AA915" s="126">
        <f t="shared" si="149"/>
        <v>2.0423149915082295</v>
      </c>
      <c r="AB915" s="126">
        <f t="shared" si="150"/>
        <v>3.0262300533753601</v>
      </c>
    </row>
    <row r="916" spans="1:28">
      <c r="A916">
        <v>915</v>
      </c>
      <c r="B916" s="119">
        <v>0.30498399634202106</v>
      </c>
      <c r="F916">
        <v>0.28964080678758314</v>
      </c>
      <c r="G916">
        <v>0.62297414012091645</v>
      </c>
      <c r="H916">
        <v>0.95630747345424971</v>
      </c>
      <c r="I916">
        <v>0.104455621602398</v>
      </c>
      <c r="J916">
        <v>0.43778895493573128</v>
      </c>
      <c r="K916">
        <v>0.77112228826906459</v>
      </c>
      <c r="L916">
        <v>0.21556673271350912</v>
      </c>
      <c r="M916">
        <v>0.54890006604684238</v>
      </c>
      <c r="N916">
        <v>0.88223339938017564</v>
      </c>
      <c r="O916">
        <v>0.32667784382462017</v>
      </c>
      <c r="R916">
        <v>2.5</v>
      </c>
      <c r="S916" s="126">
        <f t="shared" si="141"/>
        <v>1.9609299764569577</v>
      </c>
      <c r="T916" s="126">
        <f t="shared" si="142"/>
        <v>2.4057018048810987</v>
      </c>
      <c r="U916" s="126">
        <f t="shared" si="143"/>
        <v>3.7807098752269042</v>
      </c>
      <c r="V916" s="126">
        <f t="shared" si="144"/>
        <v>2.0254975207001267</v>
      </c>
      <c r="W916" s="126">
        <f t="shared" si="145"/>
        <v>2.0505974490060357</v>
      </c>
      <c r="X916" s="126">
        <f t="shared" si="146"/>
        <v>2.8048112502642089</v>
      </c>
      <c r="Y916" s="126">
        <f t="shared" si="147"/>
        <v>1.922098860802929</v>
      </c>
      <c r="Z916" s="126">
        <f t="shared" si="148"/>
        <v>2.2291281005598824</v>
      </c>
      <c r="AA916" s="126">
        <f t="shared" si="149"/>
        <v>3.2604861353888586</v>
      </c>
      <c r="AB916" s="126">
        <f t="shared" si="150"/>
        <v>2.430025709145605</v>
      </c>
    </row>
    <row r="917" spans="1:28">
      <c r="A917">
        <v>916</v>
      </c>
      <c r="B917" s="119">
        <v>0.63831732967535437</v>
      </c>
      <c r="F917">
        <v>0.66001117715795354</v>
      </c>
      <c r="G917">
        <v>0.9933445104912868</v>
      </c>
      <c r="H917">
        <v>9.8054158410811366E-3</v>
      </c>
      <c r="I917">
        <v>0.34313874917441445</v>
      </c>
      <c r="J917">
        <v>0.67647208250774771</v>
      </c>
      <c r="K917">
        <v>0.12091652695219225</v>
      </c>
      <c r="L917">
        <v>0.45424986028552555</v>
      </c>
      <c r="M917">
        <v>0.78758319361885876</v>
      </c>
      <c r="N917">
        <v>0.23202763806330334</v>
      </c>
      <c r="O917">
        <v>0.56536097139663666</v>
      </c>
      <c r="R917">
        <v>2.5</v>
      </c>
      <c r="S917" s="126">
        <f t="shared" si="141"/>
        <v>2.7584521894196561</v>
      </c>
      <c r="T917" s="126">
        <f t="shared" si="142"/>
        <v>4.5897850550134391</v>
      </c>
      <c r="U917" s="126">
        <f t="shared" si="143"/>
        <v>1.5437081345768107</v>
      </c>
      <c r="V917" s="126">
        <f t="shared" si="144"/>
        <v>1.6044486055557097</v>
      </c>
      <c r="W917" s="126">
        <f t="shared" si="145"/>
        <v>2.3457630126009716</v>
      </c>
      <c r="X917" s="126">
        <f t="shared" si="146"/>
        <v>1.3753476937068836</v>
      </c>
      <c r="Y917" s="126">
        <f t="shared" si="147"/>
        <v>1.7581820054065027</v>
      </c>
      <c r="Z917" s="126">
        <f t="shared" si="148"/>
        <v>2.703632531393569</v>
      </c>
      <c r="AA917" s="126">
        <f t="shared" si="149"/>
        <v>1.916666445518576</v>
      </c>
      <c r="AB917" s="126">
        <f t="shared" si="150"/>
        <v>2.2607859299438555</v>
      </c>
    </row>
    <row r="918" spans="1:28">
      <c r="A918">
        <v>917</v>
      </c>
      <c r="B918" s="119">
        <v>0.97165066300868763</v>
      </c>
      <c r="F918">
        <v>0.89869430472996992</v>
      </c>
      <c r="G918">
        <v>4.6842452878118175E-2</v>
      </c>
      <c r="H918">
        <v>0.38017578621145148</v>
      </c>
      <c r="I918">
        <v>0.7135091195447848</v>
      </c>
      <c r="J918">
        <v>0.15795356398922927</v>
      </c>
      <c r="K918">
        <v>0.49128689732256259</v>
      </c>
      <c r="L918">
        <v>0.82462023065589574</v>
      </c>
      <c r="M918">
        <v>0.26906467510034038</v>
      </c>
      <c r="N918">
        <v>0.60239800843367364</v>
      </c>
      <c r="O918">
        <v>0.9357313417670069</v>
      </c>
      <c r="R918">
        <v>2.5</v>
      </c>
      <c r="S918" s="126">
        <f t="shared" si="141"/>
        <v>3.4691437313283373</v>
      </c>
      <c r="T918" s="126">
        <f t="shared" si="142"/>
        <v>1.5227298451340072</v>
      </c>
      <c r="U918" s="126">
        <f t="shared" si="143"/>
        <v>1.6754716708078823</v>
      </c>
      <c r="V918" s="126">
        <f t="shared" si="144"/>
        <v>2.468730854626993</v>
      </c>
      <c r="W918" s="126">
        <f t="shared" si="145"/>
        <v>1.5753162551700597</v>
      </c>
      <c r="X918" s="126">
        <f t="shared" si="146"/>
        <v>1.9354659052073881</v>
      </c>
      <c r="Y918" s="126">
        <f t="shared" si="147"/>
        <v>2.9041275438394898</v>
      </c>
      <c r="Z918" s="126">
        <f t="shared" si="148"/>
        <v>2.1135585793780867</v>
      </c>
      <c r="AA918" s="126">
        <f t="shared" si="149"/>
        <v>2.4380862266855532</v>
      </c>
      <c r="AB918" s="126">
        <f t="shared" si="150"/>
        <v>3.6407191403877004</v>
      </c>
    </row>
    <row r="919" spans="1:28">
      <c r="A919">
        <v>918</v>
      </c>
      <c r="B919" s="119">
        <v>2.1033379058070414E-2</v>
      </c>
      <c r="F919">
        <v>8.3879489915155217E-2</v>
      </c>
      <c r="G919">
        <v>0.41721282324848852</v>
      </c>
      <c r="H919">
        <v>0.75054615658182178</v>
      </c>
      <c r="I919">
        <v>0.19499060102626631</v>
      </c>
      <c r="J919">
        <v>0.52832393435959957</v>
      </c>
      <c r="K919">
        <v>0.86165726769293283</v>
      </c>
      <c r="L919">
        <v>0.30610171213737741</v>
      </c>
      <c r="M919">
        <v>0.63943504547071073</v>
      </c>
      <c r="N919">
        <v>0.97276837880404399</v>
      </c>
      <c r="O919">
        <v>2.2151094853426812E-2</v>
      </c>
      <c r="R919">
        <v>2.5</v>
      </c>
      <c r="S919" s="126">
        <f t="shared" si="141"/>
        <v>1.2804649165483575</v>
      </c>
      <c r="T919" s="126">
        <f t="shared" si="142"/>
        <v>1.6328820370750967</v>
      </c>
      <c r="U919" s="126">
        <f t="shared" si="143"/>
        <v>2.540151488927604</v>
      </c>
      <c r="V919" s="126">
        <f t="shared" si="144"/>
        <v>1.7293670582967167</v>
      </c>
      <c r="W919" s="126">
        <f t="shared" si="145"/>
        <v>2.0895154058969658</v>
      </c>
      <c r="X919" s="126">
        <f t="shared" si="146"/>
        <v>3.1091314842741697</v>
      </c>
      <c r="Y919" s="126">
        <f t="shared" si="147"/>
        <v>2.3062604594507823</v>
      </c>
      <c r="Z919" s="126">
        <f t="shared" si="148"/>
        <v>2.6152655668939357</v>
      </c>
      <c r="AA919" s="126">
        <f t="shared" si="149"/>
        <v>4.0623607120736551</v>
      </c>
      <c r="AB919" s="126">
        <f t="shared" si="150"/>
        <v>1.5446154087078878</v>
      </c>
    </row>
    <row r="920" spans="1:28">
      <c r="A920">
        <v>919</v>
      </c>
      <c r="B920" s="119">
        <v>0.35436671239140377</v>
      </c>
      <c r="F920">
        <v>0.35548442818676013</v>
      </c>
      <c r="G920">
        <v>0.68881776152009333</v>
      </c>
      <c r="H920">
        <v>0.13326220596453792</v>
      </c>
      <c r="I920">
        <v>0.46659553929787123</v>
      </c>
      <c r="J920">
        <v>0.79992887263120449</v>
      </c>
      <c r="K920">
        <v>0.24437331707564902</v>
      </c>
      <c r="L920">
        <v>0.57770665040898239</v>
      </c>
      <c r="M920">
        <v>0.91103998374231565</v>
      </c>
      <c r="N920">
        <v>5.9188131890463853E-2</v>
      </c>
      <c r="O920">
        <v>0.39252146522379716</v>
      </c>
      <c r="R920">
        <v>2.5</v>
      </c>
      <c r="S920" s="126">
        <f t="shared" si="141"/>
        <v>2.1125935122805255</v>
      </c>
      <c r="T920" s="126">
        <f t="shared" si="142"/>
        <v>2.6297326255865965</v>
      </c>
      <c r="U920" s="126">
        <f t="shared" si="143"/>
        <v>1.5669940605995023</v>
      </c>
      <c r="V920" s="126">
        <f t="shared" si="144"/>
        <v>1.8801551347249599</v>
      </c>
      <c r="W920" s="126">
        <f t="shared" si="145"/>
        <v>2.8006530771567215</v>
      </c>
      <c r="X920" s="126">
        <f t="shared" si="146"/>
        <v>1.9983235942072517</v>
      </c>
      <c r="Y920" s="126">
        <f t="shared" si="147"/>
        <v>2.3277704074135435</v>
      </c>
      <c r="Z920" s="126">
        <f t="shared" si="148"/>
        <v>3.4428246362916828</v>
      </c>
      <c r="AA920" s="126">
        <f t="shared" si="149"/>
        <v>1.604062477860563</v>
      </c>
      <c r="AB920" s="126">
        <f t="shared" si="150"/>
        <v>1.7429623951250854</v>
      </c>
    </row>
    <row r="921" spans="1:28">
      <c r="A921">
        <v>920</v>
      </c>
      <c r="B921" s="119">
        <v>0.68770004572473697</v>
      </c>
      <c r="F921">
        <v>0.72585479855713053</v>
      </c>
      <c r="G921">
        <v>0.17029924300157495</v>
      </c>
      <c r="H921">
        <v>0.50363257633490821</v>
      </c>
      <c r="I921">
        <v>0.83696590966824147</v>
      </c>
      <c r="J921">
        <v>0.28141035411268606</v>
      </c>
      <c r="K921">
        <v>0.61474368744601937</v>
      </c>
      <c r="L921">
        <v>0.94807702077935263</v>
      </c>
      <c r="M921">
        <v>9.6225168927500895E-2</v>
      </c>
      <c r="N921">
        <v>0.4295585022608342</v>
      </c>
      <c r="O921">
        <v>0.76289183559416751</v>
      </c>
      <c r="R921">
        <v>2.5</v>
      </c>
      <c r="S921" s="126">
        <f t="shared" si="141"/>
        <v>2.9133745812012002</v>
      </c>
      <c r="T921" s="126">
        <f t="shared" si="142"/>
        <v>1.839968803543196</v>
      </c>
      <c r="U921" s="126">
        <f t="shared" si="143"/>
        <v>2.0940060961440228</v>
      </c>
      <c r="V921" s="126">
        <f t="shared" si="144"/>
        <v>3.0241815235937457</v>
      </c>
      <c r="W921" s="126">
        <f t="shared" si="145"/>
        <v>2.2044048688246471</v>
      </c>
      <c r="X921" s="126">
        <f t="shared" si="146"/>
        <v>2.5102591373879819</v>
      </c>
      <c r="Y921" s="126">
        <f t="shared" si="147"/>
        <v>3.7649106962907428</v>
      </c>
      <c r="Z921" s="126">
        <f t="shared" si="148"/>
        <v>1.9789564864199458</v>
      </c>
      <c r="AA921" s="126">
        <f t="shared" si="149"/>
        <v>2.0099503765245612</v>
      </c>
      <c r="AB921" s="126">
        <f t="shared" si="150"/>
        <v>2.7621848179007435</v>
      </c>
    </row>
    <row r="922" spans="1:28">
      <c r="A922">
        <v>921</v>
      </c>
      <c r="B922" s="119">
        <v>0.13214449016918151</v>
      </c>
      <c r="F922">
        <v>0.20733628003861199</v>
      </c>
      <c r="G922">
        <v>0.54066961337194519</v>
      </c>
      <c r="H922">
        <v>0.87400294670527845</v>
      </c>
      <c r="I922">
        <v>0.31844739114972309</v>
      </c>
      <c r="J922">
        <v>0.65178072448305635</v>
      </c>
      <c r="K922">
        <v>0.98511405781638961</v>
      </c>
      <c r="L922">
        <v>3.4496773865772497E-2</v>
      </c>
      <c r="M922">
        <v>0.3678301071991058</v>
      </c>
      <c r="N922">
        <v>0.70116344053243906</v>
      </c>
      <c r="O922">
        <v>0.14560788497688359</v>
      </c>
      <c r="R922">
        <v>2.5</v>
      </c>
      <c r="S922" s="126">
        <f t="shared" si="141"/>
        <v>1.7454392637491551</v>
      </c>
      <c r="T922" s="126">
        <f t="shared" si="142"/>
        <v>2.1232144685617733</v>
      </c>
      <c r="U922" s="126">
        <f t="shared" si="143"/>
        <v>3.1736793478172185</v>
      </c>
      <c r="V922" s="126">
        <f t="shared" si="144"/>
        <v>2.3674760952274423</v>
      </c>
      <c r="W922" s="126">
        <f t="shared" si="145"/>
        <v>2.6734022344284636</v>
      </c>
      <c r="X922" s="126">
        <f t="shared" si="146"/>
        <v>4.2977622288139106</v>
      </c>
      <c r="Y922" s="126">
        <f t="shared" si="147"/>
        <v>1.8219152684011126</v>
      </c>
      <c r="Z922" s="126">
        <f t="shared" si="148"/>
        <v>1.7989647283350156</v>
      </c>
      <c r="AA922" s="126">
        <f t="shared" si="149"/>
        <v>2.5011750104285237</v>
      </c>
      <c r="AB922" s="126">
        <f t="shared" si="150"/>
        <v>1.5482759917998075</v>
      </c>
    </row>
    <row r="923" spans="1:28">
      <c r="A923">
        <v>922</v>
      </c>
      <c r="B923" s="119">
        <v>0.46547782350251488</v>
      </c>
      <c r="F923">
        <v>0.47894121831021691</v>
      </c>
      <c r="G923">
        <v>0.81227455164355011</v>
      </c>
      <c r="H923">
        <v>0.2567189960879947</v>
      </c>
      <c r="I923">
        <v>0.59005232942132801</v>
      </c>
      <c r="J923">
        <v>0.92338566275466127</v>
      </c>
      <c r="K923">
        <v>7.1533810902809539E-2</v>
      </c>
      <c r="L923">
        <v>0.40486714423614284</v>
      </c>
      <c r="M923">
        <v>0.73820047756947615</v>
      </c>
      <c r="N923">
        <v>0.18264492201392063</v>
      </c>
      <c r="O923">
        <v>0.51597825534725394</v>
      </c>
      <c r="R923">
        <v>2.5</v>
      </c>
      <c r="S923" s="126">
        <f t="shared" si="141"/>
        <v>2.3746688646963108</v>
      </c>
      <c r="T923" s="126">
        <f t="shared" si="142"/>
        <v>3.0862638948505028</v>
      </c>
      <c r="U923" s="126">
        <f t="shared" si="143"/>
        <v>2.1738819962902651</v>
      </c>
      <c r="V923" s="126">
        <f t="shared" si="144"/>
        <v>2.4421106565358421</v>
      </c>
      <c r="W923" s="126">
        <f t="shared" si="145"/>
        <v>3.5671277429352104</v>
      </c>
      <c r="X923" s="126">
        <f t="shared" si="146"/>
        <v>1.7466771730215873</v>
      </c>
      <c r="Y923" s="126">
        <f t="shared" si="147"/>
        <v>1.8410212555255687</v>
      </c>
      <c r="Z923" s="126">
        <f t="shared" si="148"/>
        <v>2.6130882881355215</v>
      </c>
      <c r="AA923" s="126">
        <f t="shared" si="149"/>
        <v>1.7283482714298295</v>
      </c>
      <c r="AB923" s="126">
        <f t="shared" si="150"/>
        <v>2.063438633768401</v>
      </c>
    </row>
    <row r="924" spans="1:28">
      <c r="A924">
        <v>923</v>
      </c>
      <c r="B924" s="119">
        <v>0.79881115683584814</v>
      </c>
      <c r="F924">
        <v>0.84931158868058709</v>
      </c>
      <c r="G924">
        <v>0.29375603312503173</v>
      </c>
      <c r="H924">
        <v>0.62708936645836499</v>
      </c>
      <c r="I924">
        <v>0.96042269979169825</v>
      </c>
      <c r="J924">
        <v>0.10857084793984657</v>
      </c>
      <c r="K924">
        <v>0.44190418127317987</v>
      </c>
      <c r="L924">
        <v>0.77523751460651313</v>
      </c>
      <c r="M924">
        <v>0.21968195905095766</v>
      </c>
      <c r="N924">
        <v>0.55301529238429092</v>
      </c>
      <c r="O924">
        <v>0.88634862571762418</v>
      </c>
      <c r="R924">
        <v>2.5</v>
      </c>
      <c r="S924" s="126">
        <f t="shared" si="141"/>
        <v>3.2706461571335046</v>
      </c>
      <c r="T924" s="126">
        <f t="shared" si="142"/>
        <v>2.3581456578288478</v>
      </c>
      <c r="U924" s="126">
        <f t="shared" si="143"/>
        <v>2.6142938617582643</v>
      </c>
      <c r="V924" s="126">
        <f t="shared" si="144"/>
        <v>3.9237007055246975</v>
      </c>
      <c r="W924" s="126">
        <f t="shared" si="145"/>
        <v>2.1158407188562092</v>
      </c>
      <c r="X924" s="126">
        <f t="shared" si="146"/>
        <v>2.1046100934971057</v>
      </c>
      <c r="Y924" s="126">
        <f t="shared" si="147"/>
        <v>2.8432241795756328</v>
      </c>
      <c r="Z924" s="126">
        <f t="shared" si="148"/>
        <v>1.952940645098846</v>
      </c>
      <c r="AA924" s="126">
        <f t="shared" si="149"/>
        <v>2.2532073897939338</v>
      </c>
      <c r="AB924" s="126">
        <f t="shared" si="150"/>
        <v>3.2900002569119864</v>
      </c>
    </row>
    <row r="925" spans="1:28">
      <c r="A925">
        <v>924</v>
      </c>
      <c r="B925" s="119">
        <v>0.24325560128029261</v>
      </c>
      <c r="F925">
        <v>0.33079307016206877</v>
      </c>
      <c r="G925">
        <v>0.66412640349540208</v>
      </c>
      <c r="H925">
        <v>0.99745973682873534</v>
      </c>
      <c r="I925">
        <v>2.9467052786668695E-3</v>
      </c>
      <c r="J925">
        <v>0.33628003861200018</v>
      </c>
      <c r="K925">
        <v>0.66961337194533355</v>
      </c>
      <c r="L925">
        <v>0.11405781638977798</v>
      </c>
      <c r="M925">
        <v>0.44739114972311128</v>
      </c>
      <c r="N925">
        <v>0.7807244830564446</v>
      </c>
      <c r="O925">
        <v>0.22516892750088907</v>
      </c>
      <c r="R925">
        <v>2.5</v>
      </c>
      <c r="S925" s="126">
        <f t="shared" si="141"/>
        <v>2.0571924240027388</v>
      </c>
      <c r="T925" s="126">
        <f t="shared" si="142"/>
        <v>2.5451824302824839</v>
      </c>
      <c r="U925" s="126">
        <f t="shared" si="143"/>
        <v>4.7519293950094514</v>
      </c>
      <c r="V925" s="126">
        <f t="shared" si="144"/>
        <v>1.2788336517509427</v>
      </c>
      <c r="W925" s="126">
        <f t="shared" si="145"/>
        <v>1.455878179532718</v>
      </c>
      <c r="X925" s="126">
        <f t="shared" si="146"/>
        <v>2.2554118465076547</v>
      </c>
      <c r="Y925" s="126">
        <f t="shared" si="147"/>
        <v>1.3012260995065379</v>
      </c>
      <c r="Z925" s="126">
        <f t="shared" si="148"/>
        <v>1.7066394407825802</v>
      </c>
      <c r="AA925" s="126">
        <f t="shared" si="149"/>
        <v>2.6584094211465668</v>
      </c>
      <c r="AB925" s="126">
        <f t="shared" si="150"/>
        <v>1.8752421760293867</v>
      </c>
    </row>
    <row r="926" spans="1:28">
      <c r="A926">
        <v>925</v>
      </c>
      <c r="B926" s="119">
        <v>0.57658893461362604</v>
      </c>
      <c r="F926">
        <v>0.5585022608342225</v>
      </c>
      <c r="G926">
        <v>0.89183559416755576</v>
      </c>
      <c r="H926">
        <v>3.9983742315703903E-2</v>
      </c>
      <c r="I926">
        <v>0.37331707564903721</v>
      </c>
      <c r="J926">
        <v>0.70665040898237064</v>
      </c>
      <c r="K926">
        <v>0.151094853426815</v>
      </c>
      <c r="L926">
        <v>0.48442818676014832</v>
      </c>
      <c r="M926">
        <v>0.81776152009348158</v>
      </c>
      <c r="N926">
        <v>0.26220596453792611</v>
      </c>
      <c r="O926">
        <v>0.59553929787125948</v>
      </c>
      <c r="R926">
        <v>2.5</v>
      </c>
      <c r="S926" s="126">
        <f t="shared" si="141"/>
        <v>2.5396157231452592</v>
      </c>
      <c r="T926" s="126">
        <f t="shared" si="142"/>
        <v>3.457879075167968</v>
      </c>
      <c r="U926" s="126">
        <f t="shared" si="143"/>
        <v>1.4555359577975233</v>
      </c>
      <c r="V926" s="126">
        <f t="shared" si="144"/>
        <v>1.6268028782451047</v>
      </c>
      <c r="W926" s="126">
        <f t="shared" si="145"/>
        <v>2.4277409106694039</v>
      </c>
      <c r="X926" s="126">
        <f t="shared" si="146"/>
        <v>1.5309234298149708</v>
      </c>
      <c r="Y926" s="126">
        <f t="shared" si="147"/>
        <v>1.8989671665015044</v>
      </c>
      <c r="Z926" s="126">
        <f t="shared" si="148"/>
        <v>2.864132511009736</v>
      </c>
      <c r="AA926" s="126">
        <f t="shared" si="149"/>
        <v>2.0762063116401999</v>
      </c>
      <c r="AB926" s="126">
        <f t="shared" si="150"/>
        <v>2.4046799914171242</v>
      </c>
    </row>
    <row r="927" spans="1:28">
      <c r="A927">
        <v>926</v>
      </c>
      <c r="B927" s="119">
        <v>0.9099222679469593</v>
      </c>
      <c r="F927">
        <v>0.92887263120459274</v>
      </c>
      <c r="G927">
        <v>7.7020779352740945E-2</v>
      </c>
      <c r="H927">
        <v>0.41035411268607425</v>
      </c>
      <c r="I927">
        <v>0.74368744601940762</v>
      </c>
      <c r="J927">
        <v>0.18813189046385204</v>
      </c>
      <c r="K927">
        <v>0.52146522379718541</v>
      </c>
      <c r="L927">
        <v>0.85479855713051867</v>
      </c>
      <c r="M927">
        <v>0.29924300157496314</v>
      </c>
      <c r="N927">
        <v>0.63257633490829657</v>
      </c>
      <c r="O927">
        <v>0.96590966824162983</v>
      </c>
      <c r="R927">
        <v>2.5</v>
      </c>
      <c r="S927" s="126">
        <f t="shared" si="141"/>
        <v>3.6285769954748703</v>
      </c>
      <c r="T927" s="126">
        <f t="shared" si="142"/>
        <v>1.8097801769867927</v>
      </c>
      <c r="U927" s="126">
        <f t="shared" si="143"/>
        <v>1.884395099518398</v>
      </c>
      <c r="V927" s="126">
        <f t="shared" si="144"/>
        <v>2.6488668530273389</v>
      </c>
      <c r="W927" s="126">
        <f t="shared" si="145"/>
        <v>1.7632637663843056</v>
      </c>
      <c r="X927" s="126">
        <f t="shared" si="146"/>
        <v>2.092343885376807</v>
      </c>
      <c r="Y927" s="126">
        <f t="shared" si="147"/>
        <v>3.0853495517092409</v>
      </c>
      <c r="Z927" s="126">
        <f t="shared" si="148"/>
        <v>2.2781017950110489</v>
      </c>
      <c r="AA927" s="126">
        <f t="shared" si="149"/>
        <v>2.5860484744534893</v>
      </c>
      <c r="AB927" s="126">
        <f t="shared" si="150"/>
        <v>3.9657546440881992</v>
      </c>
    </row>
    <row r="928" spans="1:28">
      <c r="A928">
        <v>927</v>
      </c>
      <c r="B928" s="119">
        <v>5.8070416095107456E-2</v>
      </c>
      <c r="F928">
        <v>1.5292384291012548E-2</v>
      </c>
      <c r="G928">
        <v>0.34862571762434585</v>
      </c>
      <c r="H928">
        <v>0.68195905095767917</v>
      </c>
      <c r="I928">
        <v>0.12640349540212364</v>
      </c>
      <c r="J928">
        <v>0.45973682873545696</v>
      </c>
      <c r="K928">
        <v>0.79307016206879033</v>
      </c>
      <c r="L928">
        <v>0.23751460651323475</v>
      </c>
      <c r="M928">
        <v>0.57084793984656823</v>
      </c>
      <c r="N928">
        <v>0.90418127317990149</v>
      </c>
      <c r="O928">
        <v>5.2329421328049582E-2</v>
      </c>
      <c r="R928">
        <v>2.5</v>
      </c>
      <c r="S928" s="126">
        <f t="shared" si="141"/>
        <v>0.63465219121034555</v>
      </c>
      <c r="T928" s="126">
        <f t="shared" si="142"/>
        <v>1.1598288786713302</v>
      </c>
      <c r="U928" s="126">
        <f t="shared" si="143"/>
        <v>2.1349396134651695</v>
      </c>
      <c r="V928" s="126">
        <f t="shared" si="144"/>
        <v>1.2915414565450383</v>
      </c>
      <c r="W928" s="126">
        <f t="shared" si="145"/>
        <v>1.7274715761579009</v>
      </c>
      <c r="X928" s="126">
        <f t="shared" si="146"/>
        <v>2.7039154880248946</v>
      </c>
      <c r="Y928" s="126">
        <f t="shared" si="147"/>
        <v>1.9315440751171837</v>
      </c>
      <c r="Z928" s="126">
        <f t="shared" si="148"/>
        <v>2.2797758119178133</v>
      </c>
      <c r="AA928" s="126">
        <f t="shared" si="149"/>
        <v>3.3845256900016119</v>
      </c>
      <c r="AB928" s="126">
        <f t="shared" si="150"/>
        <v>1.5244074969961225</v>
      </c>
    </row>
    <row r="929" spans="1:28">
      <c r="A929">
        <v>928</v>
      </c>
      <c r="B929" s="119">
        <v>0.39140374942844081</v>
      </c>
      <c r="F929">
        <v>0.38566275466138289</v>
      </c>
      <c r="G929">
        <v>0.71899608799471637</v>
      </c>
      <c r="H929">
        <v>0.16344053243916068</v>
      </c>
      <c r="I929">
        <v>0.49677386577249399</v>
      </c>
      <c r="J929">
        <v>0.83010719910582731</v>
      </c>
      <c r="K929">
        <v>0.27455164355027178</v>
      </c>
      <c r="L929">
        <v>0.60788497688360521</v>
      </c>
      <c r="M929">
        <v>0.94121831021693847</v>
      </c>
      <c r="N929">
        <v>8.9366458365086623E-2</v>
      </c>
      <c r="O929">
        <v>0.42269979169841992</v>
      </c>
      <c r="R929">
        <v>2.5</v>
      </c>
      <c r="S929" s="126">
        <f t="shared" si="141"/>
        <v>2.1785063224257044</v>
      </c>
      <c r="T929" s="126">
        <f t="shared" si="142"/>
        <v>2.7349147230241262</v>
      </c>
      <c r="U929" s="126">
        <f t="shared" si="143"/>
        <v>1.7276488806613235</v>
      </c>
      <c r="V929" s="126">
        <f t="shared" si="144"/>
        <v>2.0233737686661564</v>
      </c>
      <c r="W929" s="126">
        <f t="shared" si="145"/>
        <v>2.9660200711919753</v>
      </c>
      <c r="X929" s="126">
        <f t="shared" si="146"/>
        <v>2.1583078426270919</v>
      </c>
      <c r="Y929" s="126">
        <f t="shared" si="147"/>
        <v>2.4723320851443664</v>
      </c>
      <c r="Z929" s="126">
        <f t="shared" si="148"/>
        <v>3.69520224902509</v>
      </c>
      <c r="AA929" s="126">
        <f t="shared" si="149"/>
        <v>1.9098550568572039</v>
      </c>
      <c r="AB929" s="126">
        <f t="shared" si="150"/>
        <v>1.9607915828603975</v>
      </c>
    </row>
    <row r="930" spans="1:28">
      <c r="A930">
        <v>929</v>
      </c>
      <c r="B930" s="119">
        <v>0.72473708276177418</v>
      </c>
      <c r="F930">
        <v>0.75603312503175335</v>
      </c>
      <c r="G930">
        <v>0.20047756947619771</v>
      </c>
      <c r="H930">
        <v>0.53381090280953103</v>
      </c>
      <c r="I930">
        <v>0.86714423614286429</v>
      </c>
      <c r="J930">
        <v>0.31158868058730882</v>
      </c>
      <c r="K930">
        <v>0.64492201392064219</v>
      </c>
      <c r="L930">
        <v>0.97825534725397545</v>
      </c>
      <c r="M930">
        <v>2.7638063303358225E-2</v>
      </c>
      <c r="N930">
        <v>0.36097139663669153</v>
      </c>
      <c r="O930">
        <v>0.6943047299700249</v>
      </c>
      <c r="R930">
        <v>2.5</v>
      </c>
      <c r="S930" s="126">
        <f t="shared" si="141"/>
        <v>2.9903078572125112</v>
      </c>
      <c r="T930" s="126">
        <f t="shared" si="142"/>
        <v>1.9718929418304889</v>
      </c>
      <c r="U930" s="126">
        <f t="shared" si="143"/>
        <v>2.222787652477344</v>
      </c>
      <c r="V930" s="126">
        <f t="shared" si="144"/>
        <v>3.1968969641605143</v>
      </c>
      <c r="W930" s="126">
        <f t="shared" si="145"/>
        <v>2.3632205541442648</v>
      </c>
      <c r="X930" s="126">
        <f t="shared" si="146"/>
        <v>2.6560162242756924</v>
      </c>
      <c r="Y930" s="126">
        <f t="shared" si="147"/>
        <v>4.161895841132349</v>
      </c>
      <c r="Z930" s="126">
        <f t="shared" si="148"/>
        <v>1.6726025926003576</v>
      </c>
      <c r="AA930" s="126">
        <f t="shared" si="149"/>
        <v>1.7088612901505404</v>
      </c>
      <c r="AB930" s="126">
        <f t="shared" si="150"/>
        <v>2.4396733892769267</v>
      </c>
    </row>
    <row r="931" spans="1:28">
      <c r="A931">
        <v>930</v>
      </c>
      <c r="B931" s="119">
        <v>0.16918152720621854</v>
      </c>
      <c r="F931">
        <v>0.13874917441446932</v>
      </c>
      <c r="G931">
        <v>0.47208250774780264</v>
      </c>
      <c r="H931">
        <v>0.80541584108113595</v>
      </c>
      <c r="I931">
        <v>0.24986028552558043</v>
      </c>
      <c r="J931">
        <v>0.58319361885891385</v>
      </c>
      <c r="K931">
        <v>0.91652695219224711</v>
      </c>
      <c r="L931">
        <v>6.4675100340395267E-2</v>
      </c>
      <c r="M931">
        <v>0.39800843367372857</v>
      </c>
      <c r="N931">
        <v>0.73134176700706199</v>
      </c>
      <c r="O931">
        <v>0.17578621145150636</v>
      </c>
      <c r="R931">
        <v>2.5</v>
      </c>
      <c r="S931" s="126">
        <f t="shared" si="141"/>
        <v>1.5225307252373619</v>
      </c>
      <c r="T931" s="126">
        <f t="shared" si="142"/>
        <v>1.869185699421881</v>
      </c>
      <c r="U931" s="126">
        <f t="shared" si="143"/>
        <v>2.8114373959727623</v>
      </c>
      <c r="V931" s="126">
        <f t="shared" si="144"/>
        <v>2.0180740417495846</v>
      </c>
      <c r="W931" s="126">
        <f t="shared" si="145"/>
        <v>2.3492774824241009</v>
      </c>
      <c r="X931" s="126">
        <f t="shared" si="146"/>
        <v>3.4824166888862553</v>
      </c>
      <c r="Y931" s="126">
        <f t="shared" si="147"/>
        <v>1.6610412344854366</v>
      </c>
      <c r="Z931" s="126">
        <f t="shared" si="148"/>
        <v>1.7833514949494385</v>
      </c>
      <c r="AA931" s="126">
        <f t="shared" si="149"/>
        <v>2.5668392913136504</v>
      </c>
      <c r="AB931" s="126">
        <f t="shared" si="150"/>
        <v>1.6834836758043119</v>
      </c>
    </row>
    <row r="932" spans="1:28">
      <c r="A932">
        <v>931</v>
      </c>
      <c r="B932" s="119">
        <v>0.50251486053955186</v>
      </c>
      <c r="F932">
        <v>0.50911954478483978</v>
      </c>
      <c r="G932">
        <v>0.84245287811817293</v>
      </c>
      <c r="H932">
        <v>0.28689732256261746</v>
      </c>
      <c r="I932">
        <v>0.62023065589595083</v>
      </c>
      <c r="J932">
        <v>0.95356398922928409</v>
      </c>
      <c r="K932">
        <v>0.1017121373774323</v>
      </c>
      <c r="L932">
        <v>0.4350454707107656</v>
      </c>
      <c r="M932">
        <v>0.76837880404409897</v>
      </c>
      <c r="N932">
        <v>0.21282324848854339</v>
      </c>
      <c r="O932">
        <v>0.54615658182187676</v>
      </c>
      <c r="R932">
        <v>2.5</v>
      </c>
      <c r="S932" s="126">
        <f t="shared" si="141"/>
        <v>2.4370834402575809</v>
      </c>
      <c r="T932" s="126">
        <f t="shared" si="142"/>
        <v>3.215191530115054</v>
      </c>
      <c r="U932" s="126">
        <f t="shared" si="143"/>
        <v>2.3137560027525259</v>
      </c>
      <c r="V932" s="126">
        <f t="shared" si="144"/>
        <v>2.577081458555603</v>
      </c>
      <c r="W932" s="126">
        <f t="shared" si="145"/>
        <v>3.8429942942899884</v>
      </c>
      <c r="X932" s="126">
        <f t="shared" si="146"/>
        <v>2.0441895136102608</v>
      </c>
      <c r="Y932" s="126">
        <f t="shared" si="147"/>
        <v>2.0542468458327843</v>
      </c>
      <c r="Z932" s="126">
        <f t="shared" si="148"/>
        <v>2.7991977696724746</v>
      </c>
      <c r="AA932" s="126">
        <f t="shared" si="149"/>
        <v>1.9115161976468484</v>
      </c>
      <c r="AB932" s="126">
        <f t="shared" si="150"/>
        <v>2.2180965902697767</v>
      </c>
    </row>
    <row r="933" spans="1:28">
      <c r="A933">
        <v>932</v>
      </c>
      <c r="B933" s="119">
        <v>0.83584819387288511</v>
      </c>
      <c r="F933">
        <v>0.87948991515521002</v>
      </c>
      <c r="G933">
        <v>0.3239343595996545</v>
      </c>
      <c r="H933">
        <v>0.65726769293298792</v>
      </c>
      <c r="I933">
        <v>0.99060102626632118</v>
      </c>
      <c r="J933">
        <v>7.0619316161154308E-3</v>
      </c>
      <c r="K933">
        <v>0.34039526494944872</v>
      </c>
      <c r="L933">
        <v>0.67372859828278209</v>
      </c>
      <c r="M933">
        <v>0.11817304272722653</v>
      </c>
      <c r="N933">
        <v>0.45150637606055982</v>
      </c>
      <c r="O933">
        <v>0.78483970939389314</v>
      </c>
      <c r="R933">
        <v>2.5</v>
      </c>
      <c r="S933" s="126">
        <f t="shared" si="141"/>
        <v>3.3852565240240473</v>
      </c>
      <c r="T933" s="126">
        <f t="shared" si="142"/>
        <v>2.4864505888842081</v>
      </c>
      <c r="U933" s="126">
        <f t="shared" si="143"/>
        <v>2.745475977356822</v>
      </c>
      <c r="V933" s="126">
        <f t="shared" si="144"/>
        <v>4.4794826454033094</v>
      </c>
      <c r="W933" s="126">
        <f t="shared" si="145"/>
        <v>1.3889756978954986</v>
      </c>
      <c r="X933" s="126">
        <f t="shared" si="146"/>
        <v>1.5205165914449736</v>
      </c>
      <c r="Y933" s="126">
        <f t="shared" si="147"/>
        <v>2.2972908458612387</v>
      </c>
      <c r="Z933" s="126">
        <f t="shared" si="148"/>
        <v>1.3396430500194758</v>
      </c>
      <c r="AA933" s="126">
        <f t="shared" si="149"/>
        <v>1.7345248846170214</v>
      </c>
      <c r="AB933" s="126">
        <f t="shared" si="150"/>
        <v>2.683972548698049</v>
      </c>
    </row>
    <row r="934" spans="1:28">
      <c r="A934">
        <v>933</v>
      </c>
      <c r="B934" s="119">
        <v>0.2802926383173297</v>
      </c>
      <c r="F934">
        <v>0.22928415383833764</v>
      </c>
      <c r="G934">
        <v>0.56261748717167104</v>
      </c>
      <c r="H934">
        <v>0.8959508205050043</v>
      </c>
      <c r="I934">
        <v>4.4098968653152465E-2</v>
      </c>
      <c r="J934">
        <v>0.37743230198648575</v>
      </c>
      <c r="K934">
        <v>0.71076563531981918</v>
      </c>
      <c r="L934">
        <v>0.15521007976426357</v>
      </c>
      <c r="M934">
        <v>0.48854341309759686</v>
      </c>
      <c r="N934">
        <v>0.82187674643093012</v>
      </c>
      <c r="O934">
        <v>0.26632119087537465</v>
      </c>
      <c r="R934">
        <v>2.5</v>
      </c>
      <c r="S934" s="126">
        <f t="shared" si="141"/>
        <v>1.8068804069689639</v>
      </c>
      <c r="T934" s="126">
        <f t="shared" si="142"/>
        <v>2.1998613159930565</v>
      </c>
      <c r="U934" s="126">
        <f t="shared" si="143"/>
        <v>3.3056456146410125</v>
      </c>
      <c r="V934" s="126">
        <f t="shared" si="144"/>
        <v>1.4168764611576175</v>
      </c>
      <c r="W934" s="126">
        <f t="shared" si="145"/>
        <v>1.6163210186197083</v>
      </c>
      <c r="X934" s="126">
        <f t="shared" si="146"/>
        <v>2.4323680842254323</v>
      </c>
      <c r="Y934" s="126">
        <f t="shared" si="147"/>
        <v>1.5476073430582873</v>
      </c>
      <c r="Z934" s="126">
        <f t="shared" si="148"/>
        <v>1.9158655187027778</v>
      </c>
      <c r="AA934" s="126">
        <f t="shared" si="149"/>
        <v>2.8855531832912087</v>
      </c>
      <c r="AB934" s="126">
        <f t="shared" si="150"/>
        <v>2.0973498531782799</v>
      </c>
    </row>
    <row r="935" spans="1:28">
      <c r="A935">
        <v>934</v>
      </c>
      <c r="B935" s="119">
        <v>0.61362597165066302</v>
      </c>
      <c r="F935">
        <v>0.59965452420870802</v>
      </c>
      <c r="G935">
        <v>0.93298785754204128</v>
      </c>
      <c r="H935">
        <v>8.11360056901895E-2</v>
      </c>
      <c r="I935">
        <v>0.41446933902352279</v>
      </c>
      <c r="J935">
        <v>0.74780267235685616</v>
      </c>
      <c r="K935">
        <v>0.1922471168013006</v>
      </c>
      <c r="L935">
        <v>0.52558045013463395</v>
      </c>
      <c r="M935">
        <v>0.85891378346796721</v>
      </c>
      <c r="N935">
        <v>0.30335822791241168</v>
      </c>
      <c r="O935">
        <v>0.63669156124574511</v>
      </c>
      <c r="R935">
        <v>2.5</v>
      </c>
      <c r="S935" s="126">
        <f t="shared" si="141"/>
        <v>2.6264506602263689</v>
      </c>
      <c r="T935" s="126">
        <f t="shared" si="142"/>
        <v>3.7176779716470278</v>
      </c>
      <c r="U935" s="126">
        <f t="shared" si="143"/>
        <v>1.8775983898990742</v>
      </c>
      <c r="V935" s="126">
        <f t="shared" si="144"/>
        <v>1.9271996683874895</v>
      </c>
      <c r="W935" s="126">
        <f t="shared" si="145"/>
        <v>2.6809671133388004</v>
      </c>
      <c r="X935" s="126">
        <f t="shared" si="146"/>
        <v>1.7918980072036947</v>
      </c>
      <c r="Y935" s="126">
        <f t="shared" si="147"/>
        <v>2.1152584074828003</v>
      </c>
      <c r="Z935" s="126">
        <f t="shared" si="148"/>
        <v>3.1118890852993055</v>
      </c>
      <c r="AA935" s="126">
        <f t="shared" si="149"/>
        <v>2.3011837899798206</v>
      </c>
      <c r="AB935" s="126">
        <f t="shared" si="150"/>
        <v>2.6066767049509449</v>
      </c>
    </row>
    <row r="936" spans="1:28">
      <c r="A936">
        <v>935</v>
      </c>
      <c r="B936" s="119">
        <v>0.94695930498399628</v>
      </c>
      <c r="F936">
        <v>0.97002489457907837</v>
      </c>
      <c r="G936">
        <v>1.9407610628461108E-2</v>
      </c>
      <c r="H936">
        <v>0.3527409439617944</v>
      </c>
      <c r="I936">
        <v>0.68607427729512771</v>
      </c>
      <c r="J936">
        <v>0.13051872173957221</v>
      </c>
      <c r="K936">
        <v>0.4638520550729055</v>
      </c>
      <c r="L936">
        <v>0.79718538840623887</v>
      </c>
      <c r="M936">
        <v>0.24162983285068332</v>
      </c>
      <c r="N936">
        <v>0.57496316618401677</v>
      </c>
      <c r="O936">
        <v>0.90829649951735003</v>
      </c>
      <c r="R936">
        <v>2.5</v>
      </c>
      <c r="S936" s="126">
        <f t="shared" si="141"/>
        <v>3.96980788231421</v>
      </c>
      <c r="T936" s="126">
        <f t="shared" si="142"/>
        <v>1.4528002513612699</v>
      </c>
      <c r="U936" s="126">
        <f t="shared" si="143"/>
        <v>1.5801873966211255</v>
      </c>
      <c r="V936" s="126">
        <f t="shared" si="144"/>
        <v>2.3557540399928287</v>
      </c>
      <c r="W936" s="126">
        <f t="shared" si="145"/>
        <v>1.4187016922193045</v>
      </c>
      <c r="X936" s="126">
        <f t="shared" si="146"/>
        <v>1.7999296694355107</v>
      </c>
      <c r="Y936" s="126">
        <f t="shared" si="147"/>
        <v>2.7522838629123001</v>
      </c>
      <c r="Z936" s="126">
        <f t="shared" si="148"/>
        <v>1.9667832154240332</v>
      </c>
      <c r="AA936" s="126">
        <f t="shared" si="149"/>
        <v>2.3061400359718456</v>
      </c>
      <c r="AB936" s="126">
        <f t="shared" si="150"/>
        <v>3.4180560324658926</v>
      </c>
    </row>
    <row r="937" spans="1:28">
      <c r="A937">
        <v>936</v>
      </c>
      <c r="B937" s="119">
        <v>9.5107453132144484E-2</v>
      </c>
      <c r="F937">
        <v>5.6444647665498143E-2</v>
      </c>
      <c r="G937">
        <v>0.38977798099883143</v>
      </c>
      <c r="H937">
        <v>0.72311131433216491</v>
      </c>
      <c r="I937">
        <v>0.16755575877660925</v>
      </c>
      <c r="J937">
        <v>0.50088909210994259</v>
      </c>
      <c r="K937">
        <v>0.83422242544327585</v>
      </c>
      <c r="L937">
        <v>0.27866686988772033</v>
      </c>
      <c r="M937">
        <v>0.61200020322105375</v>
      </c>
      <c r="N937">
        <v>0.94533353655438701</v>
      </c>
      <c r="O937">
        <v>9.3481684702535178E-2</v>
      </c>
      <c r="R937">
        <v>2.5</v>
      </c>
      <c r="S937" s="126">
        <f t="shared" si="141"/>
        <v>1.1106396975730473</v>
      </c>
      <c r="T937" s="126">
        <f t="shared" si="142"/>
        <v>1.4890752969376035</v>
      </c>
      <c r="U937" s="126">
        <f t="shared" si="143"/>
        <v>2.3985084698442516</v>
      </c>
      <c r="V937" s="126">
        <f t="shared" si="144"/>
        <v>1.5722184975863542</v>
      </c>
      <c r="W937" s="126">
        <f t="shared" si="145"/>
        <v>1.9537626270066093</v>
      </c>
      <c r="X937" s="126">
        <f t="shared" si="146"/>
        <v>2.9445579566128526</v>
      </c>
      <c r="Y937" s="126">
        <f t="shared" si="147"/>
        <v>2.1576643524429313</v>
      </c>
      <c r="Z937" s="126">
        <f t="shared" si="148"/>
        <v>2.4808548966430459</v>
      </c>
      <c r="AA937" s="126">
        <f t="shared" si="149"/>
        <v>3.7292737608452251</v>
      </c>
      <c r="AB937" s="126">
        <f t="shared" si="150"/>
        <v>1.9476414301538494</v>
      </c>
    </row>
    <row r="938" spans="1:28">
      <c r="A938">
        <v>937</v>
      </c>
      <c r="B938" s="119">
        <v>0.42844078646547784</v>
      </c>
      <c r="F938">
        <v>0.42681501803586847</v>
      </c>
      <c r="G938">
        <v>0.76014835136920189</v>
      </c>
      <c r="H938">
        <v>0.20459279581364628</v>
      </c>
      <c r="I938">
        <v>0.53792612914697957</v>
      </c>
      <c r="J938">
        <v>0.87125946248031283</v>
      </c>
      <c r="K938">
        <v>0.31570390692475736</v>
      </c>
      <c r="L938">
        <v>0.64903724025809073</v>
      </c>
      <c r="M938">
        <v>0.98237057359142399</v>
      </c>
      <c r="N938">
        <v>3.1753289640806787E-2</v>
      </c>
      <c r="O938">
        <v>0.36508662297414007</v>
      </c>
      <c r="R938">
        <v>2.5</v>
      </c>
      <c r="S938" s="126">
        <f t="shared" si="141"/>
        <v>2.2660611023735786</v>
      </c>
      <c r="T938" s="126">
        <f t="shared" si="142"/>
        <v>2.8836017719197966</v>
      </c>
      <c r="U938" s="126">
        <f t="shared" si="143"/>
        <v>1.9302954354635145</v>
      </c>
      <c r="V938" s="126">
        <f t="shared" si="144"/>
        <v>2.2104234303510593</v>
      </c>
      <c r="W938" s="126">
        <f t="shared" si="145"/>
        <v>3.2066607866602923</v>
      </c>
      <c r="X938" s="126">
        <f t="shared" si="146"/>
        <v>2.3777004177833505</v>
      </c>
      <c r="Y938" s="126">
        <f t="shared" si="147"/>
        <v>2.6724291994421963</v>
      </c>
      <c r="Z938" s="126">
        <f t="shared" si="148"/>
        <v>4.2414019999070494</v>
      </c>
      <c r="AA938" s="126">
        <f t="shared" si="149"/>
        <v>1.7629339919513982</v>
      </c>
      <c r="AB938" s="126">
        <f t="shared" si="150"/>
        <v>1.7633085984480497</v>
      </c>
    </row>
    <row r="939" spans="1:28">
      <c r="A939">
        <v>938</v>
      </c>
      <c r="B939" s="119">
        <v>0.76177411979881116</v>
      </c>
      <c r="F939">
        <v>0.69841995630747344</v>
      </c>
      <c r="G939">
        <v>0.14286440075191789</v>
      </c>
      <c r="H939">
        <v>0.47619773408525118</v>
      </c>
      <c r="I939">
        <v>0.80953106741858449</v>
      </c>
      <c r="J939">
        <v>0.25397551186302897</v>
      </c>
      <c r="K939">
        <v>0.58730884519636239</v>
      </c>
      <c r="L939">
        <v>0.92064217852969565</v>
      </c>
      <c r="M939">
        <v>6.8790326677843822E-2</v>
      </c>
      <c r="N939">
        <v>0.40212366001117711</v>
      </c>
      <c r="O939">
        <v>0.73545699334451053</v>
      </c>
      <c r="R939">
        <v>2.5</v>
      </c>
      <c r="S939" s="126">
        <f t="shared" ref="S939:S1001" si="151">NORMINV(F939,0,1)*0.8248+0.4974*(2.3356-R939)+R939</f>
        <v>2.8470092331386248</v>
      </c>
      <c r="T939" s="126">
        <f t="shared" ref="T939:T1001" si="152">NORMINV(G939,0,1)*0.8248+0.4974*(2.3356-S939)+S939</f>
        <v>1.7121286417929356</v>
      </c>
      <c r="U939" s="126">
        <f t="shared" ref="U939:U1001" si="153">NORMINV(H939,0,1)*0.8248+0.4974*(2.3356-T939)+T939</f>
        <v>1.9730036636915487</v>
      </c>
      <c r="V939" s="126">
        <f t="shared" ref="V939:V1001" si="154">NORMINV(I939,0,1)*0.8248+0.4974*(2.3356-U939)+U939</f>
        <v>2.876023729766485</v>
      </c>
      <c r="W939" s="126">
        <f t="shared" ref="W939:W1001" si="155">NORMINV(J939,0,1)*0.8248+0.4974*(2.3356-V939)+V939</f>
        <v>2.0611733719174712</v>
      </c>
      <c r="X939" s="126">
        <f t="shared" ref="X939:X1001" si="156">NORMINV(K939,0,1)*0.8248+0.4974*(2.3356-W939)+W939</f>
        <v>2.3796469263549023</v>
      </c>
      <c r="Y939" s="126">
        <f t="shared" ref="Y939:Y1001" si="157">NORMINV(L939,0,1)*0.8248+0.4974*(2.3356-X939)+X939</f>
        <v>3.5202146807436829</v>
      </c>
      <c r="Z939" s="126">
        <f t="shared" ref="Z939:Z1001" si="158">NORMINV(M939,0,1)*0.8248+0.4974*(2.3356-Y939)+Y939</f>
        <v>1.7062739993901448</v>
      </c>
      <c r="AA939" s="126">
        <f t="shared" ref="AA939:AA1001" si="159">NORMINV(N939,0,1)*0.8248+0.4974*(2.3356-Z939)+Z939</f>
        <v>1.8148707172956595</v>
      </c>
      <c r="AB939" s="126">
        <f t="shared" ref="AB939:AB1001" si="160">NORMINV(O939,0,1)*0.8248+0.4974*(2.3356-AA939)+AA939</f>
        <v>2.5930121006095028</v>
      </c>
    </row>
    <row r="940" spans="1:28">
      <c r="A940">
        <v>939</v>
      </c>
      <c r="B940" s="119">
        <v>0.20621856424325558</v>
      </c>
      <c r="F940">
        <v>0.17990143778895493</v>
      </c>
      <c r="G940">
        <v>0.51323477112228832</v>
      </c>
      <c r="H940">
        <v>0.84656810445562147</v>
      </c>
      <c r="I940">
        <v>0.291012548900066</v>
      </c>
      <c r="J940">
        <v>0.62434588223339937</v>
      </c>
      <c r="K940">
        <v>0.95767921556673263</v>
      </c>
      <c r="L940">
        <v>0.10582736371488086</v>
      </c>
      <c r="M940">
        <v>0.43916069704821414</v>
      </c>
      <c r="N940">
        <v>0.77249403038154751</v>
      </c>
      <c r="O940">
        <v>0.21693847482599196</v>
      </c>
      <c r="R940">
        <v>2.5</v>
      </c>
      <c r="S940" s="126">
        <f t="shared" si="151"/>
        <v>1.6629244524110023</v>
      </c>
      <c r="T940" s="126">
        <f t="shared" si="152"/>
        <v>2.0248807432680578</v>
      </c>
      <c r="U940" s="126">
        <f t="shared" si="153"/>
        <v>3.0222336633071372</v>
      </c>
      <c r="V940" s="126">
        <f t="shared" si="154"/>
        <v>2.2267081621935665</v>
      </c>
      <c r="W940" s="126">
        <f t="shared" si="155"/>
        <v>2.5422623068994255</v>
      </c>
      <c r="X940" s="126">
        <f t="shared" si="156"/>
        <v>3.8617265696878462</v>
      </c>
      <c r="Y940" s="126">
        <f t="shared" si="157"/>
        <v>2.0724326816927454</v>
      </c>
      <c r="Z940" s="126">
        <f t="shared" si="158"/>
        <v>2.0770572948768149</v>
      </c>
      <c r="AA940" s="126">
        <f t="shared" si="159"/>
        <v>2.8218525745481711</v>
      </c>
      <c r="AB940" s="126">
        <f t="shared" si="160"/>
        <v>1.9345229965427073</v>
      </c>
    </row>
    <row r="941" spans="1:28">
      <c r="A941">
        <v>940</v>
      </c>
      <c r="B941" s="119">
        <v>0.53955189757658883</v>
      </c>
      <c r="F941">
        <v>0.5502718081593253</v>
      </c>
      <c r="G941">
        <v>0.88360514149265856</v>
      </c>
      <c r="H941">
        <v>0.32804958593710304</v>
      </c>
      <c r="I941">
        <v>0.66138291927043646</v>
      </c>
      <c r="J941">
        <v>0.99471625260376972</v>
      </c>
      <c r="K941">
        <v>1.117715795356399E-2</v>
      </c>
      <c r="L941">
        <v>0.34451049128689731</v>
      </c>
      <c r="M941">
        <v>0.67784382462023063</v>
      </c>
      <c r="N941">
        <v>0.1222882690646751</v>
      </c>
      <c r="O941">
        <v>0.45562160239800842</v>
      </c>
      <c r="R941">
        <v>2.5</v>
      </c>
      <c r="S941" s="126">
        <f t="shared" si="151"/>
        <v>2.5224393521799526</v>
      </c>
      <c r="T941" s="126">
        <f t="shared" si="152"/>
        <v>3.4136596362323908</v>
      </c>
      <c r="U941" s="126">
        <f t="shared" si="153"/>
        <v>2.5101450001206258</v>
      </c>
      <c r="V941" s="126">
        <f t="shared" si="154"/>
        <v>2.7666413295197789</v>
      </c>
      <c r="W941" s="126">
        <f t="shared" si="155"/>
        <v>4.6609949286338921</v>
      </c>
      <c r="X941" s="126">
        <f t="shared" si="156"/>
        <v>1.6202586091078559</v>
      </c>
      <c r="Y941" s="126">
        <f t="shared" si="157"/>
        <v>1.6459976360633393</v>
      </c>
      <c r="Z941" s="126">
        <f t="shared" si="158"/>
        <v>2.3697977503779675</v>
      </c>
      <c r="AA941" s="126">
        <f t="shared" si="159"/>
        <v>1.393030952605943</v>
      </c>
      <c r="AB941" s="126">
        <f t="shared" si="160"/>
        <v>1.7699238736886462</v>
      </c>
    </row>
    <row r="942" spans="1:28">
      <c r="A942">
        <v>941</v>
      </c>
      <c r="B942" s="119">
        <v>0.87288523090992209</v>
      </c>
      <c r="F942">
        <v>0.78895493573134168</v>
      </c>
      <c r="G942">
        <v>0.23339938017578618</v>
      </c>
      <c r="H942">
        <v>0.56673271350911958</v>
      </c>
      <c r="I942">
        <v>0.90006604684245284</v>
      </c>
      <c r="J942">
        <v>4.8214194990601027E-2</v>
      </c>
      <c r="K942">
        <v>0.38154752832393435</v>
      </c>
      <c r="L942">
        <v>0.71488086165726772</v>
      </c>
      <c r="M942">
        <v>0.15932530610171211</v>
      </c>
      <c r="N942">
        <v>0.49265863943504545</v>
      </c>
      <c r="O942">
        <v>0.82599197276837866</v>
      </c>
      <c r="R942">
        <v>2.5</v>
      </c>
      <c r="S942" s="126">
        <f t="shared" si="151"/>
        <v>3.0803771848171984</v>
      </c>
      <c r="T942" s="126">
        <f t="shared" si="152"/>
        <v>2.1097200872046282</v>
      </c>
      <c r="U942" s="126">
        <f t="shared" si="153"/>
        <v>2.3606902207828493</v>
      </c>
      <c r="V942" s="126">
        <f t="shared" si="154"/>
        <v>3.4055445554047381</v>
      </c>
      <c r="W942" s="126">
        <f t="shared" si="155"/>
        <v>1.5021892878391627</v>
      </c>
      <c r="X942" s="126">
        <f t="shared" si="156"/>
        <v>1.6681174378006749</v>
      </c>
      <c r="Y942" s="126">
        <f t="shared" si="157"/>
        <v>2.4683627281031923</v>
      </c>
      <c r="Z942" s="126">
        <f t="shared" si="158"/>
        <v>1.5798073848247765</v>
      </c>
      <c r="AA942" s="126">
        <f t="shared" si="159"/>
        <v>1.9405597541644417</v>
      </c>
      <c r="AB942" s="126">
        <f t="shared" si="160"/>
        <v>2.9110817505924382</v>
      </c>
    </row>
    <row r="943" spans="1:28">
      <c r="A943">
        <v>942</v>
      </c>
      <c r="B943" s="119">
        <v>0.31732967535436674</v>
      </c>
      <c r="F943">
        <v>0.27043641721282324</v>
      </c>
      <c r="G943">
        <v>0.60376975054615656</v>
      </c>
      <c r="H943">
        <v>0.93710308387948982</v>
      </c>
      <c r="I943">
        <v>8.5251232027638069E-2</v>
      </c>
      <c r="J943">
        <v>0.41858456536097138</v>
      </c>
      <c r="K943">
        <v>0.7519178986943047</v>
      </c>
      <c r="L943">
        <v>0.19636234313874915</v>
      </c>
      <c r="M943">
        <v>0.52969567647208249</v>
      </c>
      <c r="N943">
        <v>0.86302900980541575</v>
      </c>
      <c r="O943">
        <v>0.30747345424986028</v>
      </c>
      <c r="R943">
        <v>2.5</v>
      </c>
      <c r="S943" s="126">
        <f t="shared" si="151"/>
        <v>1.91386749429387</v>
      </c>
      <c r="T943" s="126">
        <f t="shared" si="152"/>
        <v>2.3406560398501139</v>
      </c>
      <c r="U943" s="126">
        <f t="shared" si="153"/>
        <v>3.6008284099314483</v>
      </c>
      <c r="V943" s="126">
        <f t="shared" si="154"/>
        <v>1.8410402731042916</v>
      </c>
      <c r="W943" s="126">
        <f t="shared" si="155"/>
        <v>1.9175248238523463</v>
      </c>
      <c r="X943" s="126">
        <f t="shared" si="156"/>
        <v>2.6867827244790021</v>
      </c>
      <c r="Y943" s="126">
        <f t="shared" si="157"/>
        <v>1.8071589526981093</v>
      </c>
      <c r="Z943" s="126">
        <f t="shared" si="158"/>
        <v>2.1314571662882265</v>
      </c>
      <c r="AA943" s="126">
        <f t="shared" si="159"/>
        <v>3.135353455977242</v>
      </c>
      <c r="AB943" s="126">
        <f t="shared" si="160"/>
        <v>2.3226613168939969</v>
      </c>
    </row>
    <row r="944" spans="1:28">
      <c r="A944">
        <v>943</v>
      </c>
      <c r="B944" s="119">
        <v>0.6506630086877</v>
      </c>
      <c r="F944">
        <v>0.64080678758319365</v>
      </c>
      <c r="G944">
        <v>0.97414012091652691</v>
      </c>
      <c r="H944">
        <v>2.3522836965909667E-2</v>
      </c>
      <c r="I944">
        <v>0.35685617029924299</v>
      </c>
      <c r="J944">
        <v>0.69018950363257625</v>
      </c>
      <c r="K944">
        <v>0.13463394807702075</v>
      </c>
      <c r="L944">
        <v>0.4679672814103541</v>
      </c>
      <c r="M944">
        <v>0.80130061474368741</v>
      </c>
      <c r="N944">
        <v>0.24574505918813186</v>
      </c>
      <c r="O944">
        <v>0.57907839252146531</v>
      </c>
      <c r="R944">
        <v>2.5</v>
      </c>
      <c r="S944" s="126">
        <f t="shared" si="151"/>
        <v>2.7156636292889393</v>
      </c>
      <c r="T944" s="126">
        <f t="shared" si="152"/>
        <v>4.1312345738149148</v>
      </c>
      <c r="U944" s="126">
        <f t="shared" si="153"/>
        <v>1.6001248643003785</v>
      </c>
      <c r="V944" s="126">
        <f t="shared" si="154"/>
        <v>1.6633517856465889</v>
      </c>
      <c r="W944" s="126">
        <f t="shared" si="155"/>
        <v>2.4071485156960488</v>
      </c>
      <c r="X944" s="126">
        <f t="shared" si="156"/>
        <v>1.4603624169604466</v>
      </c>
      <c r="Y944" s="126">
        <f t="shared" si="157"/>
        <v>1.82940767903029</v>
      </c>
      <c r="Z944" s="126">
        <f t="shared" si="158"/>
        <v>2.7791962178504708</v>
      </c>
      <c r="AA944" s="126">
        <f t="shared" si="159"/>
        <v>1.9911379608631248</v>
      </c>
      <c r="AB944" s="126">
        <f t="shared" si="160"/>
        <v>2.3270509572933116</v>
      </c>
    </row>
    <row r="945" spans="1:28">
      <c r="A945">
        <v>944</v>
      </c>
      <c r="B945" s="119">
        <v>0.98399634202103325</v>
      </c>
      <c r="F945">
        <v>0.91241172585479857</v>
      </c>
      <c r="G945">
        <v>6.0559874002946705E-2</v>
      </c>
      <c r="H945">
        <v>0.39389320733628003</v>
      </c>
      <c r="I945">
        <v>0.72722654066961345</v>
      </c>
      <c r="J945">
        <v>0.17167098511405779</v>
      </c>
      <c r="K945">
        <v>0.50500431844739113</v>
      </c>
      <c r="L945">
        <v>0.83833765178072439</v>
      </c>
      <c r="M945">
        <v>0.28278209622516892</v>
      </c>
      <c r="N945">
        <v>0.61611542955850229</v>
      </c>
      <c r="O945">
        <v>0.94944876289183555</v>
      </c>
      <c r="R945">
        <v>2.5</v>
      </c>
      <c r="S945" s="126">
        <f t="shared" si="151"/>
        <v>3.5364556803737344</v>
      </c>
      <c r="T945" s="126">
        <f t="shared" si="152"/>
        <v>1.6606352559543125</v>
      </c>
      <c r="U945" s="126">
        <f t="shared" si="153"/>
        <v>1.7743379583921577</v>
      </c>
      <c r="V945" s="126">
        <f t="shared" si="154"/>
        <v>2.5520570589840261</v>
      </c>
      <c r="W945" s="126">
        <f t="shared" si="155"/>
        <v>1.6628251611220206</v>
      </c>
      <c r="X945" s="126">
        <f t="shared" si="156"/>
        <v>2.0078099005795522</v>
      </c>
      <c r="Y945" s="126">
        <f t="shared" si="157"/>
        <v>2.9854653947234588</v>
      </c>
      <c r="Z945" s="126">
        <f t="shared" si="158"/>
        <v>2.1882951209661345</v>
      </c>
      <c r="AA945" s="126">
        <f t="shared" si="159"/>
        <v>2.5051232303638629</v>
      </c>
      <c r="AB945" s="126">
        <f t="shared" si="160"/>
        <v>3.7730885184818215</v>
      </c>
    </row>
    <row r="946" spans="1:28">
      <c r="A946">
        <v>945</v>
      </c>
      <c r="B946" s="119">
        <v>3.33790580704161E-2</v>
      </c>
      <c r="F946">
        <v>9.7596911039983747E-2</v>
      </c>
      <c r="G946">
        <v>0.43093024437331706</v>
      </c>
      <c r="H946">
        <v>0.76426357770665043</v>
      </c>
      <c r="I946">
        <v>0.20870802215109482</v>
      </c>
      <c r="J946">
        <v>0.54204135548442811</v>
      </c>
      <c r="K946">
        <v>0.87537468881776137</v>
      </c>
      <c r="L946">
        <v>0.31981913326220596</v>
      </c>
      <c r="M946">
        <v>0.65315246659553927</v>
      </c>
      <c r="N946">
        <v>0.98648579992887253</v>
      </c>
      <c r="O946">
        <v>3.5868515978255348E-2</v>
      </c>
      <c r="R946">
        <v>2.5</v>
      </c>
      <c r="S946" s="126">
        <f t="shared" si="151"/>
        <v>1.3498091348658252</v>
      </c>
      <c r="T946" s="126">
        <f t="shared" si="152"/>
        <v>1.6966210915033035</v>
      </c>
      <c r="U946" s="126">
        <f t="shared" si="153"/>
        <v>2.6083750645771122</v>
      </c>
      <c r="V946" s="126">
        <f t="shared" si="154"/>
        <v>1.8038562940378018</v>
      </c>
      <c r="W946" s="126">
        <f t="shared" si="155"/>
        <v>2.1554262351020701</v>
      </c>
      <c r="X946" s="126">
        <f t="shared" si="156"/>
        <v>3.1953556872485027</v>
      </c>
      <c r="Y946" s="126">
        <f t="shared" si="157"/>
        <v>2.3815380354057725</v>
      </c>
      <c r="Z946" s="126">
        <f t="shared" si="158"/>
        <v>2.6835322727561293</v>
      </c>
      <c r="AA946" s="126">
        <f t="shared" si="159"/>
        <v>4.3341921497219786</v>
      </c>
      <c r="AB946" s="126">
        <f t="shared" si="160"/>
        <v>1.8548062956940354</v>
      </c>
    </row>
    <row r="947" spans="1:28">
      <c r="A947">
        <v>946</v>
      </c>
      <c r="B947" s="119">
        <v>0.36671239140374945</v>
      </c>
      <c r="F947">
        <v>0.36920184931158867</v>
      </c>
      <c r="G947">
        <v>0.70253518264492198</v>
      </c>
      <c r="H947">
        <v>0.14697962708936643</v>
      </c>
      <c r="I947">
        <v>0.48031296042269978</v>
      </c>
      <c r="J947">
        <v>0.81364629375603303</v>
      </c>
      <c r="K947">
        <v>0.25809073820047757</v>
      </c>
      <c r="L947">
        <v>0.59142407153381094</v>
      </c>
      <c r="M947">
        <v>0.92475740486714419</v>
      </c>
      <c r="N947">
        <v>7.290555301529239E-2</v>
      </c>
      <c r="O947">
        <v>0.40623888634862571</v>
      </c>
      <c r="R947">
        <v>2.5</v>
      </c>
      <c r="S947" s="126">
        <f t="shared" si="151"/>
        <v>2.1427706255894869</v>
      </c>
      <c r="T947" s="126">
        <f t="shared" si="152"/>
        <v>2.6772350663790681</v>
      </c>
      <c r="U947" s="126">
        <f t="shared" si="153"/>
        <v>1.6416982640468887</v>
      </c>
      <c r="V947" s="126">
        <f t="shared" si="154"/>
        <v>1.9461261488035662</v>
      </c>
      <c r="W947" s="126">
        <f t="shared" si="155"/>
        <v>2.8750882440222219</v>
      </c>
      <c r="X947" s="126">
        <f t="shared" si="156"/>
        <v>2.0712513620522817</v>
      </c>
      <c r="Y947" s="126">
        <f t="shared" si="157"/>
        <v>2.3934401751664156</v>
      </c>
      <c r="Z947" s="126">
        <f t="shared" si="158"/>
        <v>3.5505842419517863</v>
      </c>
      <c r="AA947" s="126">
        <f t="shared" si="159"/>
        <v>1.7465895204740074</v>
      </c>
      <c r="AB947" s="126">
        <f t="shared" si="160"/>
        <v>1.8438954004481289</v>
      </c>
    </row>
    <row r="948" spans="1:28">
      <c r="A948">
        <v>947</v>
      </c>
      <c r="B948" s="119">
        <v>0.70004572473708271</v>
      </c>
      <c r="F948">
        <v>0.73957221968195908</v>
      </c>
      <c r="G948">
        <v>0.18401666412640347</v>
      </c>
      <c r="H948">
        <v>0.51734999745973687</v>
      </c>
      <c r="I948">
        <v>0.85068333079307001</v>
      </c>
      <c r="J948">
        <v>0.2951277752375146</v>
      </c>
      <c r="K948">
        <v>0.62846110857084792</v>
      </c>
      <c r="L948">
        <v>0.96179444190418117</v>
      </c>
      <c r="M948">
        <v>0.10994259005232943</v>
      </c>
      <c r="N948">
        <v>0.44327592338566274</v>
      </c>
      <c r="O948">
        <v>0.77660925671899605</v>
      </c>
      <c r="R948">
        <v>2.5</v>
      </c>
      <c r="S948" s="126">
        <f t="shared" si="151"/>
        <v>2.9477714260160943</v>
      </c>
      <c r="T948" s="126">
        <f t="shared" si="152"/>
        <v>1.9008226295273558</v>
      </c>
      <c r="U948" s="126">
        <f t="shared" si="153"/>
        <v>2.1529627557760764</v>
      </c>
      <c r="V948" s="126">
        <f t="shared" si="154"/>
        <v>3.1010777480467748</v>
      </c>
      <c r="W948" s="126">
        <f t="shared" si="155"/>
        <v>2.2762025727335349</v>
      </c>
      <c r="X948" s="126">
        <f t="shared" si="156"/>
        <v>2.5761000451875828</v>
      </c>
      <c r="Y948" s="126">
        <f t="shared" si="157"/>
        <v>3.9179386525513253</v>
      </c>
      <c r="Z948" s="126">
        <f t="shared" si="158"/>
        <v>2.1189911429641435</v>
      </c>
      <c r="AA948" s="126">
        <f t="shared" si="159"/>
        <v>2.1090592542968456</v>
      </c>
      <c r="AB948" s="126">
        <f t="shared" si="160"/>
        <v>2.849241623843509</v>
      </c>
    </row>
    <row r="949" spans="1:28">
      <c r="A949">
        <v>948</v>
      </c>
      <c r="B949" s="119">
        <v>0.14449016918152718</v>
      </c>
      <c r="F949">
        <v>0.2210537011634405</v>
      </c>
      <c r="G949">
        <v>0.55438703449677385</v>
      </c>
      <c r="H949">
        <v>0.8877203678301071</v>
      </c>
      <c r="I949">
        <v>0.33216481227455164</v>
      </c>
      <c r="J949">
        <v>0.66549814560788501</v>
      </c>
      <c r="K949">
        <v>0.99883147894121826</v>
      </c>
      <c r="L949">
        <v>6.6046842452878115E-4</v>
      </c>
      <c r="M949">
        <v>0.33399380175786209</v>
      </c>
      <c r="N949">
        <v>0.66732713509119546</v>
      </c>
      <c r="O949">
        <v>0.11177157953563989</v>
      </c>
      <c r="R949">
        <v>2.5</v>
      </c>
      <c r="S949" s="126">
        <f t="shared" si="151"/>
        <v>1.7842536535947828</v>
      </c>
      <c r="T949" s="126">
        <f t="shared" si="152"/>
        <v>2.1712873092884348</v>
      </c>
      <c r="U949" s="126">
        <f t="shared" si="153"/>
        <v>3.254730823337932</v>
      </c>
      <c r="V949" s="126">
        <f t="shared" si="154"/>
        <v>2.4396387282799488</v>
      </c>
      <c r="W949" s="126">
        <f t="shared" si="155"/>
        <v>2.7405048634940354</v>
      </c>
      <c r="X949" s="126">
        <f t="shared" si="156"/>
        <v>5.0495317826634878</v>
      </c>
      <c r="Y949" s="126">
        <f t="shared" si="157"/>
        <v>1.0508661239211223</v>
      </c>
      <c r="Z949" s="126">
        <f t="shared" si="158"/>
        <v>1.3361265176751682</v>
      </c>
      <c r="AA949" s="126">
        <f t="shared" si="159"/>
        <v>2.1900273167132016</v>
      </c>
      <c r="AB949" s="126">
        <f t="shared" si="160"/>
        <v>1.2585211964001564</v>
      </c>
    </row>
    <row r="950" spans="1:28">
      <c r="A950">
        <v>949</v>
      </c>
      <c r="B950" s="119">
        <v>0.47782350251486055</v>
      </c>
      <c r="F950">
        <v>0.44510491286897319</v>
      </c>
      <c r="G950">
        <v>0.77843824620230651</v>
      </c>
      <c r="H950">
        <v>0.22288269064675098</v>
      </c>
      <c r="I950">
        <v>0.55621602398008441</v>
      </c>
      <c r="J950">
        <v>0.88954935731341767</v>
      </c>
      <c r="K950">
        <v>3.7697505461565819E-2</v>
      </c>
      <c r="L950">
        <v>0.37103083879489912</v>
      </c>
      <c r="M950">
        <v>0.70436417212823255</v>
      </c>
      <c r="N950">
        <v>0.14880861657267691</v>
      </c>
      <c r="O950">
        <v>0.48214194990601023</v>
      </c>
      <c r="R950">
        <v>2.5</v>
      </c>
      <c r="S950" s="126">
        <f t="shared" si="151"/>
        <v>2.3043731135765708</v>
      </c>
      <c r="T950" s="126">
        <f t="shared" si="152"/>
        <v>2.9524687150723317</v>
      </c>
      <c r="U950" s="126">
        <f t="shared" si="153"/>
        <v>2.0167333841031123</v>
      </c>
      <c r="V950" s="126">
        <f t="shared" si="154"/>
        <v>2.2919497435237783</v>
      </c>
      <c r="W950" s="126">
        <f t="shared" si="155"/>
        <v>3.3233279711989328</v>
      </c>
      <c r="X950" s="126">
        <f t="shared" si="156"/>
        <v>1.3654932622179374</v>
      </c>
      <c r="Y950" s="126">
        <f t="shared" si="157"/>
        <v>1.5765625652948478</v>
      </c>
      <c r="Z950" s="126">
        <f t="shared" si="158"/>
        <v>2.397020559293785</v>
      </c>
      <c r="AA950" s="126">
        <f t="shared" si="159"/>
        <v>1.507393972366029</v>
      </c>
      <c r="AB950" s="126">
        <f t="shared" si="160"/>
        <v>1.8824103824091394</v>
      </c>
    </row>
    <row r="951" spans="1:28">
      <c r="A951">
        <v>950</v>
      </c>
      <c r="B951" s="119">
        <v>0.81115683584819376</v>
      </c>
      <c r="F951">
        <v>0.81547528323934348</v>
      </c>
      <c r="G951">
        <v>0.25991972768378802</v>
      </c>
      <c r="H951">
        <v>0.59325306101712139</v>
      </c>
      <c r="I951">
        <v>0.92658639435045465</v>
      </c>
      <c r="J951">
        <v>7.4734542498602854E-2</v>
      </c>
      <c r="K951">
        <v>0.40806787583193616</v>
      </c>
      <c r="L951">
        <v>0.74140120916526953</v>
      </c>
      <c r="M951">
        <v>0.18584565360971395</v>
      </c>
      <c r="N951">
        <v>0.51917898694304732</v>
      </c>
      <c r="O951">
        <v>0.85251232027638058</v>
      </c>
      <c r="R951">
        <v>2.5</v>
      </c>
      <c r="S951" s="126">
        <f t="shared" si="151"/>
        <v>3.1591084484475767</v>
      </c>
      <c r="T951" s="126">
        <f t="shared" si="152"/>
        <v>2.2186599221013856</v>
      </c>
      <c r="U951" s="126">
        <f t="shared" si="153"/>
        <v>2.4714136581319304</v>
      </c>
      <c r="V951" s="126">
        <f t="shared" si="154"/>
        <v>3.6005045061555423</v>
      </c>
      <c r="W951" s="126">
        <f t="shared" si="155"/>
        <v>1.7824666157594673</v>
      </c>
      <c r="X951" s="126">
        <f t="shared" si="156"/>
        <v>1.8658143607367272</v>
      </c>
      <c r="Y951" s="126">
        <f t="shared" si="157"/>
        <v>2.6336850119884376</v>
      </c>
      <c r="Z951" s="126">
        <f t="shared" si="158"/>
        <v>1.7486156284764021</v>
      </c>
      <c r="AA951" s="126">
        <f t="shared" si="159"/>
        <v>2.080248863553197</v>
      </c>
      <c r="AB951" s="126">
        <f t="shared" si="160"/>
        <v>3.0710482940984178</v>
      </c>
    </row>
    <row r="952" spans="1:28">
      <c r="A952">
        <v>951</v>
      </c>
      <c r="B952" s="119">
        <v>0.25560128029263834</v>
      </c>
      <c r="F952">
        <v>0.29695676472082505</v>
      </c>
      <c r="G952">
        <v>0.63029009805415848</v>
      </c>
      <c r="H952">
        <v>0.96362343138749174</v>
      </c>
      <c r="I952">
        <v>1.3006147436874459E-2</v>
      </c>
      <c r="J952">
        <v>0.34633948077020776</v>
      </c>
      <c r="K952">
        <v>0.67967281410354108</v>
      </c>
      <c r="L952">
        <v>0.12411725854798557</v>
      </c>
      <c r="M952">
        <v>0.45745059188131887</v>
      </c>
      <c r="N952">
        <v>0.79078392521465224</v>
      </c>
      <c r="O952">
        <v>0.23522836965909666</v>
      </c>
      <c r="R952">
        <v>2.5</v>
      </c>
      <c r="S952" s="126">
        <f t="shared" si="151"/>
        <v>1.9784659915674556</v>
      </c>
      <c r="T952" s="126">
        <f t="shared" si="152"/>
        <v>2.43045088791084</v>
      </c>
      <c r="U952" s="126">
        <f t="shared" si="153"/>
        <v>3.8632735761664447</v>
      </c>
      <c r="V952" s="126">
        <f t="shared" si="154"/>
        <v>1.2673807082558324</v>
      </c>
      <c r="W952" s="126">
        <f t="shared" si="155"/>
        <v>1.4727337706547168</v>
      </c>
      <c r="X952" s="126">
        <f t="shared" si="156"/>
        <v>2.2869269368067888</v>
      </c>
      <c r="Y952" s="126">
        <f t="shared" si="157"/>
        <v>1.3587830773755951</v>
      </c>
      <c r="Z952" s="126">
        <f t="shared" si="158"/>
        <v>1.7565148687308711</v>
      </c>
      <c r="AA952" s="126">
        <f t="shared" si="159"/>
        <v>2.7119340312636124</v>
      </c>
      <c r="AB952" s="126">
        <f t="shared" si="160"/>
        <v>1.9294575442414268</v>
      </c>
    </row>
    <row r="953" spans="1:28">
      <c r="A953">
        <v>952</v>
      </c>
      <c r="B953" s="119">
        <v>0.58893461362597166</v>
      </c>
      <c r="F953">
        <v>0.56856170299243014</v>
      </c>
      <c r="G953">
        <v>0.9018950363257634</v>
      </c>
      <c r="H953">
        <v>5.0043184473911498E-2</v>
      </c>
      <c r="I953">
        <v>0.3833765178072448</v>
      </c>
      <c r="J953">
        <v>0.71670985114057828</v>
      </c>
      <c r="K953">
        <v>0.16115429558502259</v>
      </c>
      <c r="L953">
        <v>0.4944876289183559</v>
      </c>
      <c r="M953">
        <v>0.82782096225168922</v>
      </c>
      <c r="N953">
        <v>0.27226540669613369</v>
      </c>
      <c r="O953">
        <v>0.60559874002946712</v>
      </c>
      <c r="R953">
        <v>2.5</v>
      </c>
      <c r="S953" s="126">
        <f t="shared" si="151"/>
        <v>2.5606815744478961</v>
      </c>
      <c r="T953" s="126">
        <f t="shared" si="152"/>
        <v>3.5147183210253119</v>
      </c>
      <c r="U953" s="126">
        <f t="shared" si="153"/>
        <v>1.5718948341804524</v>
      </c>
      <c r="V953" s="126">
        <f t="shared" si="154"/>
        <v>1.707105714195905</v>
      </c>
      <c r="W953" s="126">
        <f t="shared" si="155"/>
        <v>2.4924076190384374</v>
      </c>
      <c r="X953" s="126">
        <f t="shared" si="156"/>
        <v>1.5980863953888274</v>
      </c>
      <c r="Y953" s="126">
        <f t="shared" si="157"/>
        <v>1.9535286543443808</v>
      </c>
      <c r="Z953" s="126">
        <f t="shared" si="158"/>
        <v>2.9234930421639183</v>
      </c>
      <c r="AA953" s="126">
        <f t="shared" si="159"/>
        <v>2.1312661910224784</v>
      </c>
      <c r="AB953" s="126">
        <f t="shared" si="160"/>
        <v>2.4538376462413254</v>
      </c>
    </row>
    <row r="954" spans="1:28">
      <c r="A954">
        <v>953</v>
      </c>
      <c r="B954" s="119">
        <v>0.92226794695930492</v>
      </c>
      <c r="F954">
        <v>0.93893207336280038</v>
      </c>
      <c r="G954">
        <v>8.7080221510948533E-2</v>
      </c>
      <c r="H954">
        <v>0.42041355484428183</v>
      </c>
      <c r="I954">
        <v>0.75374688817761526</v>
      </c>
      <c r="J954">
        <v>0.19819133262205962</v>
      </c>
      <c r="K954">
        <v>0.53152466595539294</v>
      </c>
      <c r="L954">
        <v>0.8648579992887262</v>
      </c>
      <c r="M954">
        <v>0.30930244373317073</v>
      </c>
      <c r="N954">
        <v>0.6426357770665041</v>
      </c>
      <c r="O954">
        <v>0.97596911039983736</v>
      </c>
      <c r="R954">
        <v>2.5</v>
      </c>
      <c r="S954" s="126">
        <f t="shared" si="151"/>
        <v>3.6932614047297943</v>
      </c>
      <c r="T954" s="126">
        <f t="shared" si="152"/>
        <v>1.8970934820325098</v>
      </c>
      <c r="U954" s="126">
        <f t="shared" si="153"/>
        <v>1.9495574047733766</v>
      </c>
      <c r="V954" s="126">
        <f t="shared" si="154"/>
        <v>2.7076584208035941</v>
      </c>
      <c r="W954" s="126">
        <f t="shared" si="155"/>
        <v>1.8230842504794484</v>
      </c>
      <c r="X954" s="126">
        <f t="shared" si="156"/>
        <v>2.1432537690211761</v>
      </c>
      <c r="Y954" s="126">
        <f t="shared" si="157"/>
        <v>3.1481935360912328</v>
      </c>
      <c r="Z954" s="126">
        <f t="shared" si="158"/>
        <v>2.3334005189642455</v>
      </c>
      <c r="AA954" s="126">
        <f t="shared" si="159"/>
        <v>2.6359697280679084</v>
      </c>
      <c r="AB954" s="126">
        <f t="shared" si="160"/>
        <v>4.1170484271424312</v>
      </c>
    </row>
    <row r="955" spans="1:28">
      <c r="A955">
        <v>954</v>
      </c>
      <c r="B955" s="119">
        <v>7.0416095107453128E-2</v>
      </c>
      <c r="F955">
        <v>2.5351826449220134E-2</v>
      </c>
      <c r="G955">
        <v>0.35868515978255344</v>
      </c>
      <c r="H955">
        <v>0.69201849311588681</v>
      </c>
      <c r="I955">
        <v>0.13646293756033123</v>
      </c>
      <c r="J955">
        <v>0.46979627089366455</v>
      </c>
      <c r="K955">
        <v>0.80312960422699786</v>
      </c>
      <c r="L955">
        <v>0.24757404867144234</v>
      </c>
      <c r="M955">
        <v>0.58090738200477576</v>
      </c>
      <c r="N955">
        <v>0.91424071533810902</v>
      </c>
      <c r="O955">
        <v>6.2388863486257176E-2</v>
      </c>
      <c r="R955">
        <v>2.5</v>
      </c>
      <c r="S955" s="126">
        <f t="shared" si="151"/>
        <v>0.80658522708112823</v>
      </c>
      <c r="T955" s="126">
        <f t="shared" si="152"/>
        <v>1.268559761370091</v>
      </c>
      <c r="U955" s="126">
        <f t="shared" si="153"/>
        <v>2.2130087331556467</v>
      </c>
      <c r="V955" s="126">
        <f t="shared" si="154"/>
        <v>1.3697165999661847</v>
      </c>
      <c r="W955" s="126">
        <f t="shared" si="155"/>
        <v>1.7876420146528023</v>
      </c>
      <c r="X955" s="126">
        <f t="shared" si="156"/>
        <v>2.7636295257185601</v>
      </c>
      <c r="Y955" s="126">
        <f t="shared" si="157"/>
        <v>1.988095524981262</v>
      </c>
      <c r="Z955" s="126">
        <f t="shared" si="158"/>
        <v>2.3293810510156452</v>
      </c>
      <c r="AA955" s="126">
        <f t="shared" si="159"/>
        <v>3.4602568887787273</v>
      </c>
      <c r="AB955" s="126">
        <f t="shared" si="160"/>
        <v>1.6347640656792513</v>
      </c>
    </row>
    <row r="956" spans="1:28">
      <c r="A956">
        <v>955</v>
      </c>
      <c r="B956" s="119">
        <v>0.40374942844078648</v>
      </c>
      <c r="F956">
        <v>0.39572219681959048</v>
      </c>
      <c r="G956">
        <v>0.7290555301529239</v>
      </c>
      <c r="H956">
        <v>0.17349997459736827</v>
      </c>
      <c r="I956">
        <v>0.50683330793070169</v>
      </c>
      <c r="J956">
        <v>0.84016664126403484</v>
      </c>
      <c r="K956">
        <v>0.28461108570847937</v>
      </c>
      <c r="L956">
        <v>0.61794441904181274</v>
      </c>
      <c r="M956">
        <v>0.951277752375146</v>
      </c>
      <c r="N956">
        <v>9.9425900523294211E-2</v>
      </c>
      <c r="O956">
        <v>0.43275923385662751</v>
      </c>
      <c r="R956">
        <v>2.5</v>
      </c>
      <c r="S956" s="126">
        <f t="shared" si="151"/>
        <v>2.2001210759238616</v>
      </c>
      <c r="T956" s="126">
        <f t="shared" si="152"/>
        <v>2.770602510591635</v>
      </c>
      <c r="U956" s="126">
        <f t="shared" si="153"/>
        <v>1.7785702777161516</v>
      </c>
      <c r="V956" s="126">
        <f t="shared" si="154"/>
        <v>2.0697651911173924</v>
      </c>
      <c r="W956" s="126">
        <f t="shared" si="155"/>
        <v>3.0227853751607912</v>
      </c>
      <c r="X956" s="126">
        <f t="shared" si="156"/>
        <v>2.2115053376241893</v>
      </c>
      <c r="Y956" s="126">
        <f t="shared" si="157"/>
        <v>2.5207413835367345</v>
      </c>
      <c r="Z956" s="126">
        <f t="shared" si="158"/>
        <v>3.7956516419525852</v>
      </c>
      <c r="AA956" s="126">
        <f t="shared" si="159"/>
        <v>2.0096944179987575</v>
      </c>
      <c r="AB956" s="126">
        <f t="shared" si="160"/>
        <v>2.0321169523793103</v>
      </c>
    </row>
    <row r="957" spans="1:28">
      <c r="A957">
        <v>956</v>
      </c>
      <c r="B957" s="119">
        <v>0.7370827617741198</v>
      </c>
      <c r="F957">
        <v>0.76609256718996088</v>
      </c>
      <c r="G957">
        <v>0.2105370116344053</v>
      </c>
      <c r="H957">
        <v>0.54387034496773867</v>
      </c>
      <c r="I957">
        <v>0.87720367830107193</v>
      </c>
      <c r="J957">
        <v>0.32164812274551641</v>
      </c>
      <c r="K957">
        <v>0.65498145607884983</v>
      </c>
      <c r="L957">
        <v>0.98831478941218309</v>
      </c>
      <c r="M957">
        <v>4.7756947619773419E-3</v>
      </c>
      <c r="N957">
        <v>0.33810902809531063</v>
      </c>
      <c r="O957">
        <v>0.671442361428644</v>
      </c>
      <c r="R957">
        <v>2.5</v>
      </c>
      <c r="S957" s="126">
        <f t="shared" si="151"/>
        <v>3.0170644029122329</v>
      </c>
      <c r="T957" s="126">
        <f t="shared" si="152"/>
        <v>2.014503479282415</v>
      </c>
      <c r="U957" s="126">
        <f t="shared" si="153"/>
        <v>2.2651009587395592</v>
      </c>
      <c r="V957" s="126">
        <f t="shared" si="154"/>
        <v>3.2578598888848287</v>
      </c>
      <c r="W957" s="126">
        <f t="shared" si="155"/>
        <v>2.4171670315903029</v>
      </c>
      <c r="X957" s="126">
        <f t="shared" si="156"/>
        <v>2.7055297355414298</v>
      </c>
      <c r="Y957" s="126">
        <f t="shared" si="157"/>
        <v>4.3916157799677826</v>
      </c>
      <c r="Z957" s="126">
        <f t="shared" si="158"/>
        <v>1.2313517082201262</v>
      </c>
      <c r="AA957" s="126">
        <f t="shared" si="159"/>
        <v>1.4361440324203629</v>
      </c>
      <c r="AB957" s="126">
        <f t="shared" si="160"/>
        <v>2.2496617028440307</v>
      </c>
    </row>
    <row r="958" spans="1:28">
      <c r="A958">
        <v>957</v>
      </c>
      <c r="B958" s="119">
        <v>0.18152720621856422</v>
      </c>
      <c r="F958">
        <v>0.11588680587308844</v>
      </c>
      <c r="G958">
        <v>0.44922013920642173</v>
      </c>
      <c r="H958">
        <v>0.78255347253975505</v>
      </c>
      <c r="I958">
        <v>0.22699791698419955</v>
      </c>
      <c r="J958">
        <v>0.56033125031753295</v>
      </c>
      <c r="K958">
        <v>0.89366458365086621</v>
      </c>
      <c r="L958">
        <v>4.1812731799014381E-2</v>
      </c>
      <c r="M958">
        <v>0.37514606513234766</v>
      </c>
      <c r="N958">
        <v>0.70847939846568109</v>
      </c>
      <c r="O958">
        <v>0.15292384291012548</v>
      </c>
      <c r="R958">
        <v>2.5</v>
      </c>
      <c r="S958" s="126">
        <f t="shared" si="151"/>
        <v>1.4319294780642711</v>
      </c>
      <c r="T958" s="126">
        <f t="shared" si="152"/>
        <v>1.7761443976572839</v>
      </c>
      <c r="U958" s="126">
        <f t="shared" si="153"/>
        <v>2.698459423754346</v>
      </c>
      <c r="V958" s="126">
        <f t="shared" si="154"/>
        <v>1.9003876360404384</v>
      </c>
      <c r="W958" s="126">
        <f t="shared" si="155"/>
        <v>2.2420744169923683</v>
      </c>
      <c r="X958" s="126">
        <f t="shared" si="156"/>
        <v>3.3165050764253325</v>
      </c>
      <c r="Y958" s="126">
        <f t="shared" si="157"/>
        <v>1.4016766782263619</v>
      </c>
      <c r="Z958" s="126">
        <f t="shared" si="158"/>
        <v>1.6037140826471936</v>
      </c>
      <c r="AA958" s="126">
        <f t="shared" si="159"/>
        <v>2.4205263678536437</v>
      </c>
      <c r="AB958" s="126">
        <f t="shared" si="160"/>
        <v>1.5337104646247779</v>
      </c>
    </row>
    <row r="959" spans="1:28">
      <c r="A959">
        <v>958</v>
      </c>
      <c r="B959" s="119">
        <v>0.51486053955189759</v>
      </c>
      <c r="F959">
        <v>0.48625717624345877</v>
      </c>
      <c r="G959">
        <v>0.81959050957679203</v>
      </c>
      <c r="H959">
        <v>0.26403495402123656</v>
      </c>
      <c r="I959">
        <v>0.59736828735456993</v>
      </c>
      <c r="J959">
        <v>0.93070162068790319</v>
      </c>
      <c r="K959">
        <v>7.8849768836051409E-2</v>
      </c>
      <c r="L959">
        <v>0.4121831021693847</v>
      </c>
      <c r="M959">
        <v>0.74551643550271807</v>
      </c>
      <c r="N959">
        <v>0.18996087994716251</v>
      </c>
      <c r="O959">
        <v>0.52329421328049586</v>
      </c>
      <c r="R959">
        <v>2.5</v>
      </c>
      <c r="S959" s="126">
        <f t="shared" si="151"/>
        <v>2.3898089835816543</v>
      </c>
      <c r="T959" s="126">
        <f t="shared" si="152"/>
        <v>3.1165523293728832</v>
      </c>
      <c r="U959" s="126">
        <f t="shared" si="153"/>
        <v>2.207694906005548</v>
      </c>
      <c r="V959" s="126">
        <f t="shared" si="154"/>
        <v>2.4746619644706151</v>
      </c>
      <c r="W959" s="126">
        <f t="shared" si="155"/>
        <v>3.6270517232956818</v>
      </c>
      <c r="X959" s="126">
        <f t="shared" si="156"/>
        <v>1.8193641273838796</v>
      </c>
      <c r="Y959" s="126">
        <f t="shared" si="157"/>
        <v>1.8930896853314125</v>
      </c>
      <c r="Z959" s="126">
        <f t="shared" si="158"/>
        <v>2.6579308605733218</v>
      </c>
      <c r="AA959" s="126">
        <f t="shared" si="159"/>
        <v>1.7733957155672546</v>
      </c>
      <c r="AB959" s="126">
        <f t="shared" si="160"/>
        <v>2.1012235426189534</v>
      </c>
    </row>
    <row r="960" spans="1:28">
      <c r="A960">
        <v>959</v>
      </c>
      <c r="B960" s="119">
        <v>0.84819387288523074</v>
      </c>
      <c r="F960">
        <v>0.85662754661382912</v>
      </c>
      <c r="G960">
        <v>0.30107199105827359</v>
      </c>
      <c r="H960">
        <v>0.63440532439160702</v>
      </c>
      <c r="I960">
        <v>0.96773865772494028</v>
      </c>
      <c r="J960">
        <v>1.7121373774323018E-2</v>
      </c>
      <c r="K960">
        <v>0.3504547071076563</v>
      </c>
      <c r="L960">
        <v>0.68378804044098962</v>
      </c>
      <c r="M960">
        <v>0.12823248488543412</v>
      </c>
      <c r="N960">
        <v>0.46156581821876741</v>
      </c>
      <c r="O960">
        <v>0.79489915155210078</v>
      </c>
      <c r="R960">
        <v>2.5</v>
      </c>
      <c r="S960" s="126">
        <f t="shared" si="151"/>
        <v>3.2968782853936522</v>
      </c>
      <c r="T960" s="126">
        <f t="shared" si="152"/>
        <v>2.3887538620523796</v>
      </c>
      <c r="U960" s="126">
        <f t="shared" si="153"/>
        <v>2.6456701062506678</v>
      </c>
      <c r="V960" s="126">
        <f t="shared" si="154"/>
        <v>4.0161260382364201</v>
      </c>
      <c r="W960" s="126">
        <f t="shared" si="155"/>
        <v>1.4339645642597811</v>
      </c>
      <c r="X960" s="126">
        <f t="shared" si="156"/>
        <v>1.5656380064155595</v>
      </c>
      <c r="Y960" s="126">
        <f t="shared" si="157"/>
        <v>2.3431337510020294</v>
      </c>
      <c r="Z960" s="126">
        <f t="shared" si="158"/>
        <v>1.403414923716001</v>
      </c>
      <c r="AA960" s="126">
        <f t="shared" si="159"/>
        <v>1.7874990578950789</v>
      </c>
      <c r="AB960" s="126">
        <f t="shared" si="160"/>
        <v>2.7393792184453511</v>
      </c>
    </row>
    <row r="961" spans="1:28">
      <c r="A961">
        <v>960</v>
      </c>
      <c r="B961" s="119">
        <v>0.29263831732967538</v>
      </c>
      <c r="F961">
        <v>0.23934359599654523</v>
      </c>
      <c r="G961">
        <v>0.57267692932987868</v>
      </c>
      <c r="H961">
        <v>0.90601026266321194</v>
      </c>
      <c r="I961">
        <v>5.415841081136006E-2</v>
      </c>
      <c r="J961">
        <v>0.38749174414469334</v>
      </c>
      <c r="K961">
        <v>0.72082507747802682</v>
      </c>
      <c r="L961">
        <v>0.16526952192247116</v>
      </c>
      <c r="M961">
        <v>0.49860285525580444</v>
      </c>
      <c r="N961">
        <v>0.83193618858913776</v>
      </c>
      <c r="O961">
        <v>0.27638063303358223</v>
      </c>
      <c r="R961">
        <v>2.5</v>
      </c>
      <c r="S961" s="126">
        <f t="shared" si="151"/>
        <v>1.8339262323372529</v>
      </c>
      <c r="T961" s="126">
        <f t="shared" si="152"/>
        <v>2.2345568188608955</v>
      </c>
      <c r="U961" s="126">
        <f t="shared" si="153"/>
        <v>3.3707308115880137</v>
      </c>
      <c r="V961" s="126">
        <f t="shared" si="154"/>
        <v>1.5313890067058034</v>
      </c>
      <c r="W961" s="126">
        <f t="shared" si="155"/>
        <v>1.69562422066653</v>
      </c>
      <c r="X961" s="126">
        <f t="shared" si="156"/>
        <v>2.4966989141889888</v>
      </c>
      <c r="Y961" s="126">
        <f t="shared" si="157"/>
        <v>1.6140142517736993</v>
      </c>
      <c r="Z961" s="126">
        <f t="shared" si="158"/>
        <v>1.9700424463826962</v>
      </c>
      <c r="AA961" s="126">
        <f t="shared" si="159"/>
        <v>2.9452002781599393</v>
      </c>
      <c r="AB961" s="126">
        <f t="shared" si="160"/>
        <v>2.1523611160667055</v>
      </c>
    </row>
    <row r="962" spans="1:28">
      <c r="A962">
        <v>961</v>
      </c>
      <c r="B962" s="119">
        <v>0.62597165066300864</v>
      </c>
      <c r="F962">
        <v>0.60971396636691566</v>
      </c>
      <c r="G962">
        <v>0.94304729970024892</v>
      </c>
      <c r="H962">
        <v>9.1195447848397088E-2</v>
      </c>
      <c r="I962">
        <v>0.42452878118173037</v>
      </c>
      <c r="J962">
        <v>0.7578621145150638</v>
      </c>
      <c r="K962">
        <v>0.20230655895950819</v>
      </c>
      <c r="L962">
        <v>0.53563989229284148</v>
      </c>
      <c r="M962">
        <v>0.86897322562617474</v>
      </c>
      <c r="N962">
        <v>0.31341767007061927</v>
      </c>
      <c r="O962">
        <v>0.64675100340395264</v>
      </c>
      <c r="R962">
        <v>2.5</v>
      </c>
      <c r="S962" s="126">
        <f t="shared" si="151"/>
        <v>2.6479949537138259</v>
      </c>
      <c r="T962" s="126">
        <f t="shared" si="152"/>
        <v>3.7965198072170483</v>
      </c>
      <c r="U962" s="126">
        <f t="shared" si="153"/>
        <v>1.9700456405576745</v>
      </c>
      <c r="V962" s="126">
        <f t="shared" si="154"/>
        <v>1.9948955798199532</v>
      </c>
      <c r="W962" s="126">
        <f t="shared" si="155"/>
        <v>2.741261821559617</v>
      </c>
      <c r="X962" s="126">
        <f t="shared" si="156"/>
        <v>1.8520884506786177</v>
      </c>
      <c r="Y962" s="126">
        <f t="shared" si="157"/>
        <v>2.166369682613146</v>
      </c>
      <c r="Z962" s="126">
        <f t="shared" si="158"/>
        <v>3.1755998103276672</v>
      </c>
      <c r="AA962" s="126">
        <f t="shared" si="159"/>
        <v>2.3567777426072714</v>
      </c>
      <c r="AB962" s="126">
        <f t="shared" si="160"/>
        <v>2.6568335347229151</v>
      </c>
    </row>
    <row r="963" spans="1:28">
      <c r="A963">
        <v>962</v>
      </c>
      <c r="B963" s="119">
        <v>0.9593049839963419</v>
      </c>
      <c r="F963">
        <v>0.9800843367372859</v>
      </c>
      <c r="G963">
        <v>2.9467052786668696E-2</v>
      </c>
      <c r="H963">
        <v>0.36280038612000198</v>
      </c>
      <c r="I963">
        <v>0.69613371945333535</v>
      </c>
      <c r="J963">
        <v>0.1405781638977798</v>
      </c>
      <c r="K963">
        <v>0.47391149723111309</v>
      </c>
      <c r="L963">
        <v>0.8072448305644464</v>
      </c>
      <c r="M963">
        <v>0.25168927500889088</v>
      </c>
      <c r="N963">
        <v>0.5850226083422243</v>
      </c>
      <c r="O963">
        <v>0.91835594167555756</v>
      </c>
      <c r="R963">
        <v>2.5</v>
      </c>
      <c r="S963" s="126">
        <f t="shared" si="151"/>
        <v>4.1135987892616495</v>
      </c>
      <c r="T963" s="126">
        <f t="shared" si="152"/>
        <v>1.6714351470187769</v>
      </c>
      <c r="U963" s="126">
        <f t="shared" si="153"/>
        <v>1.7122996037995948</v>
      </c>
      <c r="V963" s="126">
        <f t="shared" si="154"/>
        <v>2.4457095836082634</v>
      </c>
      <c r="W963" s="126">
        <f t="shared" si="155"/>
        <v>1.5020331816827239</v>
      </c>
      <c r="X963" s="126">
        <f t="shared" si="156"/>
        <v>1.8626736981206657</v>
      </c>
      <c r="Y963" s="126">
        <f t="shared" si="157"/>
        <v>2.813658875900273</v>
      </c>
      <c r="Z963" s="126">
        <f t="shared" si="158"/>
        <v>2.0239299950710303</v>
      </c>
      <c r="AA963" s="126">
        <f t="shared" si="159"/>
        <v>2.3560883409485922</v>
      </c>
      <c r="AB963" s="126">
        <f t="shared" si="160"/>
        <v>3.4957491876019171</v>
      </c>
    </row>
    <row r="964" spans="1:28">
      <c r="A964">
        <v>963</v>
      </c>
      <c r="B964" s="119">
        <v>0.10745313214449016</v>
      </c>
      <c r="F964">
        <v>6.6504089823705731E-2</v>
      </c>
      <c r="G964">
        <v>0.39983742315703902</v>
      </c>
      <c r="H964">
        <v>0.73317075649037244</v>
      </c>
      <c r="I964">
        <v>0.17761520093481684</v>
      </c>
      <c r="J964">
        <v>0.51094853426815023</v>
      </c>
      <c r="K964">
        <v>0.84428186760148338</v>
      </c>
      <c r="L964">
        <v>0.28872631204592791</v>
      </c>
      <c r="M964">
        <v>0.62205964537926128</v>
      </c>
      <c r="N964">
        <v>0.95539297871259454</v>
      </c>
      <c r="O964">
        <v>0.10354112686074277</v>
      </c>
      <c r="R964">
        <v>2.5</v>
      </c>
      <c r="S964" s="126">
        <f t="shared" si="151"/>
        <v>1.1790937537129926</v>
      </c>
      <c r="T964" s="126">
        <f t="shared" si="152"/>
        <v>1.5450321672602121</v>
      </c>
      <c r="U964" s="126">
        <f t="shared" si="153"/>
        <v>2.4516417144052949</v>
      </c>
      <c r="V964" s="126">
        <f t="shared" si="154"/>
        <v>1.6314018606018714</v>
      </c>
      <c r="W964" s="126">
        <f t="shared" si="155"/>
        <v>2.0043085906137135</v>
      </c>
      <c r="X964" s="126">
        <f t="shared" si="156"/>
        <v>3.0039661457987648</v>
      </c>
      <c r="Y964" s="126">
        <f t="shared" si="157"/>
        <v>2.2120169176013884</v>
      </c>
      <c r="Z964" s="126">
        <f t="shared" si="158"/>
        <v>2.5299130528437783</v>
      </c>
      <c r="AA964" s="126">
        <f t="shared" si="159"/>
        <v>3.8350574134724003</v>
      </c>
      <c r="AB964" s="126">
        <f t="shared" si="160"/>
        <v>2.0486355542930226</v>
      </c>
    </row>
    <row r="965" spans="1:28">
      <c r="A965">
        <v>964</v>
      </c>
      <c r="B965" s="119">
        <v>0.44078646547782352</v>
      </c>
      <c r="F965">
        <v>0.43687446019407605</v>
      </c>
      <c r="G965">
        <v>0.77020779352740942</v>
      </c>
      <c r="H965">
        <v>0.21465223797185387</v>
      </c>
      <c r="I965">
        <v>0.54798557130518721</v>
      </c>
      <c r="J965">
        <v>0.88131890463852047</v>
      </c>
      <c r="K965">
        <v>0.32576334908296495</v>
      </c>
      <c r="L965">
        <v>0.65909668241629837</v>
      </c>
      <c r="M965">
        <v>0.99243001574963163</v>
      </c>
      <c r="N965">
        <v>8.8909210994259011E-3</v>
      </c>
      <c r="O965">
        <v>0.34222425443275922</v>
      </c>
      <c r="R965">
        <v>2.5</v>
      </c>
      <c r="S965" s="126">
        <f t="shared" si="151"/>
        <v>2.2871680387304365</v>
      </c>
      <c r="T965" s="126">
        <f t="shared" si="152"/>
        <v>2.9212235503008461</v>
      </c>
      <c r="U965" s="126">
        <f t="shared" si="153"/>
        <v>1.9780269905616286</v>
      </c>
      <c r="V965" s="126">
        <f t="shared" si="154"/>
        <v>2.2553328305714704</v>
      </c>
      <c r="W965" s="126">
        <f t="shared" si="155"/>
        <v>3.2698461021536827</v>
      </c>
      <c r="X965" s="126">
        <f t="shared" si="156"/>
        <v>2.432637529284762</v>
      </c>
      <c r="Y965" s="126">
        <f t="shared" si="157"/>
        <v>2.7225382890730785</v>
      </c>
      <c r="Z965" s="126">
        <f t="shared" si="158"/>
        <v>4.5335255205105804</v>
      </c>
      <c r="AA965" s="126">
        <f t="shared" si="159"/>
        <v>1.4853943213698821</v>
      </c>
      <c r="AB965" s="126">
        <f t="shared" si="160"/>
        <v>1.5730876692184208</v>
      </c>
    </row>
    <row r="966" spans="1:28">
      <c r="A966">
        <v>965</v>
      </c>
      <c r="B966" s="119">
        <v>0.77411979881115678</v>
      </c>
      <c r="F966">
        <v>0.67555758776609254</v>
      </c>
      <c r="G966">
        <v>0.12000203221053701</v>
      </c>
      <c r="H966">
        <v>0.45333536554387033</v>
      </c>
      <c r="I966">
        <v>0.78666869887720359</v>
      </c>
      <c r="J966">
        <v>0.23111314332164809</v>
      </c>
      <c r="K966">
        <v>0.56444647665498149</v>
      </c>
      <c r="L966">
        <v>0.89777980998831475</v>
      </c>
      <c r="M966">
        <v>4.5927958136462943E-2</v>
      </c>
      <c r="N966">
        <v>0.37926129146979626</v>
      </c>
      <c r="O966">
        <v>0.71259462480312963</v>
      </c>
      <c r="R966">
        <v>2.5</v>
      </c>
      <c r="S966" s="126">
        <f t="shared" si="151"/>
        <v>2.7937687430807707</v>
      </c>
      <c r="T966" s="126">
        <f t="shared" si="152"/>
        <v>1.5967548832664329</v>
      </c>
      <c r="U966" s="126">
        <f t="shared" si="153"/>
        <v>1.8675577885482579</v>
      </c>
      <c r="V966" s="126">
        <f t="shared" si="154"/>
        <v>2.75600836695941</v>
      </c>
      <c r="W966" s="126">
        <f t="shared" si="155"/>
        <v>1.9405159171364421</v>
      </c>
      <c r="X966" s="126">
        <f t="shared" si="156"/>
        <v>2.2708565723760694</v>
      </c>
      <c r="Y966" s="126">
        <f t="shared" si="157"/>
        <v>3.3497327351484296</v>
      </c>
      <c r="Z966" s="126">
        <f t="shared" si="158"/>
        <v>1.4549476797135572</v>
      </c>
      <c r="AA966" s="126">
        <f t="shared" si="159"/>
        <v>1.6394229096531225</v>
      </c>
      <c r="AB966" s="126">
        <f t="shared" si="160"/>
        <v>2.4483982078199009</v>
      </c>
    </row>
    <row r="967" spans="1:28">
      <c r="A967">
        <v>966</v>
      </c>
      <c r="B967" s="119">
        <v>0.21856424325560125</v>
      </c>
      <c r="F967">
        <v>0.15703906924757402</v>
      </c>
      <c r="G967">
        <v>0.49037240258090736</v>
      </c>
      <c r="H967">
        <v>0.82370573591424057</v>
      </c>
      <c r="I967">
        <v>0.26815018035868515</v>
      </c>
      <c r="J967">
        <v>0.60148351369201847</v>
      </c>
      <c r="K967">
        <v>0.93481684702535173</v>
      </c>
      <c r="L967">
        <v>8.2964995173499978E-2</v>
      </c>
      <c r="M967">
        <v>0.41629832850683329</v>
      </c>
      <c r="N967">
        <v>0.74963166184016661</v>
      </c>
      <c r="O967">
        <v>0.19407610628461106</v>
      </c>
      <c r="R967">
        <v>2.5</v>
      </c>
      <c r="S967" s="126">
        <f t="shared" si="151"/>
        <v>1.5878998667623436</v>
      </c>
      <c r="T967" s="126">
        <f t="shared" si="152"/>
        <v>1.9398992406171494</v>
      </c>
      <c r="U967" s="126">
        <f t="shared" si="153"/>
        <v>2.9034384754050553</v>
      </c>
      <c r="V967" s="126">
        <f t="shared" si="154"/>
        <v>2.1109251086673027</v>
      </c>
      <c r="W967" s="126">
        <f t="shared" si="155"/>
        <v>2.4348077827280776</v>
      </c>
      <c r="X967" s="126">
        <f t="shared" si="156"/>
        <v>3.6331029526160155</v>
      </c>
      <c r="Y967" s="126">
        <f t="shared" si="157"/>
        <v>1.8450465224133406</v>
      </c>
      <c r="Z967" s="126">
        <f t="shared" si="158"/>
        <v>1.9147078298688511</v>
      </c>
      <c r="AA967" s="126">
        <f t="shared" si="159"/>
        <v>2.6794230802284322</v>
      </c>
      <c r="AB967" s="126">
        <f t="shared" si="160"/>
        <v>1.7966252004305616</v>
      </c>
    </row>
    <row r="968" spans="1:28">
      <c r="A968">
        <v>967</v>
      </c>
      <c r="B968" s="119">
        <v>0.55189757658893457</v>
      </c>
      <c r="F968">
        <v>0.5274094396179444</v>
      </c>
      <c r="G968">
        <v>0.86074277295127766</v>
      </c>
      <c r="H968">
        <v>0.30518721739572219</v>
      </c>
      <c r="I968">
        <v>0.63852055072905556</v>
      </c>
      <c r="J968">
        <v>0.97185388406238882</v>
      </c>
      <c r="K968">
        <v>2.1236600111771576E-2</v>
      </c>
      <c r="L968">
        <v>0.3545699334451049</v>
      </c>
      <c r="M968">
        <v>0.68790326677843816</v>
      </c>
      <c r="N968">
        <v>0.13234771122288266</v>
      </c>
      <c r="O968">
        <v>0.46568104455621601</v>
      </c>
      <c r="R968">
        <v>2.5</v>
      </c>
      <c r="S968" s="126">
        <f t="shared" si="151"/>
        <v>2.4749402085657679</v>
      </c>
      <c r="T968" s="126">
        <f t="shared" si="152"/>
        <v>3.2994372451821952</v>
      </c>
      <c r="U968" s="126">
        <f t="shared" si="153"/>
        <v>2.3997567921227523</v>
      </c>
      <c r="V968" s="126">
        <f t="shared" si="154"/>
        <v>2.6602426438645299</v>
      </c>
      <c r="W968" s="126">
        <f t="shared" si="155"/>
        <v>4.073115927471445</v>
      </c>
      <c r="X968" s="126">
        <f t="shared" si="156"/>
        <v>1.5354770253024377</v>
      </c>
      <c r="Y968" s="126">
        <f t="shared" si="157"/>
        <v>1.6257982877457664</v>
      </c>
      <c r="Z968" s="126">
        <f t="shared" si="158"/>
        <v>2.3829362294713405</v>
      </c>
      <c r="AA968" s="126">
        <f t="shared" si="159"/>
        <v>1.4394407958498845</v>
      </c>
      <c r="AB968" s="126">
        <f t="shared" si="160"/>
        <v>1.8141493363573535</v>
      </c>
    </row>
    <row r="969" spans="1:28">
      <c r="A969">
        <v>968</v>
      </c>
      <c r="B969" s="119">
        <v>0.88523090992226783</v>
      </c>
      <c r="F969">
        <v>0.79901437788954932</v>
      </c>
      <c r="G969">
        <v>0.24345882233399377</v>
      </c>
      <c r="H969">
        <v>0.57679215566732722</v>
      </c>
      <c r="I969">
        <v>0.91012548900066048</v>
      </c>
      <c r="J969">
        <v>5.8273637148808621E-2</v>
      </c>
      <c r="K969">
        <v>0.39160697048214194</v>
      </c>
      <c r="L969">
        <v>0.72494030381547536</v>
      </c>
      <c r="M969">
        <v>0.1693847482599197</v>
      </c>
      <c r="N969">
        <v>0.50271808159325304</v>
      </c>
      <c r="O969">
        <v>0.8360514149265863</v>
      </c>
      <c r="R969">
        <v>2.5</v>
      </c>
      <c r="S969" s="126">
        <f t="shared" si="151"/>
        <v>3.1094971648471033</v>
      </c>
      <c r="T969" s="126">
        <f t="shared" si="152"/>
        <v>2.1511435279615307</v>
      </c>
      <c r="U969" s="126">
        <f t="shared" si="153"/>
        <v>2.4026507792887344</v>
      </c>
      <c r="V969" s="126">
        <f t="shared" si="154"/>
        <v>3.4757921764801609</v>
      </c>
      <c r="W969" s="126">
        <f t="shared" si="155"/>
        <v>1.6141929386299938</v>
      </c>
      <c r="X969" s="126">
        <f t="shared" si="156"/>
        <v>1.7460909855900091</v>
      </c>
      <c r="Y969" s="126">
        <f t="shared" si="157"/>
        <v>2.5321977668445861</v>
      </c>
      <c r="Z969" s="126">
        <f t="shared" si="158"/>
        <v>1.6454068602122502</v>
      </c>
      <c r="AA969" s="126">
        <f t="shared" si="159"/>
        <v>1.9943285154197399</v>
      </c>
      <c r="AB969" s="126">
        <f t="shared" si="160"/>
        <v>2.9710268354284008</v>
      </c>
    </row>
    <row r="970" spans="1:28">
      <c r="A970">
        <v>969</v>
      </c>
      <c r="B970" s="119">
        <v>0.32967535436671241</v>
      </c>
      <c r="F970">
        <v>0.28049585937103083</v>
      </c>
      <c r="G970">
        <v>0.6138291927043642</v>
      </c>
      <c r="H970">
        <v>0.94716252603769746</v>
      </c>
      <c r="I970">
        <v>9.5310674185845656E-2</v>
      </c>
      <c r="J970">
        <v>0.42864400751917897</v>
      </c>
      <c r="K970">
        <v>0.76197734085251234</v>
      </c>
      <c r="L970">
        <v>0.20642178529695673</v>
      </c>
      <c r="M970">
        <v>0.53975511863029002</v>
      </c>
      <c r="N970">
        <v>0.87308845196362328</v>
      </c>
      <c r="O970">
        <v>0.31753289640806787</v>
      </c>
      <c r="R970">
        <v>2.5</v>
      </c>
      <c r="S970" s="126">
        <f t="shared" si="151"/>
        <v>1.9387142066911314</v>
      </c>
      <c r="T970" s="126">
        <f t="shared" si="152"/>
        <v>2.3747508325370514</v>
      </c>
      <c r="U970" s="126">
        <f t="shared" si="153"/>
        <v>3.6897563434507612</v>
      </c>
      <c r="V970" s="126">
        <f t="shared" si="154"/>
        <v>1.9367475756699573</v>
      </c>
      <c r="W970" s="126">
        <f t="shared" si="155"/>
        <v>1.9868150719897184</v>
      </c>
      <c r="X970" s="126">
        <f t="shared" si="156"/>
        <v>2.748117129492627</v>
      </c>
      <c r="Y970" s="126">
        <f t="shared" si="157"/>
        <v>1.8675025347929082</v>
      </c>
      <c r="Z970" s="126">
        <f t="shared" si="158"/>
        <v>2.1826631183681187</v>
      </c>
      <c r="AA970" s="126">
        <f t="shared" si="159"/>
        <v>3.1999235412391638</v>
      </c>
      <c r="AB970" s="126">
        <f t="shared" si="160"/>
        <v>2.3785516273789709</v>
      </c>
    </row>
    <row r="971" spans="1:28">
      <c r="A971">
        <v>970</v>
      </c>
      <c r="B971" s="119">
        <v>0.66300868770004573</v>
      </c>
      <c r="F971">
        <v>0.65086622974140118</v>
      </c>
      <c r="G971">
        <v>0.98419956307473444</v>
      </c>
      <c r="H971">
        <v>3.3582279124117265E-2</v>
      </c>
      <c r="I971">
        <v>0.36691561245745058</v>
      </c>
      <c r="J971">
        <v>0.70024894579078389</v>
      </c>
      <c r="K971">
        <v>0.14469339023522834</v>
      </c>
      <c r="L971">
        <v>0.47802672356856168</v>
      </c>
      <c r="M971">
        <v>0.81136005690189494</v>
      </c>
      <c r="N971">
        <v>0.25580450134633947</v>
      </c>
      <c r="O971">
        <v>0.58913783467967284</v>
      </c>
      <c r="R971">
        <v>2.5</v>
      </c>
      <c r="S971" s="126">
        <f t="shared" si="151"/>
        <v>2.7379695419288339</v>
      </c>
      <c r="T971" s="126">
        <f t="shared" si="152"/>
        <v>4.3106751263029297</v>
      </c>
      <c r="U971" s="126">
        <f t="shared" si="153"/>
        <v>1.8184175651192849</v>
      </c>
      <c r="V971" s="126">
        <f t="shared" si="154"/>
        <v>1.7952043951019552</v>
      </c>
      <c r="W971" s="126">
        <f t="shared" si="155"/>
        <v>2.4971133745731837</v>
      </c>
      <c r="X971" s="126">
        <f t="shared" si="156"/>
        <v>1.5429275700585146</v>
      </c>
      <c r="Y971" s="126">
        <f t="shared" si="157"/>
        <v>1.8917508188602841</v>
      </c>
      <c r="Z971" s="126">
        <f t="shared" si="158"/>
        <v>2.8407532231882451</v>
      </c>
      <c r="AA971" s="126">
        <f t="shared" si="159"/>
        <v>2.0481454149818412</v>
      </c>
      <c r="AB971" s="126">
        <f t="shared" si="160"/>
        <v>2.3769756354009171</v>
      </c>
    </row>
    <row r="972" spans="1:28">
      <c r="A972">
        <v>971</v>
      </c>
      <c r="B972" s="119">
        <v>0.99634202103337899</v>
      </c>
      <c r="F972">
        <v>0.9224711680130061</v>
      </c>
      <c r="G972">
        <v>7.06193161611543E-2</v>
      </c>
      <c r="H972">
        <v>0.40395264949448761</v>
      </c>
      <c r="I972">
        <v>0.73728598282782098</v>
      </c>
      <c r="J972">
        <v>0.18173042727226538</v>
      </c>
      <c r="K972">
        <v>0.51506376060559877</v>
      </c>
      <c r="L972">
        <v>0.84839709393893192</v>
      </c>
      <c r="M972">
        <v>0.29284153838337651</v>
      </c>
      <c r="N972">
        <v>0.62617487171670982</v>
      </c>
      <c r="O972">
        <v>0.95950820505004308</v>
      </c>
      <c r="R972">
        <v>2.5</v>
      </c>
      <c r="S972" s="126">
        <f t="shared" si="151"/>
        <v>3.5910037968289386</v>
      </c>
      <c r="T972" s="126">
        <f t="shared" si="152"/>
        <v>1.7531250546114441</v>
      </c>
      <c r="U972" s="126">
        <f t="shared" si="153"/>
        <v>1.8423151150421737</v>
      </c>
      <c r="V972" s="126">
        <f t="shared" si="154"/>
        <v>2.6114234982113298</v>
      </c>
      <c r="W972" s="126">
        <f t="shared" si="155"/>
        <v>1.7246586926185574</v>
      </c>
      <c r="X972" s="126">
        <f t="shared" si="156"/>
        <v>2.0596921311754839</v>
      </c>
      <c r="Y972" s="126">
        <f t="shared" si="157"/>
        <v>3.0461287402977031</v>
      </c>
      <c r="Z972" s="126">
        <f t="shared" si="158"/>
        <v>2.2431112669116242</v>
      </c>
      <c r="AA972" s="126">
        <f t="shared" si="159"/>
        <v>2.5544856785119112</v>
      </c>
      <c r="AB972" s="126">
        <f t="shared" si="160"/>
        <v>3.8848940027132075</v>
      </c>
    </row>
    <row r="973" spans="1:28">
      <c r="A973">
        <v>972</v>
      </c>
      <c r="B973" s="119">
        <v>1.8289894833104709E-3</v>
      </c>
      <c r="F973">
        <v>0.10765635319819133</v>
      </c>
      <c r="G973">
        <v>0.44098968653152465</v>
      </c>
      <c r="H973">
        <v>0.77432301986485796</v>
      </c>
      <c r="I973">
        <v>0.21876746430930241</v>
      </c>
      <c r="J973">
        <v>0.55210079764263575</v>
      </c>
      <c r="K973">
        <v>0.88543413097596901</v>
      </c>
      <c r="L973">
        <v>0.32987857542041354</v>
      </c>
      <c r="M973">
        <v>0.66321190875374691</v>
      </c>
      <c r="N973">
        <v>0.99654524208708017</v>
      </c>
      <c r="O973">
        <v>2.0322105370116344E-3</v>
      </c>
      <c r="R973">
        <v>2.5</v>
      </c>
      <c r="S973" s="126">
        <f t="shared" si="151"/>
        <v>1.3962272029471123</v>
      </c>
      <c r="T973" s="126">
        <f t="shared" si="152"/>
        <v>1.7410210287037657</v>
      </c>
      <c r="U973" s="126">
        <f t="shared" si="153"/>
        <v>2.6579707197381732</v>
      </c>
      <c r="V973" s="126">
        <f t="shared" si="154"/>
        <v>1.8572796622517793</v>
      </c>
      <c r="W973" s="126">
        <f t="shared" si="155"/>
        <v>2.2032209160774237</v>
      </c>
      <c r="X973" s="126">
        <f t="shared" si="156"/>
        <v>3.2609694947406491</v>
      </c>
      <c r="Y973" s="126">
        <f t="shared" si="157"/>
        <v>2.4375737620161191</v>
      </c>
      <c r="Z973" s="126">
        <f t="shared" si="158"/>
        <v>2.7342948945871028</v>
      </c>
      <c r="AA973" s="126">
        <f t="shared" si="159"/>
        <v>4.7639124553625347</v>
      </c>
      <c r="AB973" s="126">
        <f t="shared" si="160"/>
        <v>1.1863220055540804</v>
      </c>
    </row>
    <row r="974" spans="1:28">
      <c r="A974">
        <v>973</v>
      </c>
      <c r="B974" s="119">
        <v>0.33516232281664382</v>
      </c>
      <c r="F974">
        <v>0.33536554387034495</v>
      </c>
      <c r="G974">
        <v>0.66869887720367827</v>
      </c>
      <c r="H974">
        <v>0.11314332164812274</v>
      </c>
      <c r="I974">
        <v>0.44647665498145606</v>
      </c>
      <c r="J974">
        <v>0.77980998831478932</v>
      </c>
      <c r="K974">
        <v>0.22425443275923385</v>
      </c>
      <c r="L974">
        <v>0.55758776609256722</v>
      </c>
      <c r="M974">
        <v>0.89092109942590048</v>
      </c>
      <c r="N974">
        <v>3.9069247574048671E-2</v>
      </c>
      <c r="O974">
        <v>0.37240258090738199</v>
      </c>
      <c r="R974">
        <v>2.5</v>
      </c>
      <c r="S974" s="126">
        <f t="shared" si="151"/>
        <v>2.067567971164836</v>
      </c>
      <c r="T974" s="126">
        <f t="shared" si="152"/>
        <v>2.5607664845354527</v>
      </c>
      <c r="U974" s="126">
        <f t="shared" si="153"/>
        <v>1.450777334289119</v>
      </c>
      <c r="V974" s="126">
        <f t="shared" si="154"/>
        <v>1.7798963022804708</v>
      </c>
      <c r="W974" s="126">
        <f t="shared" si="155"/>
        <v>2.692679118003408</v>
      </c>
      <c r="X974" s="126">
        <f t="shared" si="156"/>
        <v>1.8899493103740099</v>
      </c>
      <c r="Y974" s="126">
        <f t="shared" si="157"/>
        <v>2.2310932956416654</v>
      </c>
      <c r="Z974" s="126">
        <f t="shared" si="158"/>
        <v>3.2987678408462182</v>
      </c>
      <c r="AA974" s="126">
        <f t="shared" si="159"/>
        <v>1.3667282390946176</v>
      </c>
      <c r="AB974" s="126">
        <f t="shared" si="160"/>
        <v>1.5801753552183144</v>
      </c>
    </row>
    <row r="975" spans="1:28">
      <c r="A975">
        <v>974</v>
      </c>
      <c r="B975" s="119">
        <v>0.66849565614997708</v>
      </c>
      <c r="F975">
        <v>0.70573591424071536</v>
      </c>
      <c r="G975">
        <v>0.15018035868515978</v>
      </c>
      <c r="H975">
        <v>0.48351369201849309</v>
      </c>
      <c r="I975">
        <v>0.81684702535182629</v>
      </c>
      <c r="J975">
        <v>0.26129146979627088</v>
      </c>
      <c r="K975">
        <v>0.5946248031296042</v>
      </c>
      <c r="L975">
        <v>0.92795813646293746</v>
      </c>
      <c r="M975">
        <v>7.6106284611085706E-2</v>
      </c>
      <c r="N975">
        <v>0.40943961794441902</v>
      </c>
      <c r="O975">
        <v>0.74277295127775234</v>
      </c>
      <c r="R975">
        <v>2.5</v>
      </c>
      <c r="S975" s="126">
        <f t="shared" si="151"/>
        <v>2.8644196028121489</v>
      </c>
      <c r="T975" s="126">
        <f t="shared" si="152"/>
        <v>1.7471722366529905</v>
      </c>
      <c r="U975" s="126">
        <f t="shared" si="153"/>
        <v>2.0057616011526544</v>
      </c>
      <c r="V975" s="126">
        <f t="shared" si="154"/>
        <v>2.914959497081123</v>
      </c>
      <c r="W975" s="126">
        <f t="shared" si="155"/>
        <v>2.099434568571771</v>
      </c>
      <c r="X975" s="126">
        <f t="shared" si="156"/>
        <v>2.4144082833954603</v>
      </c>
      <c r="Y975" s="126">
        <f t="shared" si="157"/>
        <v>3.5800366493438993</v>
      </c>
      <c r="Z975" s="126">
        <f t="shared" si="158"/>
        <v>1.780138358247267</v>
      </c>
      <c r="AA975" s="126">
        <f t="shared" si="159"/>
        <v>1.867556730140199</v>
      </c>
      <c r="AB975" s="126">
        <f t="shared" si="160"/>
        <v>2.6380633868984718</v>
      </c>
    </row>
    <row r="976" spans="1:28">
      <c r="A976">
        <v>975</v>
      </c>
      <c r="B976" s="119">
        <v>0.11294010059442157</v>
      </c>
      <c r="F976">
        <v>0.18721739572219681</v>
      </c>
      <c r="G976">
        <v>0.52055072905553013</v>
      </c>
      <c r="H976">
        <v>0.85388406238886339</v>
      </c>
      <c r="I976">
        <v>0.29832850683330792</v>
      </c>
      <c r="J976">
        <v>0.63166184016664129</v>
      </c>
      <c r="K976">
        <v>0.96499517349997455</v>
      </c>
      <c r="L976">
        <v>1.4377889549357313E-2</v>
      </c>
      <c r="M976">
        <v>0.34771122288269063</v>
      </c>
      <c r="N976">
        <v>0.68104455621602389</v>
      </c>
      <c r="O976">
        <v>0.12548900066046842</v>
      </c>
      <c r="R976">
        <v>2.5</v>
      </c>
      <c r="S976" s="126">
        <f t="shared" si="151"/>
        <v>1.6856425531800028</v>
      </c>
      <c r="T976" s="126">
        <f t="shared" si="152"/>
        <v>2.0514381498248753</v>
      </c>
      <c r="U976" s="126">
        <f t="shared" si="153"/>
        <v>3.0614910487735258</v>
      </c>
      <c r="V976" s="126">
        <f t="shared" si="154"/>
        <v>2.2639371431283073</v>
      </c>
      <c r="W976" s="126">
        <f t="shared" si="155"/>
        <v>2.5769278456647067</v>
      </c>
      <c r="X976" s="126">
        <f t="shared" si="156"/>
        <v>3.9513037819280195</v>
      </c>
      <c r="Y976" s="126">
        <f t="shared" si="157"/>
        <v>1.3439648525799401</v>
      </c>
      <c r="Z976" s="126">
        <f t="shared" si="158"/>
        <v>1.5142891234590725</v>
      </c>
      <c r="AA976" s="126">
        <f t="shared" si="159"/>
        <v>2.3109779557960746</v>
      </c>
      <c r="AB976" s="126">
        <f t="shared" si="160"/>
        <v>1.3763734161041401</v>
      </c>
    </row>
    <row r="977" spans="1:28">
      <c r="A977">
        <v>976</v>
      </c>
      <c r="B977" s="119">
        <v>0.44627343392775493</v>
      </c>
      <c r="F977">
        <v>0.45882233399380173</v>
      </c>
      <c r="G977">
        <v>0.79215566732713505</v>
      </c>
      <c r="H977">
        <v>0.23660011177157952</v>
      </c>
      <c r="I977">
        <v>0.56993344510491295</v>
      </c>
      <c r="J977">
        <v>0.90326677843824621</v>
      </c>
      <c r="K977">
        <v>5.1414926586394349E-2</v>
      </c>
      <c r="L977">
        <v>0.38474825991972766</v>
      </c>
      <c r="M977">
        <v>0.71808159325306109</v>
      </c>
      <c r="N977">
        <v>0.16252603769750545</v>
      </c>
      <c r="O977">
        <v>0.49585937103083877</v>
      </c>
      <c r="R977">
        <v>2.5</v>
      </c>
      <c r="S977" s="126">
        <f t="shared" si="151"/>
        <v>2.3329422426861592</v>
      </c>
      <c r="T977" s="126">
        <f t="shared" si="152"/>
        <v>3.0055884750013107</v>
      </c>
      <c r="U977" s="126">
        <f t="shared" si="153"/>
        <v>2.0807221637610529</v>
      </c>
      <c r="V977" s="126">
        <f t="shared" si="154"/>
        <v>2.3528320557042406</v>
      </c>
      <c r="W977" s="126">
        <f t="shared" si="155"/>
        <v>3.4168246519262828</v>
      </c>
      <c r="X977" s="126">
        <f t="shared" si="156"/>
        <v>1.5335382975820178</v>
      </c>
      <c r="Y977" s="126">
        <f t="shared" si="157"/>
        <v>1.6907897296116194</v>
      </c>
      <c r="Z977" s="126">
        <f t="shared" si="158"/>
        <v>2.4875532859182079</v>
      </c>
      <c r="AA977" s="126">
        <f t="shared" si="159"/>
        <v>1.6002620982847808</v>
      </c>
      <c r="AB977" s="126">
        <f t="shared" si="160"/>
        <v>1.9574584031380895</v>
      </c>
    </row>
    <row r="978" spans="1:28">
      <c r="A978">
        <v>977</v>
      </c>
      <c r="B978" s="119">
        <v>0.77960676726108813</v>
      </c>
      <c r="F978">
        <v>0.82919270436417203</v>
      </c>
      <c r="G978">
        <v>0.27363714880861656</v>
      </c>
      <c r="H978">
        <v>0.60697048214194993</v>
      </c>
      <c r="I978">
        <v>0.94030381547528319</v>
      </c>
      <c r="J978">
        <v>8.8451963623431384E-2</v>
      </c>
      <c r="K978">
        <v>0.4217852969567647</v>
      </c>
      <c r="L978">
        <v>0.75511863029009807</v>
      </c>
      <c r="M978">
        <v>0.19956307473454249</v>
      </c>
      <c r="N978">
        <v>0.53289640806787575</v>
      </c>
      <c r="O978">
        <v>0.86622974140120901</v>
      </c>
      <c r="R978">
        <v>2.5</v>
      </c>
      <c r="S978" s="126">
        <f t="shared" si="151"/>
        <v>3.2025956422914339</v>
      </c>
      <c r="T978" s="126">
        <f t="shared" si="152"/>
        <v>2.2749465119437611</v>
      </c>
      <c r="U978" s="126">
        <f t="shared" si="153"/>
        <v>2.5289924102554644</v>
      </c>
      <c r="V978" s="126">
        <f t="shared" si="154"/>
        <v>3.7172840697767997</v>
      </c>
      <c r="W978" s="126">
        <f t="shared" si="155"/>
        <v>1.9162662124271264</v>
      </c>
      <c r="X978" s="126">
        <f t="shared" si="156"/>
        <v>1.9620864137280507</v>
      </c>
      <c r="Y978" s="126">
        <f t="shared" si="157"/>
        <v>2.7175500809229138</v>
      </c>
      <c r="Z978" s="126">
        <f t="shared" si="158"/>
        <v>1.8321108385187101</v>
      </c>
      <c r="AA978" s="126">
        <f t="shared" si="159"/>
        <v>2.1506358443759566</v>
      </c>
      <c r="AB978" s="126">
        <f t="shared" si="160"/>
        <v>3.1571292911808877</v>
      </c>
    </row>
    <row r="979" spans="1:28">
      <c r="A979">
        <v>978</v>
      </c>
      <c r="B979" s="119">
        <v>0.22405121170553269</v>
      </c>
      <c r="F979">
        <v>0.31067418584565359</v>
      </c>
      <c r="G979">
        <v>0.64400751917898691</v>
      </c>
      <c r="H979">
        <v>0.97734085251232017</v>
      </c>
      <c r="I979">
        <v>2.6723568561702986E-2</v>
      </c>
      <c r="J979">
        <v>0.36005690189503631</v>
      </c>
      <c r="K979">
        <v>0.69339023522836962</v>
      </c>
      <c r="L979">
        <v>0.1378346796728141</v>
      </c>
      <c r="M979">
        <v>0.47116801300614741</v>
      </c>
      <c r="N979">
        <v>0.80450134633948067</v>
      </c>
      <c r="O979">
        <v>0.2489457907839252</v>
      </c>
      <c r="R979">
        <v>2.5</v>
      </c>
      <c r="S979" s="126">
        <f t="shared" si="151"/>
        <v>2.0108255149462977</v>
      </c>
      <c r="T979" s="126">
        <f t="shared" si="152"/>
        <v>2.4768775255877999</v>
      </c>
      <c r="U979" s="126">
        <f t="shared" si="153"/>
        <v>4.0575983684968673</v>
      </c>
      <c r="V979" s="126">
        <f t="shared" si="154"/>
        <v>1.6081479727403205</v>
      </c>
      <c r="W979" s="126">
        <f t="shared" si="155"/>
        <v>1.6744512439919939</v>
      </c>
      <c r="X979" s="126">
        <f t="shared" si="156"/>
        <v>2.4202291382891703</v>
      </c>
      <c r="Y979" s="126">
        <f t="shared" si="157"/>
        <v>1.4790206174657967</v>
      </c>
      <c r="Z979" s="126">
        <f t="shared" si="158"/>
        <v>1.8454220347153512</v>
      </c>
      <c r="AA979" s="126">
        <f t="shared" si="159"/>
        <v>2.7967583616476368</v>
      </c>
      <c r="AB979" s="126">
        <f t="shared" si="160"/>
        <v>2.008319739504496</v>
      </c>
    </row>
    <row r="980" spans="1:28">
      <c r="A980">
        <v>979</v>
      </c>
      <c r="B980" s="119">
        <v>0.55738454503886603</v>
      </c>
      <c r="F980">
        <v>0.58227912411725857</v>
      </c>
      <c r="G980">
        <v>0.91561245745059183</v>
      </c>
      <c r="H980">
        <v>6.3760605598740028E-2</v>
      </c>
      <c r="I980">
        <v>0.39709393893207334</v>
      </c>
      <c r="J980">
        <v>0.73042727226540671</v>
      </c>
      <c r="K980">
        <v>0.17487171670985113</v>
      </c>
      <c r="L980">
        <v>0.5082050500431845</v>
      </c>
      <c r="M980">
        <v>0.84153838337651765</v>
      </c>
      <c r="N980">
        <v>0.28598282782096224</v>
      </c>
      <c r="O980">
        <v>0.61931616115429555</v>
      </c>
      <c r="R980">
        <v>2.5</v>
      </c>
      <c r="S980" s="126">
        <f t="shared" si="151"/>
        <v>2.5895610739282104</v>
      </c>
      <c r="T980" s="126">
        <f t="shared" si="152"/>
        <v>3.5982896574034244</v>
      </c>
      <c r="U980" s="126">
        <f t="shared" si="153"/>
        <v>1.7132738926420319</v>
      </c>
      <c r="V980" s="126">
        <f t="shared" si="154"/>
        <v>1.8076481003800171</v>
      </c>
      <c r="W980" s="126">
        <f t="shared" si="155"/>
        <v>2.5767657895840781</v>
      </c>
      <c r="X980" s="126">
        <f t="shared" si="156"/>
        <v>1.6855501167866138</v>
      </c>
      <c r="Y980" s="126">
        <f t="shared" si="157"/>
        <v>2.0258497950233627</v>
      </c>
      <c r="Z980" s="126">
        <f t="shared" si="158"/>
        <v>3.0053798582952522</v>
      </c>
      <c r="AA980" s="126">
        <f t="shared" si="159"/>
        <v>2.2060882555039956</v>
      </c>
      <c r="AB980" s="126">
        <f t="shared" si="160"/>
        <v>2.5209870116788018</v>
      </c>
    </row>
    <row r="981" spans="1:28">
      <c r="A981">
        <v>980</v>
      </c>
      <c r="B981" s="119">
        <v>0.89071787837219929</v>
      </c>
      <c r="F981">
        <v>0.95264949448762881</v>
      </c>
      <c r="G981">
        <v>0.10079764263577706</v>
      </c>
      <c r="H981">
        <v>0.43413097596911038</v>
      </c>
      <c r="I981">
        <v>0.76746430930244369</v>
      </c>
      <c r="J981">
        <v>0.21190875374688817</v>
      </c>
      <c r="K981">
        <v>0.54524208708022148</v>
      </c>
      <c r="L981">
        <v>0.87857542041355474</v>
      </c>
      <c r="M981">
        <v>0.32301986485799927</v>
      </c>
      <c r="N981">
        <v>0.65635319819133264</v>
      </c>
      <c r="O981">
        <v>0.9896865315246659</v>
      </c>
      <c r="R981">
        <v>2.5</v>
      </c>
      <c r="S981" s="126">
        <f t="shared" si="151"/>
        <v>3.7965545471819278</v>
      </c>
      <c r="T981" s="126">
        <f t="shared" si="152"/>
        <v>2.0165898903508435</v>
      </c>
      <c r="U981" s="126">
        <f t="shared" si="153"/>
        <v>2.0384587673822292</v>
      </c>
      <c r="V981" s="126">
        <f t="shared" si="154"/>
        <v>2.7887910772512976</v>
      </c>
      <c r="W981" s="126">
        <f t="shared" si="155"/>
        <v>1.9036857352554775</v>
      </c>
      <c r="X981" s="126">
        <f t="shared" si="156"/>
        <v>2.2122578112354701</v>
      </c>
      <c r="Y981" s="126">
        <f t="shared" si="157"/>
        <v>3.2368879343687107</v>
      </c>
      <c r="Z981" s="126">
        <f t="shared" si="158"/>
        <v>2.4097807782014247</v>
      </c>
      <c r="AA981" s="126">
        <f t="shared" si="159"/>
        <v>2.7048904636452185</v>
      </c>
      <c r="AB981" s="126">
        <f t="shared" si="160"/>
        <v>4.4304063783403898</v>
      </c>
    </row>
    <row r="982" spans="1:28">
      <c r="A982">
        <v>981</v>
      </c>
      <c r="B982" s="119">
        <v>3.8866026520347506E-2</v>
      </c>
      <c r="F982">
        <v>6.1474368744601953E-3</v>
      </c>
      <c r="G982">
        <v>0.33948077020779349</v>
      </c>
      <c r="H982">
        <v>0.67281410354112681</v>
      </c>
      <c r="I982">
        <v>0.1172585479855713</v>
      </c>
      <c r="J982">
        <v>0.4505918813189046</v>
      </c>
      <c r="K982">
        <v>0.78392521465223786</v>
      </c>
      <c r="L982">
        <v>0.22836965909668241</v>
      </c>
      <c r="M982">
        <v>0.56170299243001576</v>
      </c>
      <c r="N982">
        <v>0.89503632576334902</v>
      </c>
      <c r="O982">
        <v>4.3184473911497233E-2</v>
      </c>
      <c r="R982">
        <v>2.5</v>
      </c>
      <c r="S982" s="126">
        <f t="shared" si="151"/>
        <v>0.35328618148592073</v>
      </c>
      <c r="T982" s="126">
        <f t="shared" si="152"/>
        <v>0.99792034262987128</v>
      </c>
      <c r="U982" s="126">
        <f t="shared" si="153"/>
        <v>2.0325427973911943</v>
      </c>
      <c r="V982" s="126">
        <f t="shared" si="154"/>
        <v>1.2027585233512008</v>
      </c>
      <c r="W982" s="126">
        <f t="shared" si="155"/>
        <v>1.6638216744223624</v>
      </c>
      <c r="X982" s="126">
        <f t="shared" si="156"/>
        <v>2.6458599528596518</v>
      </c>
      <c r="Y982" s="126">
        <f t="shared" si="157"/>
        <v>1.8776984436392556</v>
      </c>
      <c r="Z982" s="126">
        <f t="shared" si="158"/>
        <v>2.2335404925503246</v>
      </c>
      <c r="AA982" s="126">
        <f t="shared" si="159"/>
        <v>3.3184104581498022</v>
      </c>
      <c r="AB982" s="126">
        <f t="shared" si="160"/>
        <v>1.4151352377260717</v>
      </c>
    </row>
    <row r="983" spans="1:28">
      <c r="A983">
        <v>982</v>
      </c>
      <c r="B983" s="119">
        <v>0.37219935985368086</v>
      </c>
      <c r="F983">
        <v>0.37651780724483053</v>
      </c>
      <c r="G983">
        <v>0.7098511405781639</v>
      </c>
      <c r="H983">
        <v>0.15429558502260834</v>
      </c>
      <c r="I983">
        <v>0.48762891835594163</v>
      </c>
      <c r="J983">
        <v>0.82096225168927484</v>
      </c>
      <c r="K983">
        <v>0.26540669613371942</v>
      </c>
      <c r="L983">
        <v>0.59874002946705274</v>
      </c>
      <c r="M983">
        <v>0.932073362800386</v>
      </c>
      <c r="N983">
        <v>8.0221510948534261E-2</v>
      </c>
      <c r="O983">
        <v>0.41355484428186756</v>
      </c>
      <c r="R983">
        <v>2.5</v>
      </c>
      <c r="S983" s="126">
        <f t="shared" si="151"/>
        <v>2.1587130301163384</v>
      </c>
      <c r="T983" s="126">
        <f t="shared" si="152"/>
        <v>2.702769684008159</v>
      </c>
      <c r="U983" s="126">
        <f t="shared" si="153"/>
        <v>1.6803424454767111</v>
      </c>
      <c r="V983" s="126">
        <f t="shared" si="154"/>
        <v>1.9806866495355537</v>
      </c>
      <c r="W983" s="126">
        <f t="shared" si="155"/>
        <v>2.9152434076893838</v>
      </c>
      <c r="X983" s="126">
        <f t="shared" si="156"/>
        <v>2.1099731343991115</v>
      </c>
      <c r="Y983" s="126">
        <f t="shared" si="157"/>
        <v>2.4284718315209357</v>
      </c>
      <c r="Z983" s="126">
        <f t="shared" si="158"/>
        <v>3.612394267595723</v>
      </c>
      <c r="AA983" s="126">
        <f t="shared" si="159"/>
        <v>1.8196414341854514</v>
      </c>
      <c r="AB983" s="126">
        <f t="shared" si="160"/>
        <v>1.8961346714572553</v>
      </c>
    </row>
    <row r="984" spans="1:28">
      <c r="A984">
        <v>983</v>
      </c>
      <c r="B984" s="119">
        <v>0.70553269318701417</v>
      </c>
      <c r="F984">
        <v>0.74688817761520088</v>
      </c>
      <c r="G984">
        <v>0.19133262205964538</v>
      </c>
      <c r="H984">
        <v>0.52466595539297867</v>
      </c>
      <c r="I984">
        <v>0.85799928872631193</v>
      </c>
      <c r="J984">
        <v>0.30244373317075646</v>
      </c>
      <c r="K984">
        <v>0.63577706650408983</v>
      </c>
      <c r="L984">
        <v>0.96911039983742309</v>
      </c>
      <c r="M984">
        <v>1.8493115886805869E-2</v>
      </c>
      <c r="N984">
        <v>0.35182644922013917</v>
      </c>
      <c r="O984">
        <v>0.68515978255347243</v>
      </c>
      <c r="R984">
        <v>2.5</v>
      </c>
      <c r="S984" s="126">
        <f t="shared" si="151"/>
        <v>2.9664961731775681</v>
      </c>
      <c r="T984" s="126">
        <f t="shared" si="152"/>
        <v>1.9326412948771532</v>
      </c>
      <c r="U984" s="126">
        <f t="shared" si="153"/>
        <v>2.1841015380164852</v>
      </c>
      <c r="V984" s="126">
        <f t="shared" si="154"/>
        <v>3.1431259207672682</v>
      </c>
      <c r="W984" s="126">
        <f t="shared" si="155"/>
        <v>2.314723424362382</v>
      </c>
      <c r="X984" s="126">
        <f t="shared" si="156"/>
        <v>2.6114727271228819</v>
      </c>
      <c r="Y984" s="126">
        <f t="shared" si="157"/>
        <v>4.0148786836202213</v>
      </c>
      <c r="Z984" s="126">
        <f t="shared" si="158"/>
        <v>1.4591419411920019</v>
      </c>
      <c r="AA984" s="126">
        <f t="shared" si="159"/>
        <v>1.581343131368969</v>
      </c>
      <c r="AB984" s="126">
        <f t="shared" si="160"/>
        <v>2.3542098310912163</v>
      </c>
    </row>
    <row r="985" spans="1:28">
      <c r="A985">
        <v>984</v>
      </c>
      <c r="B985" s="119">
        <v>0.14997713763145862</v>
      </c>
      <c r="F985">
        <v>0.12960422699791699</v>
      </c>
      <c r="G985">
        <v>0.46293756033125028</v>
      </c>
      <c r="H985">
        <v>0.79627089366458359</v>
      </c>
      <c r="I985">
        <v>0.24071533810902809</v>
      </c>
      <c r="J985">
        <v>0.57404867144236149</v>
      </c>
      <c r="K985">
        <v>0.90738200477569475</v>
      </c>
      <c r="L985">
        <v>5.5530152923842911E-2</v>
      </c>
      <c r="M985">
        <v>0.38886348625717621</v>
      </c>
      <c r="N985">
        <v>0.72219681959050963</v>
      </c>
      <c r="O985">
        <v>0.16664126403495402</v>
      </c>
      <c r="R985">
        <v>2.5</v>
      </c>
      <c r="S985" s="126">
        <f t="shared" si="151"/>
        <v>1.4876353156453399</v>
      </c>
      <c r="T985" s="126">
        <f t="shared" si="152"/>
        <v>1.8326770222179474</v>
      </c>
      <c r="U985" s="126">
        <f t="shared" si="153"/>
        <v>2.7660745349003468</v>
      </c>
      <c r="V985" s="126">
        <f t="shared" si="154"/>
        <v>1.9712945233824324</v>
      </c>
      <c r="W985" s="126">
        <f t="shared" si="155"/>
        <v>2.3064830734166533</v>
      </c>
      <c r="X985" s="126">
        <f t="shared" si="156"/>
        <v>3.4136646127832408</v>
      </c>
      <c r="Y985" s="126">
        <f t="shared" si="157"/>
        <v>1.5631615013420912</v>
      </c>
      <c r="Z985" s="126">
        <f t="shared" si="158"/>
        <v>1.7145458791939396</v>
      </c>
      <c r="AA985" s="126">
        <f t="shared" si="159"/>
        <v>2.5095788586248533</v>
      </c>
      <c r="AB985" s="126">
        <f t="shared" si="160"/>
        <v>1.6250286041375968</v>
      </c>
    </row>
    <row r="986" spans="1:28">
      <c r="A986">
        <v>985</v>
      </c>
      <c r="B986" s="119">
        <v>0.48331047096479196</v>
      </c>
      <c r="F986">
        <v>0.49997459736828731</v>
      </c>
      <c r="G986">
        <v>0.83330793070162057</v>
      </c>
      <c r="H986">
        <v>0.2777523751460651</v>
      </c>
      <c r="I986">
        <v>0.61108570847939847</v>
      </c>
      <c r="J986">
        <v>0.94441904181273173</v>
      </c>
      <c r="K986">
        <v>9.2567189960879939E-2</v>
      </c>
      <c r="L986">
        <v>0.42590052329421324</v>
      </c>
      <c r="M986">
        <v>0.75923385662754661</v>
      </c>
      <c r="N986">
        <v>0.20367830107199106</v>
      </c>
      <c r="O986">
        <v>0.53701163440532429</v>
      </c>
      <c r="R986">
        <v>2.5</v>
      </c>
      <c r="S986" s="126">
        <f t="shared" si="151"/>
        <v>2.4181749208971621</v>
      </c>
      <c r="T986" s="126">
        <f t="shared" si="152"/>
        <v>3.1749476087252377</v>
      </c>
      <c r="U986" s="126">
        <f t="shared" si="153"/>
        <v>2.2712104809640827</v>
      </c>
      <c r="V986" s="126">
        <f t="shared" si="154"/>
        <v>2.5359550535682818</v>
      </c>
      <c r="W986" s="126">
        <f t="shared" si="155"/>
        <v>3.7501985065366945</v>
      </c>
      <c r="X986" s="126">
        <f t="shared" si="156"/>
        <v>1.9536257602327276</v>
      </c>
      <c r="Y986" s="126">
        <f t="shared" si="157"/>
        <v>1.9895298551041627</v>
      </c>
      <c r="Z986" s="126">
        <f t="shared" si="158"/>
        <v>2.7421925540321075</v>
      </c>
      <c r="AA986" s="126">
        <f t="shared" si="159"/>
        <v>1.856561751387197</v>
      </c>
      <c r="AB986" s="126">
        <f t="shared" si="160"/>
        <v>2.171465810521763</v>
      </c>
    </row>
    <row r="987" spans="1:28">
      <c r="A987">
        <v>986</v>
      </c>
      <c r="B987" s="119">
        <v>0.81664380429812511</v>
      </c>
      <c r="F987">
        <v>0.87034496773865755</v>
      </c>
      <c r="G987">
        <v>0.31478941218310214</v>
      </c>
      <c r="H987">
        <v>0.64812274551643545</v>
      </c>
      <c r="I987">
        <v>0.98145607884976871</v>
      </c>
      <c r="J987">
        <v>3.0838794899151548E-2</v>
      </c>
      <c r="K987">
        <v>0.36417212823248485</v>
      </c>
      <c r="L987">
        <v>0.69750546156581816</v>
      </c>
      <c r="M987">
        <v>0.14194990601026267</v>
      </c>
      <c r="N987">
        <v>0.47528323934359595</v>
      </c>
      <c r="O987">
        <v>0.80861657267692921</v>
      </c>
      <c r="R987">
        <v>2.5</v>
      </c>
      <c r="S987" s="126">
        <f t="shared" si="151"/>
        <v>3.3486210863675856</v>
      </c>
      <c r="T987" s="126">
        <f t="shared" si="152"/>
        <v>2.4469270740419153</v>
      </c>
      <c r="U987" s="126">
        <f t="shared" si="153"/>
        <v>2.7051891192624313</v>
      </c>
      <c r="V987" s="126">
        <f t="shared" si="154"/>
        <v>4.2408950474896621</v>
      </c>
      <c r="W987" s="126">
        <f t="shared" si="155"/>
        <v>1.7519747030697821</v>
      </c>
      <c r="X987" s="126">
        <f t="shared" si="156"/>
        <v>1.7557930653908693</v>
      </c>
      <c r="Y987" s="126">
        <f t="shared" si="157"/>
        <v>2.4708080614557577</v>
      </c>
      <c r="Z987" s="126">
        <f t="shared" si="158"/>
        <v>1.5197000360754069</v>
      </c>
      <c r="AA987" s="126">
        <f t="shared" si="159"/>
        <v>1.8743948550829317</v>
      </c>
      <c r="AB987" s="126">
        <f t="shared" si="160"/>
        <v>2.8236916696303735</v>
      </c>
    </row>
    <row r="988" spans="1:28">
      <c r="A988">
        <v>987</v>
      </c>
      <c r="B988" s="119">
        <v>0.26108824874256975</v>
      </c>
      <c r="F988">
        <v>0.25306101712137374</v>
      </c>
      <c r="G988">
        <v>0.58639435045470711</v>
      </c>
      <c r="H988">
        <v>0.91972768378804037</v>
      </c>
      <c r="I988">
        <v>6.7875831936188583E-2</v>
      </c>
      <c r="J988">
        <v>0.40120916526952188</v>
      </c>
      <c r="K988">
        <v>0.73454249860285525</v>
      </c>
      <c r="L988">
        <v>0.1789869430472997</v>
      </c>
      <c r="M988">
        <v>0.51232027638063304</v>
      </c>
      <c r="N988">
        <v>0.84565360971396619</v>
      </c>
      <c r="O988">
        <v>0.29009805415841078</v>
      </c>
      <c r="R988">
        <v>2.5</v>
      </c>
      <c r="S988" s="126">
        <f t="shared" si="151"/>
        <v>1.869827692130217</v>
      </c>
      <c r="T988" s="126">
        <f t="shared" si="152"/>
        <v>2.2815398193239771</v>
      </c>
      <c r="U988" s="126">
        <f t="shared" si="153"/>
        <v>3.4658235062235705</v>
      </c>
      <c r="V988" s="126">
        <f t="shared" si="154"/>
        <v>1.6732139456051363</v>
      </c>
      <c r="W988" s="126">
        <f t="shared" si="155"/>
        <v>1.7963044982700411</v>
      </c>
      <c r="X988" s="126">
        <f t="shared" si="156"/>
        <v>2.5813778942341723</v>
      </c>
      <c r="Y988" s="126">
        <f t="shared" si="157"/>
        <v>1.7009448629532691</v>
      </c>
      <c r="Z988" s="126">
        <f t="shared" si="158"/>
        <v>2.0420981431522973</v>
      </c>
      <c r="AA988" s="126">
        <f t="shared" si="159"/>
        <v>3.0277066381274591</v>
      </c>
      <c r="AB988" s="126">
        <f t="shared" si="160"/>
        <v>2.2272573276646277</v>
      </c>
    </row>
    <row r="989" spans="1:28">
      <c r="A989">
        <v>988</v>
      </c>
      <c r="B989" s="119">
        <v>0.59442158207590301</v>
      </c>
      <c r="F989">
        <v>0.62343138749174409</v>
      </c>
      <c r="G989">
        <v>0.95676472082507735</v>
      </c>
      <c r="H989">
        <v>0.10491286897322562</v>
      </c>
      <c r="I989">
        <v>0.43824620230655892</v>
      </c>
      <c r="J989">
        <v>0.77157953563989223</v>
      </c>
      <c r="K989">
        <v>0.21602398008433674</v>
      </c>
      <c r="L989">
        <v>0.54935731341767002</v>
      </c>
      <c r="M989">
        <v>0.88269064675100328</v>
      </c>
      <c r="N989">
        <v>0.32713509119544781</v>
      </c>
      <c r="O989">
        <v>0.66046842452878118</v>
      </c>
      <c r="R989">
        <v>2.5</v>
      </c>
      <c r="S989" s="126">
        <f t="shared" si="151"/>
        <v>2.6776314838951647</v>
      </c>
      <c r="T989" s="126">
        <f t="shared" si="152"/>
        <v>3.9214735249607955</v>
      </c>
      <c r="U989" s="126">
        <f t="shared" si="153"/>
        <v>2.0983239181449238</v>
      </c>
      <c r="V989" s="126">
        <f t="shared" si="154"/>
        <v>2.0881569130765913</v>
      </c>
      <c r="W989" s="126">
        <f t="shared" si="155"/>
        <v>2.8249347677401206</v>
      </c>
      <c r="X989" s="126">
        <f t="shared" si="156"/>
        <v>1.9335009053392922</v>
      </c>
      <c r="Y989" s="126">
        <f t="shared" si="157"/>
        <v>2.2358113442474932</v>
      </c>
      <c r="Z989" s="126">
        <f t="shared" si="158"/>
        <v>3.2657582536121712</v>
      </c>
      <c r="AA989" s="126">
        <f t="shared" si="159"/>
        <v>2.4337208311315872</v>
      </c>
      <c r="AB989" s="126">
        <f t="shared" si="160"/>
        <v>2.7261698341155696</v>
      </c>
    </row>
    <row r="990" spans="1:28">
      <c r="A990">
        <v>989</v>
      </c>
      <c r="B990" s="119">
        <v>0.92775491540923627</v>
      </c>
      <c r="F990">
        <v>0.99380175786211444</v>
      </c>
      <c r="G990">
        <v>1.0262663211908754E-2</v>
      </c>
      <c r="H990">
        <v>0.34359599654524209</v>
      </c>
      <c r="I990">
        <v>0.67692932987857535</v>
      </c>
      <c r="J990">
        <v>0.12137377432301986</v>
      </c>
      <c r="K990">
        <v>0.45470710765635319</v>
      </c>
      <c r="L990">
        <v>0.7880404409896864</v>
      </c>
      <c r="M990">
        <v>0.23248488543413096</v>
      </c>
      <c r="N990">
        <v>0.5658182187674643</v>
      </c>
      <c r="O990">
        <v>0.89915155210079756</v>
      </c>
      <c r="R990">
        <v>2.5</v>
      </c>
      <c r="S990" s="126">
        <f t="shared" si="151"/>
        <v>4.4807654002921744</v>
      </c>
      <c r="T990" s="126">
        <f t="shared" si="152"/>
        <v>1.5030253497986434</v>
      </c>
      <c r="U990" s="126">
        <f t="shared" si="153"/>
        <v>1.5850268709911981</v>
      </c>
      <c r="V990" s="126">
        <f t="shared" si="154"/>
        <v>2.3370517654733018</v>
      </c>
      <c r="W990" s="126">
        <f t="shared" si="155"/>
        <v>1.3728421628984446</v>
      </c>
      <c r="X990" s="126">
        <f t="shared" si="156"/>
        <v>1.7578742708606661</v>
      </c>
      <c r="Y990" s="126">
        <f t="shared" si="157"/>
        <v>2.7047785291244963</v>
      </c>
      <c r="Z990" s="126">
        <f t="shared" si="158"/>
        <v>1.9184776986852412</v>
      </c>
      <c r="AA990" s="126">
        <f t="shared" si="159"/>
        <v>2.2626545909272191</v>
      </c>
      <c r="AB990" s="126">
        <f t="shared" si="160"/>
        <v>3.3519861538271298</v>
      </c>
    </row>
    <row r="991" spans="1:28">
      <c r="A991">
        <v>990</v>
      </c>
      <c r="B991" s="119">
        <v>7.5903063557384534E-2</v>
      </c>
      <c r="F991">
        <v>4.7299700248945795E-2</v>
      </c>
      <c r="G991">
        <v>0.38063303358227912</v>
      </c>
      <c r="H991">
        <v>0.71396636691561244</v>
      </c>
      <c r="I991">
        <v>0.15841081136005689</v>
      </c>
      <c r="J991">
        <v>0.49174414469339023</v>
      </c>
      <c r="K991">
        <v>0.82507747802672338</v>
      </c>
      <c r="L991">
        <v>0.26952192247116802</v>
      </c>
      <c r="M991">
        <v>0.60285525580450128</v>
      </c>
      <c r="N991">
        <v>0.93618858913783454</v>
      </c>
      <c r="O991">
        <v>8.433673728598283E-2</v>
      </c>
      <c r="R991">
        <v>2.5</v>
      </c>
      <c r="S991" s="126">
        <f t="shared" si="151"/>
        <v>1.0394757744000227</v>
      </c>
      <c r="T991" s="126">
        <f t="shared" si="152"/>
        <v>1.4335783523461469</v>
      </c>
      <c r="U991" s="126">
        <f t="shared" si="153"/>
        <v>2.3482637995775999</v>
      </c>
      <c r="V991" s="126">
        <f t="shared" si="154"/>
        <v>1.5163311786461362</v>
      </c>
      <c r="W991" s="126">
        <f t="shared" si="155"/>
        <v>1.9067655634964575</v>
      </c>
      <c r="X991" s="126">
        <f t="shared" si="156"/>
        <v>2.8911649996966591</v>
      </c>
      <c r="Y991" s="126">
        <f t="shared" si="157"/>
        <v>2.1081857135186954</v>
      </c>
      <c r="Z991" s="126">
        <f t="shared" si="158"/>
        <v>2.4363637055652339</v>
      </c>
      <c r="AA991" s="126">
        <f t="shared" si="159"/>
        <v>3.642862400376119</v>
      </c>
      <c r="AB991" s="126">
        <f t="shared" si="160"/>
        <v>1.8573104433270551</v>
      </c>
    </row>
    <row r="992" spans="1:28">
      <c r="A992">
        <v>991</v>
      </c>
      <c r="B992" s="119">
        <v>0.40923639689071789</v>
      </c>
      <c r="F992">
        <v>0.41767007061931616</v>
      </c>
      <c r="G992">
        <v>0.75100340395264942</v>
      </c>
      <c r="H992">
        <v>0.19544784839709392</v>
      </c>
      <c r="I992">
        <v>0.52878118173042721</v>
      </c>
      <c r="J992">
        <v>0.86211451506376047</v>
      </c>
      <c r="K992">
        <v>0.30655895950820505</v>
      </c>
      <c r="L992">
        <v>0.63989229284153837</v>
      </c>
      <c r="M992">
        <v>0.97322562617487163</v>
      </c>
      <c r="N992">
        <v>2.2608342224254428E-2</v>
      </c>
      <c r="O992">
        <v>0.35594167555758777</v>
      </c>
      <c r="R992">
        <v>2.5</v>
      </c>
      <c r="S992" s="126">
        <f t="shared" si="151"/>
        <v>2.2467864755544604</v>
      </c>
      <c r="T992" s="126">
        <f t="shared" si="152"/>
        <v>2.8498886195897146</v>
      </c>
      <c r="U992" s="126">
        <f t="shared" si="153"/>
        <v>1.8864078898876282</v>
      </c>
      <c r="V992" s="126">
        <f t="shared" si="154"/>
        <v>2.1693919002095354</v>
      </c>
      <c r="W992" s="126">
        <f t="shared" si="155"/>
        <v>3.1509875430998555</v>
      </c>
      <c r="X992" s="126">
        <f t="shared" si="156"/>
        <v>2.3283719193024801</v>
      </c>
      <c r="Y992" s="126">
        <f t="shared" si="157"/>
        <v>2.6273865345553999</v>
      </c>
      <c r="Z992" s="126">
        <f t="shared" si="158"/>
        <v>4.0745027769417588</v>
      </c>
      <c r="AA992" s="126">
        <f t="shared" si="159"/>
        <v>1.5578007556033358</v>
      </c>
      <c r="AB992" s="126">
        <f t="shared" si="160"/>
        <v>1.6400564689086252</v>
      </c>
    </row>
    <row r="993" spans="1:28">
      <c r="A993">
        <v>992</v>
      </c>
      <c r="B993" s="119">
        <v>0.74256973022405115</v>
      </c>
      <c r="F993">
        <v>0.68927500889092097</v>
      </c>
      <c r="G993">
        <v>0.13371945333536553</v>
      </c>
      <c r="H993">
        <v>0.46705278666869887</v>
      </c>
      <c r="I993">
        <v>0.80038612000203213</v>
      </c>
      <c r="J993">
        <v>0.24483056444647663</v>
      </c>
      <c r="K993">
        <v>0.57816389777981003</v>
      </c>
      <c r="L993">
        <v>0.91149723111314329</v>
      </c>
      <c r="M993">
        <v>5.9645379261291473E-2</v>
      </c>
      <c r="N993">
        <v>0.3929787125946248</v>
      </c>
      <c r="O993">
        <v>0.72631204592795817</v>
      </c>
      <c r="R993">
        <v>2.5</v>
      </c>
      <c r="S993" s="126">
        <f t="shared" si="151"/>
        <v>2.8255107032918554</v>
      </c>
      <c r="T993" s="126">
        <f t="shared" si="152"/>
        <v>1.6671426003490697</v>
      </c>
      <c r="U993" s="126">
        <f t="shared" si="153"/>
        <v>1.9314384167114085</v>
      </c>
      <c r="V993" s="126">
        <f t="shared" si="154"/>
        <v>2.8277757966843318</v>
      </c>
      <c r="W993" s="126">
        <f t="shared" si="155"/>
        <v>2.0131562058352896</v>
      </c>
      <c r="X993" s="126">
        <f t="shared" si="156"/>
        <v>2.3361890718056948</v>
      </c>
      <c r="Y993" s="126">
        <f t="shared" si="157"/>
        <v>3.4494029259819095</v>
      </c>
      <c r="Z993" s="126">
        <f t="shared" si="158"/>
        <v>1.6105590143055513</v>
      </c>
      <c r="AA993" s="126">
        <f t="shared" si="159"/>
        <v>1.7472085655719383</v>
      </c>
      <c r="AB993" s="126">
        <f t="shared" si="160"/>
        <v>2.5361540753021945</v>
      </c>
    </row>
    <row r="994" spans="1:28">
      <c r="A994">
        <v>993</v>
      </c>
      <c r="B994" s="119">
        <v>0.18701417466849565</v>
      </c>
      <c r="F994">
        <v>0.17075649037240256</v>
      </c>
      <c r="G994">
        <v>0.50408982370573585</v>
      </c>
      <c r="H994">
        <v>0.83742315703906911</v>
      </c>
      <c r="I994">
        <v>0.2818676014835137</v>
      </c>
      <c r="J994">
        <v>0.61520093481684701</v>
      </c>
      <c r="K994">
        <v>0.94853426815018027</v>
      </c>
      <c r="L994">
        <v>9.6682416298328508E-2</v>
      </c>
      <c r="M994">
        <v>0.43001574963166184</v>
      </c>
      <c r="N994">
        <v>0.76334908296499515</v>
      </c>
      <c r="O994">
        <v>0.2077935274094396</v>
      </c>
      <c r="R994">
        <v>2.5</v>
      </c>
      <c r="S994" s="126">
        <f t="shared" si="151"/>
        <v>1.6336941295611012</v>
      </c>
      <c r="T994" s="126">
        <f t="shared" si="152"/>
        <v>1.9912778331828647</v>
      </c>
      <c r="U994" s="126">
        <f t="shared" si="153"/>
        <v>2.9740828461354312</v>
      </c>
      <c r="V994" s="126">
        <f t="shared" si="154"/>
        <v>2.180342471492299</v>
      </c>
      <c r="W994" s="126">
        <f t="shared" si="155"/>
        <v>2.4991519808982825</v>
      </c>
      <c r="X994" s="126">
        <f t="shared" si="156"/>
        <v>3.7628892224031913</v>
      </c>
      <c r="Y994" s="126">
        <f t="shared" si="157"/>
        <v>1.9801470437849702</v>
      </c>
      <c r="Z994" s="126">
        <f t="shared" si="158"/>
        <v>2.011509005245538</v>
      </c>
      <c r="AA994" s="126">
        <f t="shared" si="159"/>
        <v>2.7641900651973272</v>
      </c>
      <c r="AB994" s="126">
        <f t="shared" si="160"/>
        <v>1.8795388069030452</v>
      </c>
    </row>
    <row r="995" spans="1:28">
      <c r="A995">
        <v>994</v>
      </c>
      <c r="B995" s="119">
        <v>0.52034750800182894</v>
      </c>
      <c r="F995">
        <v>0.54112686074277283</v>
      </c>
      <c r="G995">
        <v>0.87446019407610609</v>
      </c>
      <c r="H995">
        <v>0.31890463852055073</v>
      </c>
      <c r="I995">
        <v>0.65223797185388399</v>
      </c>
      <c r="J995">
        <v>0.98557130518721725</v>
      </c>
      <c r="K995">
        <v>3.4954021236600116E-2</v>
      </c>
      <c r="L995">
        <v>0.36828735456993344</v>
      </c>
      <c r="M995">
        <v>0.7016206879032667</v>
      </c>
      <c r="N995">
        <v>0.14606513234771121</v>
      </c>
      <c r="O995">
        <v>0.47939846568104455</v>
      </c>
      <c r="R995">
        <v>2.5</v>
      </c>
      <c r="S995" s="126">
        <f t="shared" si="151"/>
        <v>2.503407036780664</v>
      </c>
      <c r="T995" s="126">
        <f t="shared" si="152"/>
        <v>3.3665883809210859</v>
      </c>
      <c r="U995" s="126">
        <f t="shared" si="153"/>
        <v>2.4654886150504884</v>
      </c>
      <c r="V995" s="126">
        <f t="shared" si="154"/>
        <v>2.7236836676996634</v>
      </c>
      <c r="W995" s="126">
        <f t="shared" si="155"/>
        <v>4.333192880396215</v>
      </c>
      <c r="X995" s="126">
        <f t="shared" si="156"/>
        <v>1.8446352050117363</v>
      </c>
      <c r="Y995" s="126">
        <f t="shared" si="157"/>
        <v>1.8113843464118435</v>
      </c>
      <c r="Z995" s="126">
        <f t="shared" si="158"/>
        <v>2.5085040884044192</v>
      </c>
      <c r="AA995" s="126">
        <f t="shared" si="159"/>
        <v>1.5536078715062542</v>
      </c>
      <c r="AB995" s="126">
        <f t="shared" si="160"/>
        <v>1.8999588154905385</v>
      </c>
    </row>
    <row r="996" spans="1:28">
      <c r="A996">
        <v>995</v>
      </c>
      <c r="B996" s="119">
        <v>0.8536808413351622</v>
      </c>
      <c r="F996">
        <v>0.81273179901437775</v>
      </c>
      <c r="G996">
        <v>0.25717624345882234</v>
      </c>
      <c r="H996">
        <v>0.59050957679215565</v>
      </c>
      <c r="I996">
        <v>0.92384291012548891</v>
      </c>
      <c r="J996">
        <v>7.1991058273637151E-2</v>
      </c>
      <c r="K996">
        <v>0.40532439160697048</v>
      </c>
      <c r="L996">
        <v>0.73865772494030379</v>
      </c>
      <c r="M996">
        <v>0.18310216938474824</v>
      </c>
      <c r="N996">
        <v>0.51643550271808158</v>
      </c>
      <c r="O996">
        <v>0.84976883605141473</v>
      </c>
      <c r="R996">
        <v>2.5</v>
      </c>
      <c r="S996" s="126">
        <f t="shared" si="151"/>
        <v>3.1506565090456777</v>
      </c>
      <c r="T996" s="126">
        <f t="shared" si="152"/>
        <v>2.2074155529457369</v>
      </c>
      <c r="U996" s="126">
        <f t="shared" si="153"/>
        <v>2.4599349187817028</v>
      </c>
      <c r="V996" s="126">
        <f t="shared" si="154"/>
        <v>3.5787135640764447</v>
      </c>
      <c r="W996" s="126">
        <f t="shared" si="155"/>
        <v>1.7552559111300792</v>
      </c>
      <c r="X996" s="126">
        <f t="shared" si="156"/>
        <v>1.8463059367612507</v>
      </c>
      <c r="Y996" s="126">
        <f t="shared" si="157"/>
        <v>2.6169034656939454</v>
      </c>
      <c r="Z996" s="126">
        <f t="shared" si="158"/>
        <v>1.731688862181699</v>
      </c>
      <c r="AA996" s="126">
        <f t="shared" si="159"/>
        <v>2.0660637394132833</v>
      </c>
      <c r="AB996" s="126">
        <f t="shared" si="160"/>
        <v>3.0541640115113449</v>
      </c>
    </row>
    <row r="997" spans="1:28">
      <c r="A997">
        <v>996</v>
      </c>
      <c r="B997" s="119">
        <v>0.29812528577960679</v>
      </c>
      <c r="F997">
        <v>0.29421328049585938</v>
      </c>
      <c r="G997">
        <v>0.62754661382919263</v>
      </c>
      <c r="H997">
        <v>0.96087994716252589</v>
      </c>
      <c r="I997">
        <v>0.10902809531067419</v>
      </c>
      <c r="J997">
        <v>0.44236142864400751</v>
      </c>
      <c r="K997">
        <v>0.77569476197734077</v>
      </c>
      <c r="L997">
        <v>0.22013920642178528</v>
      </c>
      <c r="M997">
        <v>0.55347253975511856</v>
      </c>
      <c r="N997">
        <v>0.88680587308845182</v>
      </c>
      <c r="O997">
        <v>0.33125031753289641</v>
      </c>
      <c r="R997">
        <v>2.5</v>
      </c>
      <c r="S997" s="126">
        <f t="shared" si="151"/>
        <v>1.9719136830978568</v>
      </c>
      <c r="T997" s="126">
        <f t="shared" si="152"/>
        <v>2.4211702047708079</v>
      </c>
      <c r="U997" s="126">
        <f t="shared" si="153"/>
        <v>3.8310720876235136</v>
      </c>
      <c r="V997" s="126">
        <f t="shared" si="154"/>
        <v>2.0713071210809271</v>
      </c>
      <c r="W997" s="126">
        <f t="shared" si="155"/>
        <v>2.0831829197870593</v>
      </c>
      <c r="X997" s="126">
        <f t="shared" si="156"/>
        <v>2.8337138541585221</v>
      </c>
      <c r="Y997" s="126">
        <f t="shared" si="157"/>
        <v>1.9494347638933878</v>
      </c>
      <c r="Z997" s="126">
        <f t="shared" si="158"/>
        <v>2.2523991856110612</v>
      </c>
      <c r="AA997" s="126">
        <f t="shared" si="159"/>
        <v>3.2915562418170845</v>
      </c>
      <c r="AB997" s="126">
        <f t="shared" si="160"/>
        <v>2.4560686933561873</v>
      </c>
    </row>
    <row r="998" spans="1:28">
      <c r="A998">
        <v>997</v>
      </c>
      <c r="B998" s="119">
        <v>0.6314586191129401</v>
      </c>
      <c r="F998">
        <v>0.66458365086622972</v>
      </c>
      <c r="G998">
        <v>0.99791698419956298</v>
      </c>
      <c r="H998">
        <v>3.4039526494944873E-3</v>
      </c>
      <c r="I998">
        <v>0.33673728598282782</v>
      </c>
      <c r="J998">
        <v>0.67007061931616119</v>
      </c>
      <c r="K998">
        <v>0.11451506376060559</v>
      </c>
      <c r="L998">
        <v>0.44784839709393892</v>
      </c>
      <c r="M998">
        <v>0.78118173042727224</v>
      </c>
      <c r="N998">
        <v>0.22562617487171668</v>
      </c>
      <c r="O998">
        <v>0.55895950820505014</v>
      </c>
      <c r="R998">
        <v>2.5</v>
      </c>
      <c r="S998" s="126">
        <f t="shared" si="151"/>
        <v>2.7687719391381682</v>
      </c>
      <c r="T998" s="126">
        <f t="shared" si="152"/>
        <v>4.9166186697380834</v>
      </c>
      <c r="U998" s="126">
        <f t="shared" si="153"/>
        <v>1.4008307585821229</v>
      </c>
      <c r="V998" s="126">
        <f t="shared" si="154"/>
        <v>1.5182273105914861</v>
      </c>
      <c r="W998" s="126">
        <f t="shared" si="155"/>
        <v>2.2877897089708323</v>
      </c>
      <c r="X998" s="126">
        <f t="shared" si="156"/>
        <v>1.3194508225965067</v>
      </c>
      <c r="Y998" s="126">
        <f t="shared" si="157"/>
        <v>1.7167527617573419</v>
      </c>
      <c r="Z998" s="126">
        <f t="shared" si="158"/>
        <v>2.6647692679862818</v>
      </c>
      <c r="AA998" s="126">
        <f t="shared" si="159"/>
        <v>1.8796948706326249</v>
      </c>
      <c r="AB998" s="126">
        <f t="shared" si="160"/>
        <v>2.2288060843368238</v>
      </c>
    </row>
    <row r="999" spans="1:28">
      <c r="A999">
        <v>998</v>
      </c>
      <c r="B999" s="119">
        <v>0.96479195244627336</v>
      </c>
      <c r="F999">
        <v>0.8922928415383834</v>
      </c>
      <c r="G999">
        <v>4.0440989686531523E-2</v>
      </c>
      <c r="H999">
        <v>0.37377432301986485</v>
      </c>
      <c r="I999">
        <v>0.70710765635319828</v>
      </c>
      <c r="J999">
        <v>0.15155210079764261</v>
      </c>
      <c r="K999">
        <v>0.48488543413097596</v>
      </c>
      <c r="L999">
        <v>0.81821876746430922</v>
      </c>
      <c r="M999">
        <v>0.26266321190875375</v>
      </c>
      <c r="N999">
        <v>0.59599654524208712</v>
      </c>
      <c r="O999">
        <v>0.92932987857542038</v>
      </c>
      <c r="R999">
        <v>2.5</v>
      </c>
      <c r="S999" s="126">
        <f t="shared" si="151"/>
        <v>3.4400013854613385</v>
      </c>
      <c r="T999" s="126">
        <f t="shared" si="152"/>
        <v>1.4509083575524071</v>
      </c>
      <c r="U999" s="126">
        <f t="shared" si="153"/>
        <v>1.6254728444244262</v>
      </c>
      <c r="V999" s="126">
        <f t="shared" si="154"/>
        <v>2.4281687120844397</v>
      </c>
      <c r="W999" s="126">
        <f t="shared" si="155"/>
        <v>1.5327465231755335</v>
      </c>
      <c r="X999" s="126">
        <f t="shared" si="156"/>
        <v>1.9008294968817598</v>
      </c>
      <c r="Y999" s="126">
        <f t="shared" si="157"/>
        <v>2.8664958155851181</v>
      </c>
      <c r="Z999" s="126">
        <f t="shared" si="158"/>
        <v>2.078551248122098</v>
      </c>
      <c r="AA999" s="126">
        <f t="shared" si="159"/>
        <v>2.406832087397869</v>
      </c>
      <c r="AB999" s="126">
        <f t="shared" si="160"/>
        <v>3.5845322395155854</v>
      </c>
    </row>
    <row r="1000" spans="1:28">
      <c r="A1000">
        <v>999</v>
      </c>
      <c r="B1000" s="119">
        <v>1.4174668495656149E-2</v>
      </c>
      <c r="F1000">
        <v>7.7478026723568558E-2</v>
      </c>
      <c r="G1000">
        <v>0.41081136005690189</v>
      </c>
      <c r="H1000">
        <v>0.74414469339023526</v>
      </c>
      <c r="I1000">
        <v>0.18858913783467965</v>
      </c>
      <c r="J1000">
        <v>0.52192247116801305</v>
      </c>
      <c r="K1000">
        <v>0.85525580450134631</v>
      </c>
      <c r="L1000">
        <v>0.29970024894579078</v>
      </c>
      <c r="M1000">
        <v>0.63303358227912421</v>
      </c>
      <c r="N1000">
        <v>0.96636691561245747</v>
      </c>
      <c r="O1000">
        <v>1.5749631661840166E-2</v>
      </c>
      <c r="R1000">
        <v>2.5</v>
      </c>
      <c r="S1000" s="126">
        <f t="shared" si="151"/>
        <v>1.2451623620713501</v>
      </c>
      <c r="T1000" s="126">
        <f t="shared" si="152"/>
        <v>1.6015879928890127</v>
      </c>
      <c r="U1000" s="126">
        <f t="shared" si="153"/>
        <v>2.5078998836391375</v>
      </c>
      <c r="V1000" s="126">
        <f t="shared" si="154"/>
        <v>1.6938109827745129</v>
      </c>
      <c r="W1000" s="126">
        <f t="shared" si="155"/>
        <v>2.0583836603488703</v>
      </c>
      <c r="X1000" s="126">
        <f t="shared" si="156"/>
        <v>3.069936026532019</v>
      </c>
      <c r="Y1000" s="126">
        <f t="shared" si="157"/>
        <v>2.2714405106434339</v>
      </c>
      <c r="Z1000" s="126">
        <f t="shared" si="158"/>
        <v>2.5837018667558431</v>
      </c>
      <c r="AA1000" s="126">
        <f t="shared" si="159"/>
        <v>3.9695904851181689</v>
      </c>
      <c r="AB1000" s="126">
        <f t="shared" si="160"/>
        <v>1.3829397512531356</v>
      </c>
    </row>
    <row r="1001" spans="1:28">
      <c r="A1001">
        <v>1000</v>
      </c>
      <c r="B1001" s="119">
        <v>0.3475080018289895</v>
      </c>
      <c r="F1001">
        <v>0.34908296499517349</v>
      </c>
      <c r="G1001">
        <v>0.68241629832850681</v>
      </c>
      <c r="H1001">
        <v>0.12686074277295126</v>
      </c>
      <c r="I1001">
        <v>0.4601940761062846</v>
      </c>
      <c r="J1001">
        <v>0.79352740943961797</v>
      </c>
      <c r="K1001">
        <v>0.23797185388406236</v>
      </c>
      <c r="L1001">
        <v>0.57130518721739587</v>
      </c>
      <c r="M1001">
        <v>0.90463852055072913</v>
      </c>
      <c r="N1001">
        <v>5.2786668698877201E-2</v>
      </c>
      <c r="O1001">
        <v>0.38612000203221053</v>
      </c>
      <c r="R1001">
        <v>2.5</v>
      </c>
      <c r="S1001" s="126">
        <f t="shared" si="151"/>
        <v>2.0983721001659057</v>
      </c>
      <c r="T1001" s="126">
        <f t="shared" si="152"/>
        <v>2.6077090857214138</v>
      </c>
      <c r="U1001" s="126">
        <f t="shared" si="153"/>
        <v>1.5309709603086918</v>
      </c>
      <c r="V1001" s="126">
        <f t="shared" si="154"/>
        <v>1.8487589768156172</v>
      </c>
      <c r="W1001" s="126">
        <f t="shared" si="155"/>
        <v>2.7661954059644041</v>
      </c>
      <c r="X1001" s="126">
        <f t="shared" si="156"/>
        <v>1.96406540265416</v>
      </c>
      <c r="Y1001" s="126">
        <f t="shared" si="157"/>
        <v>2.2970816617891407</v>
      </c>
      <c r="Z1001" s="126">
        <f t="shared" si="158"/>
        <v>3.3954448030261064</v>
      </c>
      <c r="AA1001" s="126">
        <f t="shared" si="159"/>
        <v>1.5334098646825665</v>
      </c>
      <c r="AB1001" s="126">
        <f t="shared" si="160"/>
        <v>1.6936840761761403</v>
      </c>
    </row>
    <row r="1002" spans="1:28">
      <c r="A1002">
        <v>1001</v>
      </c>
      <c r="B1002" s="119">
        <v>0.6808413351623227</v>
      </c>
      <c r="S1002" s="126"/>
      <c r="T1002" s="126"/>
      <c r="U1002" s="126"/>
      <c r="V1002" s="126"/>
      <c r="W1002" s="126"/>
      <c r="X1002" s="126"/>
      <c r="Y1002" s="126"/>
      <c r="Z1002" s="126"/>
      <c r="AA1002" s="126"/>
      <c r="AB1002" s="126"/>
    </row>
    <row r="1003" spans="1:28">
      <c r="A1003">
        <v>1002</v>
      </c>
      <c r="B1003" s="119">
        <v>0.12528577960676726</v>
      </c>
    </row>
    <row r="1004" spans="1:28">
      <c r="A1004">
        <v>1003</v>
      </c>
      <c r="B1004" s="119">
        <v>0.4586191129401006</v>
      </c>
    </row>
    <row r="1005" spans="1:28">
      <c r="A1005">
        <v>1004</v>
      </c>
      <c r="B1005" s="119">
        <v>0.79195244627343386</v>
      </c>
    </row>
    <row r="1006" spans="1:28">
      <c r="A1006">
        <v>1005</v>
      </c>
      <c r="B1006" s="119">
        <v>0.23639689071787837</v>
      </c>
    </row>
    <row r="1007" spans="1:28">
      <c r="A1007">
        <v>1006</v>
      </c>
      <c r="B1007" s="119">
        <v>0.56973022405121176</v>
      </c>
    </row>
    <row r="1008" spans="1:28">
      <c r="A1008">
        <v>1007</v>
      </c>
      <c r="B1008" s="119">
        <v>0.90306355738454502</v>
      </c>
    </row>
    <row r="1009" spans="1:2">
      <c r="A1009">
        <v>1008</v>
      </c>
      <c r="B1009" s="119">
        <v>5.1211705532693184E-2</v>
      </c>
    </row>
    <row r="1010" spans="1:2">
      <c r="A1010">
        <v>1009</v>
      </c>
      <c r="B1010" s="119">
        <v>0.38454503886602653</v>
      </c>
    </row>
    <row r="1011" spans="1:2">
      <c r="A1011">
        <v>1010</v>
      </c>
      <c r="B1011" s="119">
        <v>0.7178783721993599</v>
      </c>
    </row>
    <row r="1012" spans="1:2">
      <c r="A1012">
        <v>1011</v>
      </c>
      <c r="B1012" s="119">
        <v>0.1623228166438043</v>
      </c>
    </row>
    <row r="1013" spans="1:2">
      <c r="A1013">
        <v>1012</v>
      </c>
      <c r="B1013" s="119">
        <v>0.49565614997713764</v>
      </c>
    </row>
    <row r="1014" spans="1:2">
      <c r="A1014">
        <v>1013</v>
      </c>
      <c r="B1014" s="119">
        <v>0.82898948331047084</v>
      </c>
    </row>
    <row r="1015" spans="1:2">
      <c r="A1015">
        <v>1014</v>
      </c>
      <c r="B1015" s="119">
        <v>0.27343392775491543</v>
      </c>
    </row>
    <row r="1016" spans="1:2">
      <c r="A1016">
        <v>1015</v>
      </c>
      <c r="B1016" s="119">
        <v>0.60676726108824874</v>
      </c>
    </row>
    <row r="1017" spans="1:2">
      <c r="A1017">
        <v>1016</v>
      </c>
      <c r="B1017" s="119">
        <v>0.940100594421582</v>
      </c>
    </row>
    <row r="1018" spans="1:2">
      <c r="A1018">
        <v>1017</v>
      </c>
      <c r="B1018" s="119">
        <v>8.8248742569730212E-2</v>
      </c>
    </row>
    <row r="1019" spans="1:2">
      <c r="A1019">
        <v>1018</v>
      </c>
      <c r="B1019" s="119">
        <v>0.42158207590306357</v>
      </c>
    </row>
    <row r="1020" spans="1:2">
      <c r="A1020">
        <v>1019</v>
      </c>
      <c r="B1020" s="119">
        <v>0.75491540923639688</v>
      </c>
    </row>
    <row r="1021" spans="1:2">
      <c r="A1021">
        <v>1020</v>
      </c>
      <c r="B1021" s="119">
        <v>0.19935985368084133</v>
      </c>
    </row>
    <row r="1022" spans="1:2">
      <c r="A1022">
        <v>1021</v>
      </c>
      <c r="B1022" s="119">
        <v>0.53269318701417456</v>
      </c>
    </row>
    <row r="1023" spans="1:2">
      <c r="A1023">
        <v>1022</v>
      </c>
      <c r="B1023" s="119">
        <v>0.86602652034750782</v>
      </c>
    </row>
    <row r="1024" spans="1:2">
      <c r="A1024">
        <v>1023</v>
      </c>
      <c r="B1024" s="119">
        <v>0.31047096479195246</v>
      </c>
    </row>
    <row r="1025" spans="1:2">
      <c r="A1025">
        <v>1024</v>
      </c>
      <c r="B1025" s="119">
        <v>0.64380429812528572</v>
      </c>
    </row>
    <row r="1026" spans="1:2">
      <c r="A1026">
        <v>1025</v>
      </c>
      <c r="B1026" s="119">
        <v>0.97713763145861898</v>
      </c>
    </row>
    <row r="1027" spans="1:2">
      <c r="A1027">
        <v>1026</v>
      </c>
      <c r="B1027" s="119">
        <v>2.6520347508001824E-2</v>
      </c>
    </row>
    <row r="1028" spans="1:2">
      <c r="A1028">
        <v>1027</v>
      </c>
      <c r="B1028" s="119">
        <v>0.35985368084133518</v>
      </c>
    </row>
    <row r="1029" spans="1:2">
      <c r="A1029">
        <v>1028</v>
      </c>
      <c r="B1029" s="119">
        <v>0.69318701417466844</v>
      </c>
    </row>
    <row r="1030" spans="1:2">
      <c r="A1030">
        <v>1029</v>
      </c>
      <c r="B1030" s="119">
        <v>0.13763145861911294</v>
      </c>
    </row>
    <row r="1031" spans="1:2">
      <c r="A1031">
        <v>1030</v>
      </c>
      <c r="B1031" s="119">
        <v>0.47096479195244628</v>
      </c>
    </row>
    <row r="1032" spans="1:2">
      <c r="A1032">
        <v>1031</v>
      </c>
      <c r="B1032" s="119">
        <v>0.80429812528577949</v>
      </c>
    </row>
    <row r="1033" spans="1:2">
      <c r="A1033">
        <v>1032</v>
      </c>
      <c r="B1033" s="119">
        <v>0.24874256973022404</v>
      </c>
    </row>
    <row r="1034" spans="1:2">
      <c r="A1034">
        <v>1033</v>
      </c>
      <c r="B1034" s="119">
        <v>0.58207590306355739</v>
      </c>
    </row>
    <row r="1035" spans="1:2">
      <c r="A1035">
        <v>1034</v>
      </c>
      <c r="B1035" s="119">
        <v>0.91540923639689065</v>
      </c>
    </row>
    <row r="1036" spans="1:2">
      <c r="A1036">
        <v>1035</v>
      </c>
      <c r="B1036" s="119">
        <v>6.3557384545038856E-2</v>
      </c>
    </row>
    <row r="1037" spans="1:2">
      <c r="A1037">
        <v>1036</v>
      </c>
      <c r="B1037" s="119">
        <v>0.39689071787837221</v>
      </c>
    </row>
    <row r="1038" spans="1:2">
      <c r="A1038">
        <v>1037</v>
      </c>
      <c r="B1038" s="119">
        <v>0.73022405121170553</v>
      </c>
    </row>
    <row r="1039" spans="1:2">
      <c r="A1039">
        <v>1038</v>
      </c>
      <c r="B1039" s="119">
        <v>0.17466849565614997</v>
      </c>
    </row>
    <row r="1040" spans="1:2">
      <c r="A1040">
        <v>1039</v>
      </c>
      <c r="B1040" s="119">
        <v>0.50800182898948332</v>
      </c>
    </row>
    <row r="1041" spans="1:2">
      <c r="A1041">
        <v>1040</v>
      </c>
      <c r="B1041" s="119">
        <v>0.84133516232281647</v>
      </c>
    </row>
    <row r="1042" spans="1:2">
      <c r="A1042">
        <v>1041</v>
      </c>
      <c r="B1042" s="119">
        <v>0.28577960676726111</v>
      </c>
    </row>
    <row r="1043" spans="1:2">
      <c r="A1043">
        <v>1042</v>
      </c>
      <c r="B1043" s="119">
        <v>0.61911294010059437</v>
      </c>
    </row>
    <row r="1044" spans="1:2">
      <c r="A1044">
        <v>1043</v>
      </c>
      <c r="B1044" s="119">
        <v>0.95244627343392763</v>
      </c>
    </row>
    <row r="1045" spans="1:2">
      <c r="A1045">
        <v>1044</v>
      </c>
      <c r="B1045" s="119">
        <v>0.10059442158207589</v>
      </c>
    </row>
    <row r="1046" spans="1:2">
      <c r="A1046">
        <v>1045</v>
      </c>
      <c r="B1046" s="119">
        <v>0.43392775491540925</v>
      </c>
    </row>
    <row r="1047" spans="1:2">
      <c r="A1047">
        <v>1046</v>
      </c>
      <c r="B1047" s="119">
        <v>0.76726108824874251</v>
      </c>
    </row>
    <row r="1048" spans="1:2">
      <c r="A1048">
        <v>1047</v>
      </c>
      <c r="B1048" s="119">
        <v>0.21170553269318701</v>
      </c>
    </row>
    <row r="1049" spans="1:2">
      <c r="A1049">
        <v>1048</v>
      </c>
      <c r="B1049" s="119">
        <v>0.5450388660265203</v>
      </c>
    </row>
    <row r="1050" spans="1:2">
      <c r="A1050">
        <v>1049</v>
      </c>
      <c r="B1050" s="119">
        <v>0.87837219935985356</v>
      </c>
    </row>
    <row r="1051" spans="1:2">
      <c r="A1051">
        <v>1050</v>
      </c>
      <c r="B1051" s="119">
        <v>0.32281664380429814</v>
      </c>
    </row>
    <row r="1052" spans="1:2">
      <c r="A1052">
        <v>1051</v>
      </c>
      <c r="B1052" s="119">
        <v>0.65614997713763146</v>
      </c>
    </row>
    <row r="1053" spans="1:2">
      <c r="A1053">
        <v>1052</v>
      </c>
      <c r="B1053" s="119">
        <v>0.98948331047096472</v>
      </c>
    </row>
    <row r="1054" spans="1:2">
      <c r="A1054">
        <v>1053</v>
      </c>
      <c r="B1054" s="119">
        <v>5.9442158207590311E-3</v>
      </c>
    </row>
    <row r="1055" spans="1:2">
      <c r="A1055">
        <v>1054</v>
      </c>
      <c r="B1055" s="119">
        <v>0.33927754915409236</v>
      </c>
    </row>
    <row r="1056" spans="1:2">
      <c r="A1056">
        <v>1055</v>
      </c>
      <c r="B1056" s="119">
        <v>0.67261088248742562</v>
      </c>
    </row>
    <row r="1057" spans="1:2">
      <c r="A1057">
        <v>1056</v>
      </c>
      <c r="B1057" s="119">
        <v>0.11705532693187012</v>
      </c>
    </row>
    <row r="1058" spans="1:2">
      <c r="A1058">
        <v>1057</v>
      </c>
      <c r="B1058" s="119">
        <v>0.45038866026520347</v>
      </c>
    </row>
    <row r="1059" spans="1:2">
      <c r="A1059">
        <v>1058</v>
      </c>
      <c r="B1059" s="119">
        <v>0.78372199359853667</v>
      </c>
    </row>
    <row r="1060" spans="1:2">
      <c r="A1060">
        <v>1059</v>
      </c>
      <c r="B1060" s="119">
        <v>0.22816643804298126</v>
      </c>
    </row>
    <row r="1061" spans="1:2">
      <c r="A1061">
        <v>1060</v>
      </c>
      <c r="B1061" s="119">
        <v>0.56149977137631457</v>
      </c>
    </row>
    <row r="1062" spans="1:2">
      <c r="A1062">
        <v>1061</v>
      </c>
      <c r="B1062" s="119">
        <v>0.89483310470964783</v>
      </c>
    </row>
    <row r="1063" spans="1:2">
      <c r="A1063">
        <v>1062</v>
      </c>
      <c r="B1063" s="119">
        <v>4.2981252857796068E-2</v>
      </c>
    </row>
    <row r="1064" spans="1:2">
      <c r="A1064">
        <v>1063</v>
      </c>
      <c r="B1064" s="119">
        <v>0.3763145861911294</v>
      </c>
    </row>
    <row r="1065" spans="1:2">
      <c r="A1065">
        <v>1064</v>
      </c>
      <c r="B1065" s="119">
        <v>0.70964791952446271</v>
      </c>
    </row>
    <row r="1066" spans="1:2">
      <c r="A1066">
        <v>1065</v>
      </c>
      <c r="B1066" s="119">
        <v>0.15409236396890719</v>
      </c>
    </row>
    <row r="1067" spans="1:2">
      <c r="A1067">
        <v>1066</v>
      </c>
      <c r="B1067" s="119">
        <v>0.4874256973022405</v>
      </c>
    </row>
    <row r="1068" spans="1:2">
      <c r="A1068">
        <v>1067</v>
      </c>
      <c r="B1068" s="119">
        <v>0.82075903063557365</v>
      </c>
    </row>
    <row r="1069" spans="1:2">
      <c r="A1069">
        <v>1068</v>
      </c>
      <c r="B1069" s="119">
        <v>0.26520347508001829</v>
      </c>
    </row>
    <row r="1070" spans="1:2">
      <c r="A1070">
        <v>1069</v>
      </c>
      <c r="B1070" s="119">
        <v>0.59853680841335155</v>
      </c>
    </row>
    <row r="1071" spans="1:2">
      <c r="A1071">
        <v>1070</v>
      </c>
      <c r="B1071" s="119">
        <v>0.93187014174668481</v>
      </c>
    </row>
    <row r="1072" spans="1:2">
      <c r="A1072">
        <v>1071</v>
      </c>
      <c r="B1072" s="119">
        <v>8.0018289894833089E-2</v>
      </c>
    </row>
    <row r="1073" spans="1:2">
      <c r="A1073">
        <v>1072</v>
      </c>
      <c r="B1073" s="119">
        <v>0.41335162322816643</v>
      </c>
    </row>
    <row r="1074" spans="1:2">
      <c r="A1074">
        <v>1073</v>
      </c>
      <c r="B1074" s="119">
        <v>0.74668495656149969</v>
      </c>
    </row>
    <row r="1075" spans="1:2">
      <c r="A1075">
        <v>1074</v>
      </c>
      <c r="B1075" s="119">
        <v>0.19112940100594422</v>
      </c>
    </row>
    <row r="1076" spans="1:2">
      <c r="A1076">
        <v>1075</v>
      </c>
      <c r="B1076" s="119">
        <v>0.52446273433927748</v>
      </c>
    </row>
    <row r="1077" spans="1:2">
      <c r="A1077">
        <v>1076</v>
      </c>
      <c r="B1077" s="119">
        <v>0.85779606767261074</v>
      </c>
    </row>
    <row r="1078" spans="1:2">
      <c r="A1078">
        <v>1077</v>
      </c>
      <c r="B1078" s="119">
        <v>0.30224051211705533</v>
      </c>
    </row>
    <row r="1079" spans="1:2">
      <c r="A1079">
        <v>1078</v>
      </c>
      <c r="B1079" s="119">
        <v>0.63557384545038864</v>
      </c>
    </row>
    <row r="1080" spans="1:2">
      <c r="A1080">
        <v>1079</v>
      </c>
      <c r="B1080" s="119">
        <v>0.9689071787837219</v>
      </c>
    </row>
    <row r="1081" spans="1:2">
      <c r="A1081">
        <v>1080</v>
      </c>
      <c r="B1081" s="119">
        <v>1.8289894833104708E-2</v>
      </c>
    </row>
    <row r="1082" spans="1:2">
      <c r="A1082">
        <v>1081</v>
      </c>
      <c r="B1082" s="119">
        <v>0.35162322816643804</v>
      </c>
    </row>
    <row r="1083" spans="1:2">
      <c r="A1083">
        <v>1082</v>
      </c>
      <c r="B1083" s="119">
        <v>0.68495656149977124</v>
      </c>
    </row>
    <row r="1084" spans="1:2">
      <c r="A1084">
        <v>1083</v>
      </c>
      <c r="B1084" s="119">
        <v>0.12940100594421583</v>
      </c>
    </row>
    <row r="1085" spans="1:2">
      <c r="A1085">
        <v>1084</v>
      </c>
      <c r="B1085" s="119">
        <v>0.46273433927754914</v>
      </c>
    </row>
    <row r="1086" spans="1:2">
      <c r="A1086">
        <v>1085</v>
      </c>
      <c r="B1086" s="119">
        <v>0.7960676726108824</v>
      </c>
    </row>
    <row r="1087" spans="1:2">
      <c r="A1087">
        <v>1086</v>
      </c>
      <c r="B1087" s="119">
        <v>0.24051211705532693</v>
      </c>
    </row>
    <row r="1088" spans="1:2">
      <c r="A1088">
        <v>1087</v>
      </c>
      <c r="B1088" s="119">
        <v>0.57384545038866031</v>
      </c>
    </row>
    <row r="1089" spans="1:2">
      <c r="A1089">
        <v>1088</v>
      </c>
      <c r="B1089" s="119">
        <v>0.90717878372199356</v>
      </c>
    </row>
    <row r="1090" spans="1:2">
      <c r="A1090">
        <v>1089</v>
      </c>
      <c r="B1090" s="119">
        <v>5.5326931870141746E-2</v>
      </c>
    </row>
    <row r="1091" spans="1:2">
      <c r="A1091">
        <v>1090</v>
      </c>
      <c r="B1091" s="119">
        <v>0.38866026520347507</v>
      </c>
    </row>
    <row r="1092" spans="1:2">
      <c r="A1092">
        <v>1091</v>
      </c>
      <c r="B1092" s="119">
        <v>0.72199359853680845</v>
      </c>
    </row>
    <row r="1093" spans="1:2">
      <c r="A1093">
        <v>1092</v>
      </c>
      <c r="B1093" s="119">
        <v>0.16643804298125287</v>
      </c>
    </row>
    <row r="1094" spans="1:2">
      <c r="A1094">
        <v>1093</v>
      </c>
      <c r="B1094" s="119">
        <v>0.49977137631458618</v>
      </c>
    </row>
    <row r="1095" spans="1:2">
      <c r="A1095">
        <v>1094</v>
      </c>
      <c r="B1095" s="119">
        <v>0.83310470964791938</v>
      </c>
    </row>
    <row r="1096" spans="1:2">
      <c r="A1096">
        <v>1095</v>
      </c>
      <c r="B1096" s="119">
        <v>0.27754915409236397</v>
      </c>
    </row>
    <row r="1097" spans="1:2">
      <c r="A1097">
        <v>1096</v>
      </c>
      <c r="B1097" s="119">
        <v>0.61088248742569728</v>
      </c>
    </row>
    <row r="1098" spans="1:2">
      <c r="A1098">
        <v>1097</v>
      </c>
      <c r="B1098" s="119">
        <v>0.94421582075903054</v>
      </c>
    </row>
    <row r="1099" spans="1:2">
      <c r="A1099">
        <v>1098</v>
      </c>
      <c r="B1099" s="119">
        <v>9.2363968907178767E-2</v>
      </c>
    </row>
    <row r="1100" spans="1:2">
      <c r="A1100">
        <v>1099</v>
      </c>
      <c r="B1100" s="119">
        <v>0.42569730224051211</v>
      </c>
    </row>
    <row r="1101" spans="1:2">
      <c r="A1101">
        <v>1100</v>
      </c>
      <c r="B1101" s="119">
        <v>0.75903063557384542</v>
      </c>
    </row>
    <row r="1102" spans="1:2">
      <c r="A1102">
        <v>1101</v>
      </c>
      <c r="B1102" s="119">
        <v>0.2034750800182899</v>
      </c>
    </row>
    <row r="1103" spans="1:2">
      <c r="A1103">
        <v>1102</v>
      </c>
      <c r="B1103" s="119">
        <v>0.5368084133516231</v>
      </c>
    </row>
    <row r="1104" spans="1:2">
      <c r="A1104">
        <v>1103</v>
      </c>
      <c r="B1104" s="119">
        <v>0.87014174668495636</v>
      </c>
    </row>
    <row r="1105" spans="1:2">
      <c r="A1105">
        <v>1104</v>
      </c>
      <c r="B1105" s="119">
        <v>0.314586191129401</v>
      </c>
    </row>
    <row r="1106" spans="1:2">
      <c r="A1106">
        <v>1105</v>
      </c>
      <c r="B1106" s="119">
        <v>0.64791952446273426</v>
      </c>
    </row>
    <row r="1107" spans="1:2">
      <c r="A1107">
        <v>1106</v>
      </c>
      <c r="B1107" s="119">
        <v>0.98125285779606752</v>
      </c>
    </row>
    <row r="1108" spans="1:2">
      <c r="A1108">
        <v>1107</v>
      </c>
      <c r="B1108" s="119">
        <v>3.0635573845450386E-2</v>
      </c>
    </row>
    <row r="1109" spans="1:2">
      <c r="A1109">
        <v>1108</v>
      </c>
      <c r="B1109" s="119">
        <v>0.36396890717878372</v>
      </c>
    </row>
    <row r="1110" spans="1:2">
      <c r="A1110">
        <v>1109</v>
      </c>
      <c r="B1110" s="119">
        <v>0.69730224051211698</v>
      </c>
    </row>
    <row r="1111" spans="1:2">
      <c r="A1111">
        <v>1110</v>
      </c>
      <c r="B1111" s="119">
        <v>0.14174668495656151</v>
      </c>
    </row>
    <row r="1112" spans="1:2">
      <c r="A1112">
        <v>1111</v>
      </c>
      <c r="B1112" s="119">
        <v>0.47508001828989482</v>
      </c>
    </row>
    <row r="1113" spans="1:2">
      <c r="A1113">
        <v>1112</v>
      </c>
      <c r="B1113" s="119">
        <v>0.80841335162322803</v>
      </c>
    </row>
    <row r="1114" spans="1:2">
      <c r="A1114">
        <v>1113</v>
      </c>
      <c r="B1114" s="119">
        <v>0.25285779606767261</v>
      </c>
    </row>
    <row r="1115" spans="1:2">
      <c r="A1115">
        <v>1114</v>
      </c>
      <c r="B1115" s="119">
        <v>0.58619112940100593</v>
      </c>
    </row>
    <row r="1116" spans="1:2">
      <c r="A1116">
        <v>1115</v>
      </c>
      <c r="B1116" s="119">
        <v>0.91952446273433919</v>
      </c>
    </row>
    <row r="1117" spans="1:2">
      <c r="A1117">
        <v>1116</v>
      </c>
      <c r="B1117" s="119">
        <v>6.7672610882487411E-2</v>
      </c>
    </row>
    <row r="1118" spans="1:2">
      <c r="A1118">
        <v>1117</v>
      </c>
      <c r="B1118" s="119">
        <v>0.40100594421582075</v>
      </c>
    </row>
    <row r="1119" spans="1:2">
      <c r="A1119">
        <v>1118</v>
      </c>
      <c r="B1119" s="119">
        <v>0.73433927754915407</v>
      </c>
    </row>
    <row r="1120" spans="1:2">
      <c r="A1120">
        <v>1119</v>
      </c>
      <c r="B1120" s="119">
        <v>0.17878372199359854</v>
      </c>
    </row>
    <row r="1121" spans="1:2">
      <c r="A1121">
        <v>1120</v>
      </c>
      <c r="B1121" s="119">
        <v>0.51211705532693186</v>
      </c>
    </row>
    <row r="1122" spans="1:2">
      <c r="A1122">
        <v>1121</v>
      </c>
      <c r="B1122" s="119">
        <v>0.84545038866026501</v>
      </c>
    </row>
    <row r="1123" spans="1:2">
      <c r="A1123">
        <v>1122</v>
      </c>
      <c r="B1123" s="119">
        <v>0.28989483310470965</v>
      </c>
    </row>
    <row r="1124" spans="1:2">
      <c r="A1124">
        <v>1123</v>
      </c>
      <c r="B1124" s="119">
        <v>0.62322816643804291</v>
      </c>
    </row>
    <row r="1125" spans="1:2">
      <c r="A1125">
        <v>1124</v>
      </c>
      <c r="B1125" s="119">
        <v>0.95656149977137617</v>
      </c>
    </row>
    <row r="1126" spans="1:2">
      <c r="A1126">
        <v>1125</v>
      </c>
      <c r="B1126" s="119">
        <v>0.10470964791952445</v>
      </c>
    </row>
    <row r="1127" spans="1:2">
      <c r="A1127">
        <v>1126</v>
      </c>
      <c r="B1127" s="119">
        <v>0.43804298125285779</v>
      </c>
    </row>
    <row r="1128" spans="1:2">
      <c r="A1128">
        <v>1127</v>
      </c>
      <c r="B1128" s="119">
        <v>0.77137631458619105</v>
      </c>
    </row>
    <row r="1129" spans="1:2">
      <c r="A1129">
        <v>1128</v>
      </c>
      <c r="B1129" s="119">
        <v>0.21582075903063558</v>
      </c>
    </row>
    <row r="1130" spans="1:2">
      <c r="A1130">
        <v>1129</v>
      </c>
      <c r="B1130" s="119">
        <v>0.54915409236396884</v>
      </c>
    </row>
    <row r="1131" spans="1:2">
      <c r="A1131">
        <v>1130</v>
      </c>
      <c r="B1131" s="119">
        <v>0.8824874256973021</v>
      </c>
    </row>
    <row r="1132" spans="1:2">
      <c r="A1132">
        <v>1131</v>
      </c>
      <c r="B1132" s="119">
        <v>0.32693187014174668</v>
      </c>
    </row>
    <row r="1133" spans="1:2">
      <c r="A1133">
        <v>1132</v>
      </c>
      <c r="B1133" s="119">
        <v>0.66026520347508</v>
      </c>
    </row>
    <row r="1134" spans="1:2">
      <c r="A1134">
        <v>1133</v>
      </c>
      <c r="B1134" s="119">
        <v>0.99359853680841326</v>
      </c>
    </row>
    <row r="1135" spans="1:2">
      <c r="A1135">
        <v>1134</v>
      </c>
      <c r="B1135" s="119">
        <v>1.0059442158207591E-2</v>
      </c>
    </row>
    <row r="1136" spans="1:2">
      <c r="A1136">
        <v>1135</v>
      </c>
      <c r="B1136" s="119">
        <v>0.34339277549154096</v>
      </c>
    </row>
    <row r="1137" spans="1:2">
      <c r="A1137">
        <v>1136</v>
      </c>
      <c r="B1137" s="119">
        <v>0.67672610882487416</v>
      </c>
    </row>
    <row r="1138" spans="1:2">
      <c r="A1138">
        <v>1137</v>
      </c>
      <c r="B1138" s="119">
        <v>0.12117055326931869</v>
      </c>
    </row>
    <row r="1139" spans="1:2">
      <c r="A1139">
        <v>1138</v>
      </c>
      <c r="B1139" s="119">
        <v>0.45450388660265206</v>
      </c>
    </row>
    <row r="1140" spans="1:2">
      <c r="A1140">
        <v>1139</v>
      </c>
      <c r="B1140" s="119">
        <v>0.78783721993598521</v>
      </c>
    </row>
    <row r="1141" spans="1:2">
      <c r="A1141">
        <v>1140</v>
      </c>
      <c r="B1141" s="119">
        <v>0.2322816643804298</v>
      </c>
    </row>
    <row r="1142" spans="1:2">
      <c r="A1142">
        <v>1141</v>
      </c>
      <c r="B1142" s="119">
        <v>0.56561499771376311</v>
      </c>
    </row>
    <row r="1143" spans="1:2">
      <c r="A1143">
        <v>1142</v>
      </c>
      <c r="B1143" s="119">
        <v>0.89894833104709637</v>
      </c>
    </row>
    <row r="1144" spans="1:2">
      <c r="A1144">
        <v>1143</v>
      </c>
      <c r="B1144" s="119">
        <v>4.709647919524463E-2</v>
      </c>
    </row>
    <row r="1145" spans="1:2">
      <c r="A1145">
        <v>1144</v>
      </c>
      <c r="B1145" s="119">
        <v>0.38042981252857799</v>
      </c>
    </row>
    <row r="1146" spans="1:2">
      <c r="A1146">
        <v>1145</v>
      </c>
      <c r="B1146" s="119">
        <v>0.71376314586191125</v>
      </c>
    </row>
    <row r="1147" spans="1:2">
      <c r="A1147">
        <v>1146</v>
      </c>
      <c r="B1147" s="119">
        <v>0.15820759030635573</v>
      </c>
    </row>
    <row r="1148" spans="1:2">
      <c r="A1148">
        <v>1147</v>
      </c>
      <c r="B1148" s="119">
        <v>0.4915409236396891</v>
      </c>
    </row>
    <row r="1149" spans="1:2">
      <c r="A1149">
        <v>1148</v>
      </c>
      <c r="B1149" s="119">
        <v>0.82487425697302219</v>
      </c>
    </row>
    <row r="1150" spans="1:2">
      <c r="A1150">
        <v>1149</v>
      </c>
      <c r="B1150" s="119">
        <v>0.26931870141746689</v>
      </c>
    </row>
    <row r="1151" spans="1:2">
      <c r="A1151">
        <v>1150</v>
      </c>
      <c r="B1151" s="119">
        <v>0.60265203475080009</v>
      </c>
    </row>
    <row r="1152" spans="1:2">
      <c r="A1152">
        <v>1151</v>
      </c>
      <c r="B1152" s="119">
        <v>0.93598536808413335</v>
      </c>
    </row>
    <row r="1153" spans="1:2">
      <c r="A1153">
        <v>1152</v>
      </c>
      <c r="B1153" s="119">
        <v>8.4133516232281658E-2</v>
      </c>
    </row>
    <row r="1154" spans="1:2">
      <c r="A1154">
        <v>1153</v>
      </c>
      <c r="B1154" s="119">
        <v>0.41746684956561503</v>
      </c>
    </row>
    <row r="1155" spans="1:2">
      <c r="A1155">
        <v>1154</v>
      </c>
      <c r="B1155" s="119">
        <v>0.75080018289894823</v>
      </c>
    </row>
    <row r="1156" spans="1:2">
      <c r="A1156">
        <v>1155</v>
      </c>
      <c r="B1156" s="119">
        <v>0.19524462734339276</v>
      </c>
    </row>
    <row r="1157" spans="1:2">
      <c r="A1157">
        <v>1156</v>
      </c>
      <c r="B1157" s="119">
        <v>0.52857796067672602</v>
      </c>
    </row>
    <row r="1158" spans="1:2">
      <c r="A1158">
        <v>1157</v>
      </c>
      <c r="B1158" s="119">
        <v>0.86191129401005928</v>
      </c>
    </row>
    <row r="1159" spans="1:2">
      <c r="A1159">
        <v>1158</v>
      </c>
      <c r="B1159" s="119">
        <v>0.30635573845450392</v>
      </c>
    </row>
    <row r="1160" spans="1:2">
      <c r="A1160">
        <v>1159</v>
      </c>
      <c r="B1160" s="119">
        <v>0.63968907178783718</v>
      </c>
    </row>
    <row r="1161" spans="1:2">
      <c r="A1161">
        <v>1160</v>
      </c>
      <c r="B1161" s="119">
        <v>0.97302240512117044</v>
      </c>
    </row>
    <row r="1162" spans="1:2">
      <c r="A1162">
        <v>1161</v>
      </c>
      <c r="B1162" s="119">
        <v>2.2405121170553266E-2</v>
      </c>
    </row>
    <row r="1163" spans="1:2">
      <c r="A1163">
        <v>1162</v>
      </c>
      <c r="B1163" s="119">
        <v>0.35573845450388664</v>
      </c>
    </row>
    <row r="1164" spans="1:2">
      <c r="A1164">
        <v>1163</v>
      </c>
      <c r="B1164" s="119">
        <v>0.68907178783721978</v>
      </c>
    </row>
    <row r="1165" spans="1:2">
      <c r="A1165">
        <v>1164</v>
      </c>
      <c r="B1165" s="119">
        <v>0.13351623228166437</v>
      </c>
    </row>
    <row r="1166" spans="1:2">
      <c r="A1166">
        <v>1165</v>
      </c>
      <c r="B1166" s="119">
        <v>0.46684956561499774</v>
      </c>
    </row>
    <row r="1167" spans="1:2">
      <c r="A1167">
        <v>1166</v>
      </c>
      <c r="B1167" s="119">
        <v>0.80018289894833095</v>
      </c>
    </row>
    <row r="1168" spans="1:2">
      <c r="A1168">
        <v>1167</v>
      </c>
      <c r="B1168" s="119">
        <v>0.24462734339277548</v>
      </c>
    </row>
    <row r="1169" spans="1:2">
      <c r="A1169">
        <v>1168</v>
      </c>
      <c r="B1169" s="119">
        <v>0.57796067672610885</v>
      </c>
    </row>
    <row r="1170" spans="1:2">
      <c r="A1170">
        <v>1169</v>
      </c>
      <c r="B1170" s="119">
        <v>0.91129401005944211</v>
      </c>
    </row>
    <row r="1171" spans="1:2">
      <c r="A1171">
        <v>1170</v>
      </c>
      <c r="B1171" s="119">
        <v>5.9442158207590308E-2</v>
      </c>
    </row>
    <row r="1172" spans="1:2">
      <c r="A1172">
        <v>1171</v>
      </c>
      <c r="B1172" s="119">
        <v>0.39277549154092367</v>
      </c>
    </row>
    <row r="1173" spans="1:2">
      <c r="A1173">
        <v>1172</v>
      </c>
      <c r="B1173" s="119">
        <v>0.72610882487425699</v>
      </c>
    </row>
    <row r="1174" spans="1:2">
      <c r="A1174">
        <v>1173</v>
      </c>
      <c r="B1174" s="119">
        <v>0.17055326931870141</v>
      </c>
    </row>
    <row r="1175" spans="1:2">
      <c r="A1175">
        <v>1174</v>
      </c>
      <c r="B1175" s="119">
        <v>0.50388660265203467</v>
      </c>
    </row>
    <row r="1176" spans="1:2">
      <c r="A1176">
        <v>1175</v>
      </c>
      <c r="B1176" s="119">
        <v>0.83721993598536792</v>
      </c>
    </row>
    <row r="1177" spans="1:2">
      <c r="A1177">
        <v>1176</v>
      </c>
      <c r="B1177" s="119">
        <v>0.28166438042981257</v>
      </c>
    </row>
    <row r="1178" spans="1:2">
      <c r="A1178">
        <v>1177</v>
      </c>
      <c r="B1178" s="119">
        <v>0.61499771376314583</v>
      </c>
    </row>
    <row r="1179" spans="1:2">
      <c r="A1179">
        <v>1178</v>
      </c>
      <c r="B1179" s="119">
        <v>0.94833104709647909</v>
      </c>
    </row>
    <row r="1180" spans="1:2">
      <c r="A1180">
        <v>1179</v>
      </c>
      <c r="B1180" s="119">
        <v>9.6479195244627336E-2</v>
      </c>
    </row>
    <row r="1181" spans="1:2">
      <c r="A1181">
        <v>1180</v>
      </c>
      <c r="B1181" s="119">
        <v>0.42981252857796071</v>
      </c>
    </row>
    <row r="1182" spans="1:2">
      <c r="A1182">
        <v>1181</v>
      </c>
      <c r="B1182" s="119">
        <v>0.76314586191129397</v>
      </c>
    </row>
    <row r="1183" spans="1:2">
      <c r="A1183">
        <v>1182</v>
      </c>
      <c r="B1183" s="119">
        <v>0.20759030635573844</v>
      </c>
    </row>
    <row r="1184" spans="1:2">
      <c r="A1184">
        <v>1183</v>
      </c>
      <c r="B1184" s="119">
        <v>0.54092363968907164</v>
      </c>
    </row>
    <row r="1185" spans="1:2">
      <c r="A1185">
        <v>1184</v>
      </c>
      <c r="B1185" s="119">
        <v>0.8742569730224049</v>
      </c>
    </row>
    <row r="1186" spans="1:2">
      <c r="A1186">
        <v>1185</v>
      </c>
      <c r="B1186" s="119">
        <v>0.3187014174668496</v>
      </c>
    </row>
    <row r="1187" spans="1:2">
      <c r="A1187">
        <v>1186</v>
      </c>
      <c r="B1187" s="119">
        <v>0.65203475080018281</v>
      </c>
    </row>
    <row r="1188" spans="1:2">
      <c r="A1188">
        <v>1187</v>
      </c>
      <c r="B1188" s="119">
        <v>0.98536808413351606</v>
      </c>
    </row>
    <row r="1189" spans="1:2">
      <c r="A1189">
        <v>1188</v>
      </c>
      <c r="B1189" s="119">
        <v>3.4750800182898951E-2</v>
      </c>
    </row>
    <row r="1190" spans="1:2">
      <c r="A1190">
        <v>1189</v>
      </c>
      <c r="B1190" s="119">
        <v>0.36808413351623231</v>
      </c>
    </row>
    <row r="1191" spans="1:2">
      <c r="A1191">
        <v>1190</v>
      </c>
      <c r="B1191" s="119">
        <v>0.70141746684956552</v>
      </c>
    </row>
    <row r="1192" spans="1:2">
      <c r="A1192">
        <v>1191</v>
      </c>
      <c r="B1192" s="119">
        <v>0.14586191129401005</v>
      </c>
    </row>
    <row r="1193" spans="1:2">
      <c r="A1193">
        <v>1192</v>
      </c>
      <c r="B1193" s="119">
        <v>0.47919524462734342</v>
      </c>
    </row>
    <row r="1194" spans="1:2">
      <c r="A1194">
        <v>1193</v>
      </c>
      <c r="B1194" s="119">
        <v>0.81252857796067657</v>
      </c>
    </row>
    <row r="1195" spans="1:2">
      <c r="A1195">
        <v>1194</v>
      </c>
      <c r="B1195" s="119">
        <v>0.25697302240512121</v>
      </c>
    </row>
    <row r="1196" spans="1:2">
      <c r="A1196">
        <v>1195</v>
      </c>
      <c r="B1196" s="119">
        <v>0.59030635573845447</v>
      </c>
    </row>
    <row r="1197" spans="1:2">
      <c r="A1197">
        <v>1196</v>
      </c>
      <c r="B1197" s="119">
        <v>0.92363968907178773</v>
      </c>
    </row>
    <row r="1198" spans="1:2">
      <c r="A1198">
        <v>1197</v>
      </c>
      <c r="B1198" s="119">
        <v>7.1787837219935979E-2</v>
      </c>
    </row>
    <row r="1199" spans="1:2">
      <c r="A1199">
        <v>1198</v>
      </c>
      <c r="B1199" s="119">
        <v>0.40512117055326935</v>
      </c>
    </row>
    <row r="1200" spans="1:2">
      <c r="A1200">
        <v>1199</v>
      </c>
      <c r="B1200" s="119">
        <v>0.73845450388660261</v>
      </c>
    </row>
    <row r="1201" spans="1:2">
      <c r="A1201">
        <v>1200</v>
      </c>
      <c r="B1201" s="119">
        <v>0.18289894833104708</v>
      </c>
    </row>
    <row r="1202" spans="1:2">
      <c r="A1202">
        <v>1201</v>
      </c>
      <c r="B1202" s="119">
        <v>0.5162322816643804</v>
      </c>
    </row>
    <row r="1203" spans="1:2">
      <c r="A1203">
        <v>1202</v>
      </c>
      <c r="B1203" s="119">
        <v>0.84956561499771355</v>
      </c>
    </row>
    <row r="1204" spans="1:2">
      <c r="A1204">
        <v>1203</v>
      </c>
      <c r="B1204" s="119">
        <v>0.29401005944215824</v>
      </c>
    </row>
    <row r="1205" spans="1:2">
      <c r="A1205">
        <v>1204</v>
      </c>
      <c r="B1205" s="119">
        <v>0.62734339277549145</v>
      </c>
    </row>
    <row r="1206" spans="1:2">
      <c r="A1206">
        <v>1205</v>
      </c>
      <c r="B1206" s="119">
        <v>0.96067672610882471</v>
      </c>
    </row>
    <row r="1207" spans="1:2">
      <c r="A1207">
        <v>1206</v>
      </c>
      <c r="B1207" s="119">
        <v>0.10882487425697301</v>
      </c>
    </row>
    <row r="1208" spans="1:2">
      <c r="A1208">
        <v>1207</v>
      </c>
      <c r="B1208" s="119">
        <v>0.44215820759030638</v>
      </c>
    </row>
    <row r="1209" spans="1:2">
      <c r="A1209">
        <v>1208</v>
      </c>
      <c r="B1209" s="119">
        <v>0.77549154092363959</v>
      </c>
    </row>
    <row r="1210" spans="1:2">
      <c r="A1210">
        <v>1209</v>
      </c>
      <c r="B1210" s="119">
        <v>0.21993598536808412</v>
      </c>
    </row>
    <row r="1211" spans="1:2">
      <c r="A1211">
        <v>1210</v>
      </c>
      <c r="B1211" s="119">
        <v>0.55326931870141738</v>
      </c>
    </row>
    <row r="1212" spans="1:2">
      <c r="A1212">
        <v>1211</v>
      </c>
      <c r="B1212" s="119">
        <v>0.88660265203475064</v>
      </c>
    </row>
    <row r="1213" spans="1:2">
      <c r="A1213">
        <v>1212</v>
      </c>
      <c r="B1213" s="119">
        <v>0.33104709647919528</v>
      </c>
    </row>
    <row r="1214" spans="1:2">
      <c r="A1214">
        <v>1213</v>
      </c>
      <c r="B1214" s="119">
        <v>0.66438042981252854</v>
      </c>
    </row>
    <row r="1215" spans="1:2">
      <c r="A1215">
        <v>1214</v>
      </c>
      <c r="B1215" s="119">
        <v>0.9977137631458618</v>
      </c>
    </row>
    <row r="1216" spans="1:2">
      <c r="A1216">
        <v>1215</v>
      </c>
      <c r="B1216" s="119">
        <v>3.200731595793324E-3</v>
      </c>
    </row>
    <row r="1217" spans="1:2">
      <c r="A1217">
        <v>1216</v>
      </c>
      <c r="B1217" s="119">
        <v>0.33653406492912669</v>
      </c>
    </row>
    <row r="1218" spans="1:2">
      <c r="A1218">
        <v>1217</v>
      </c>
      <c r="B1218" s="119">
        <v>0.66986739826246</v>
      </c>
    </row>
    <row r="1219" spans="1:2">
      <c r="A1219">
        <v>1218</v>
      </c>
      <c r="B1219" s="119">
        <v>0.11431184270690442</v>
      </c>
    </row>
    <row r="1220" spans="1:2">
      <c r="A1220">
        <v>1219</v>
      </c>
      <c r="B1220" s="119">
        <v>0.44764517604023779</v>
      </c>
    </row>
    <row r="1221" spans="1:2">
      <c r="A1221">
        <v>1220</v>
      </c>
      <c r="B1221" s="119">
        <v>0.78097850937357105</v>
      </c>
    </row>
    <row r="1222" spans="1:2">
      <c r="A1222">
        <v>1221</v>
      </c>
      <c r="B1222" s="119">
        <v>0.22542295381801553</v>
      </c>
    </row>
    <row r="1223" spans="1:2">
      <c r="A1223">
        <v>1222</v>
      </c>
      <c r="B1223" s="119">
        <v>0.55875628715134895</v>
      </c>
    </row>
    <row r="1224" spans="1:2">
      <c r="A1224">
        <v>1223</v>
      </c>
      <c r="B1224" s="119">
        <v>0.89208962048468221</v>
      </c>
    </row>
    <row r="1225" spans="1:2">
      <c r="A1225">
        <v>1224</v>
      </c>
      <c r="B1225" s="119">
        <v>4.0237768632830358E-2</v>
      </c>
    </row>
    <row r="1226" spans="1:2">
      <c r="A1226">
        <v>1225</v>
      </c>
      <c r="B1226" s="119">
        <v>0.37357110196616372</v>
      </c>
    </row>
    <row r="1227" spans="1:2">
      <c r="A1227">
        <v>1226</v>
      </c>
      <c r="B1227" s="119">
        <v>0.70690443529949709</v>
      </c>
    </row>
    <row r="1228" spans="1:2">
      <c r="A1228">
        <v>1227</v>
      </c>
      <c r="B1228" s="119">
        <v>0.15134887974394146</v>
      </c>
    </row>
    <row r="1229" spans="1:2">
      <c r="A1229">
        <v>1228</v>
      </c>
      <c r="B1229" s="119">
        <v>0.48468221307727483</v>
      </c>
    </row>
    <row r="1230" spans="1:2">
      <c r="A1230">
        <v>1229</v>
      </c>
      <c r="B1230" s="119">
        <v>0.81801554641060803</v>
      </c>
    </row>
    <row r="1231" spans="1:2">
      <c r="A1231">
        <v>1230</v>
      </c>
      <c r="B1231" s="119">
        <v>0.26245999085505262</v>
      </c>
    </row>
    <row r="1232" spans="1:2">
      <c r="A1232">
        <v>1231</v>
      </c>
      <c r="B1232" s="119">
        <v>0.59579332418838593</v>
      </c>
    </row>
    <row r="1233" spans="1:2">
      <c r="A1233">
        <v>1232</v>
      </c>
      <c r="B1233" s="119">
        <v>0.92912665752171919</v>
      </c>
    </row>
    <row r="1234" spans="1:2">
      <c r="A1234">
        <v>1233</v>
      </c>
      <c r="B1234" s="119">
        <v>7.7274805669867386E-2</v>
      </c>
    </row>
    <row r="1235" spans="1:2">
      <c r="A1235">
        <v>1234</v>
      </c>
      <c r="B1235" s="119">
        <v>0.41060813900320076</v>
      </c>
    </row>
    <row r="1236" spans="1:2">
      <c r="A1236">
        <v>1235</v>
      </c>
      <c r="B1236" s="119">
        <v>0.74394147233653407</v>
      </c>
    </row>
    <row r="1237" spans="1:2">
      <c r="A1237">
        <v>1236</v>
      </c>
      <c r="B1237" s="119">
        <v>0.18838591678097849</v>
      </c>
    </row>
    <row r="1238" spans="1:2">
      <c r="A1238">
        <v>1237</v>
      </c>
      <c r="B1238" s="119">
        <v>0.52171925011431186</v>
      </c>
    </row>
    <row r="1239" spans="1:2">
      <c r="A1239">
        <v>1238</v>
      </c>
      <c r="B1239" s="119">
        <v>0.85505258344764512</v>
      </c>
    </row>
    <row r="1240" spans="1:2">
      <c r="A1240">
        <v>1239</v>
      </c>
      <c r="B1240" s="119">
        <v>0.29949702789208965</v>
      </c>
    </row>
    <row r="1241" spans="1:2">
      <c r="A1241">
        <v>1240</v>
      </c>
      <c r="B1241" s="119">
        <v>0.63283036122542302</v>
      </c>
    </row>
    <row r="1242" spans="1:2">
      <c r="A1242">
        <v>1241</v>
      </c>
      <c r="B1242" s="119">
        <v>0.96616369455875628</v>
      </c>
    </row>
    <row r="1243" spans="1:2">
      <c r="A1243">
        <v>1242</v>
      </c>
      <c r="B1243" s="119">
        <v>1.5546410608139003E-2</v>
      </c>
    </row>
    <row r="1244" spans="1:2">
      <c r="A1244">
        <v>1243</v>
      </c>
      <c r="B1244" s="119">
        <v>0.34887974394147236</v>
      </c>
    </row>
    <row r="1245" spans="1:2">
      <c r="A1245">
        <v>1244</v>
      </c>
      <c r="B1245" s="119">
        <v>0.68221307727480562</v>
      </c>
    </row>
    <row r="1246" spans="1:2">
      <c r="A1246">
        <v>1245</v>
      </c>
      <c r="B1246" s="119">
        <v>0.1266575217192501</v>
      </c>
    </row>
    <row r="1247" spans="1:2">
      <c r="A1247">
        <v>1246</v>
      </c>
      <c r="B1247" s="119">
        <v>0.45999085505258347</v>
      </c>
    </row>
    <row r="1248" spans="1:2">
      <c r="A1248">
        <v>1247</v>
      </c>
      <c r="B1248" s="119">
        <v>0.79332418838591678</v>
      </c>
    </row>
    <row r="1249" spans="1:2">
      <c r="A1249">
        <v>1248</v>
      </c>
      <c r="B1249" s="119">
        <v>0.2377686328303612</v>
      </c>
    </row>
    <row r="1250" spans="1:2">
      <c r="A1250">
        <v>1249</v>
      </c>
      <c r="B1250" s="119">
        <v>0.57110196616369469</v>
      </c>
    </row>
    <row r="1251" spans="1:2">
      <c r="A1251">
        <v>1250</v>
      </c>
      <c r="B1251" s="119">
        <v>0.90443529949702794</v>
      </c>
    </row>
    <row r="1252" spans="1:2">
      <c r="A1252">
        <v>1251</v>
      </c>
      <c r="B1252" s="119">
        <v>5.2583447645176036E-2</v>
      </c>
    </row>
    <row r="1253" spans="1:2">
      <c r="A1253">
        <v>1252</v>
      </c>
      <c r="B1253" s="119">
        <v>0.3859167809785094</v>
      </c>
    </row>
    <row r="1254" spans="1:2">
      <c r="A1254">
        <v>1253</v>
      </c>
      <c r="B1254" s="119">
        <v>0.71925011431184283</v>
      </c>
    </row>
    <row r="1255" spans="1:2">
      <c r="A1255">
        <v>1254</v>
      </c>
      <c r="B1255" s="119">
        <v>0.16369455875628713</v>
      </c>
    </row>
    <row r="1256" spans="1:2">
      <c r="A1256">
        <v>1255</v>
      </c>
      <c r="B1256" s="119">
        <v>0.4970278920896205</v>
      </c>
    </row>
    <row r="1257" spans="1:2">
      <c r="A1257">
        <v>1256</v>
      </c>
      <c r="B1257" s="119">
        <v>0.83036122542295376</v>
      </c>
    </row>
    <row r="1258" spans="1:2">
      <c r="A1258">
        <v>1257</v>
      </c>
      <c r="B1258" s="119">
        <v>0.27480566986739829</v>
      </c>
    </row>
    <row r="1259" spans="1:2">
      <c r="A1259">
        <v>1258</v>
      </c>
      <c r="B1259" s="119">
        <v>0.60813900320073166</v>
      </c>
    </row>
    <row r="1260" spans="1:2">
      <c r="A1260">
        <v>1259</v>
      </c>
      <c r="B1260" s="119">
        <v>0.94147233653406492</v>
      </c>
    </row>
    <row r="1261" spans="1:2">
      <c r="A1261">
        <v>1260</v>
      </c>
      <c r="B1261" s="119">
        <v>8.9620484682213064E-2</v>
      </c>
    </row>
    <row r="1262" spans="1:2">
      <c r="A1262">
        <v>1261</v>
      </c>
      <c r="B1262" s="119">
        <v>0.42295381801554643</v>
      </c>
    </row>
    <row r="1263" spans="1:2">
      <c r="A1263">
        <v>1262</v>
      </c>
      <c r="B1263" s="119">
        <v>0.7562871513488798</v>
      </c>
    </row>
    <row r="1264" spans="1:2">
      <c r="A1264">
        <v>1263</v>
      </c>
      <c r="B1264" s="119">
        <v>0.20073159579332417</v>
      </c>
    </row>
    <row r="1265" spans="1:2">
      <c r="A1265">
        <v>1264</v>
      </c>
      <c r="B1265" s="119">
        <v>0.53406492912665748</v>
      </c>
    </row>
    <row r="1266" spans="1:2">
      <c r="A1266">
        <v>1265</v>
      </c>
      <c r="B1266" s="119">
        <v>0.86739826245999074</v>
      </c>
    </row>
    <row r="1267" spans="1:2">
      <c r="A1267">
        <v>1266</v>
      </c>
      <c r="B1267" s="119">
        <v>0.31184270690443533</v>
      </c>
    </row>
    <row r="1268" spans="1:2">
      <c r="A1268">
        <v>1267</v>
      </c>
      <c r="B1268" s="119">
        <v>0.64517604023776864</v>
      </c>
    </row>
    <row r="1269" spans="1:2">
      <c r="A1269">
        <v>1268</v>
      </c>
      <c r="B1269" s="119">
        <v>0.9785093735711019</v>
      </c>
    </row>
    <row r="1270" spans="1:2">
      <c r="A1270">
        <v>1269</v>
      </c>
      <c r="B1270" s="119">
        <v>2.7892089620484679E-2</v>
      </c>
    </row>
    <row r="1271" spans="1:2">
      <c r="A1271">
        <v>1270</v>
      </c>
      <c r="B1271" s="119">
        <v>0.36122542295381804</v>
      </c>
    </row>
    <row r="1272" spans="1:2">
      <c r="A1272">
        <v>1271</v>
      </c>
      <c r="B1272" s="119">
        <v>0.69455875628715136</v>
      </c>
    </row>
    <row r="1273" spans="1:2">
      <c r="A1273">
        <v>1272</v>
      </c>
      <c r="B1273" s="119">
        <v>0.13900320073159578</v>
      </c>
    </row>
    <row r="1274" spans="1:2">
      <c r="A1274">
        <v>1273</v>
      </c>
      <c r="B1274" s="119">
        <v>0.47233653406492915</v>
      </c>
    </row>
    <row r="1275" spans="1:2">
      <c r="A1275">
        <v>1274</v>
      </c>
      <c r="B1275" s="119">
        <v>0.80566986739826241</v>
      </c>
    </row>
    <row r="1276" spans="1:2">
      <c r="A1276">
        <v>1275</v>
      </c>
      <c r="B1276" s="119">
        <v>0.25011431184270688</v>
      </c>
    </row>
    <row r="1277" spans="1:2">
      <c r="A1277">
        <v>1276</v>
      </c>
      <c r="B1277" s="119">
        <v>0.58344764517604031</v>
      </c>
    </row>
    <row r="1278" spans="1:2">
      <c r="A1278">
        <v>1277</v>
      </c>
      <c r="B1278" s="119">
        <v>0.91678097850937357</v>
      </c>
    </row>
    <row r="1279" spans="1:2">
      <c r="A1279">
        <v>1278</v>
      </c>
      <c r="B1279" s="119">
        <v>6.4929126657521707E-2</v>
      </c>
    </row>
    <row r="1280" spans="1:2">
      <c r="A1280">
        <v>1279</v>
      </c>
      <c r="B1280" s="119">
        <v>0.39826245999085508</v>
      </c>
    </row>
    <row r="1281" spans="1:2">
      <c r="A1281">
        <v>1280</v>
      </c>
      <c r="B1281" s="119">
        <v>0.73159579332418845</v>
      </c>
    </row>
    <row r="1282" spans="1:2">
      <c r="A1282">
        <v>1281</v>
      </c>
      <c r="B1282" s="119">
        <v>0.17604023776863281</v>
      </c>
    </row>
    <row r="1283" spans="1:2">
      <c r="A1283">
        <v>1282</v>
      </c>
      <c r="B1283" s="119">
        <v>0.50937357110196624</v>
      </c>
    </row>
    <row r="1284" spans="1:2">
      <c r="A1284">
        <v>1283</v>
      </c>
      <c r="B1284" s="119">
        <v>0.84270690443529939</v>
      </c>
    </row>
    <row r="1285" spans="1:2">
      <c r="A1285">
        <v>1284</v>
      </c>
      <c r="B1285" s="119">
        <v>0.28715134887974397</v>
      </c>
    </row>
    <row r="1286" spans="1:2">
      <c r="A1286">
        <v>1285</v>
      </c>
      <c r="B1286" s="119">
        <v>0.62048468221307729</v>
      </c>
    </row>
    <row r="1287" spans="1:2">
      <c r="A1287">
        <v>1286</v>
      </c>
      <c r="B1287" s="119">
        <v>0.95381801554641055</v>
      </c>
    </row>
    <row r="1288" spans="1:2">
      <c r="A1288">
        <v>1287</v>
      </c>
      <c r="B1288" s="119">
        <v>0.10196616369455874</v>
      </c>
    </row>
    <row r="1289" spans="1:2">
      <c r="A1289">
        <v>1288</v>
      </c>
      <c r="B1289" s="119">
        <v>0.43529949702789211</v>
      </c>
    </row>
    <row r="1290" spans="1:2">
      <c r="A1290">
        <v>1289</v>
      </c>
      <c r="B1290" s="119">
        <v>0.76863283036122543</v>
      </c>
    </row>
    <row r="1291" spans="1:2">
      <c r="A1291">
        <v>1290</v>
      </c>
      <c r="B1291" s="119">
        <v>0.21307727480566985</v>
      </c>
    </row>
    <row r="1292" spans="1:2">
      <c r="A1292">
        <v>1291</v>
      </c>
      <c r="B1292" s="119">
        <v>0.54641060813900322</v>
      </c>
    </row>
    <row r="1293" spans="1:2">
      <c r="A1293">
        <v>1292</v>
      </c>
      <c r="B1293" s="119">
        <v>0.87974394147233648</v>
      </c>
    </row>
    <row r="1294" spans="1:2">
      <c r="A1294">
        <v>1293</v>
      </c>
      <c r="B1294" s="119">
        <v>0.32418838591678101</v>
      </c>
    </row>
    <row r="1295" spans="1:2">
      <c r="A1295">
        <v>1294</v>
      </c>
      <c r="B1295" s="119">
        <v>0.65752171925011438</v>
      </c>
    </row>
    <row r="1296" spans="1:2">
      <c r="A1296">
        <v>1295</v>
      </c>
      <c r="B1296" s="119">
        <v>0.99085505258344764</v>
      </c>
    </row>
    <row r="1297" spans="1:2">
      <c r="A1297">
        <v>1296</v>
      </c>
      <c r="B1297" s="119">
        <v>7.3159579332418845E-3</v>
      </c>
    </row>
    <row r="1298" spans="1:2">
      <c r="A1298">
        <v>1297</v>
      </c>
      <c r="B1298" s="119">
        <v>0.34064929126657523</v>
      </c>
    </row>
    <row r="1299" spans="1:2">
      <c r="A1299">
        <v>1298</v>
      </c>
      <c r="B1299" s="119">
        <v>0.67398262459990854</v>
      </c>
    </row>
    <row r="1300" spans="1:2">
      <c r="A1300">
        <v>1299</v>
      </c>
      <c r="B1300" s="119">
        <v>0.11842706904435298</v>
      </c>
    </row>
    <row r="1301" spans="1:2">
      <c r="A1301">
        <v>1300</v>
      </c>
      <c r="B1301" s="119">
        <v>0.45176040237768633</v>
      </c>
    </row>
    <row r="1302" spans="1:2">
      <c r="A1302">
        <v>1301</v>
      </c>
      <c r="B1302" s="119">
        <v>0.78509373571101959</v>
      </c>
    </row>
    <row r="1303" spans="1:2">
      <c r="A1303">
        <v>1302</v>
      </c>
      <c r="B1303" s="119">
        <v>0.22953818015546409</v>
      </c>
    </row>
    <row r="1304" spans="1:2">
      <c r="A1304">
        <v>1303</v>
      </c>
      <c r="B1304" s="119">
        <v>0.56287151348879749</v>
      </c>
    </row>
    <row r="1305" spans="1:2">
      <c r="A1305">
        <v>1304</v>
      </c>
      <c r="B1305" s="119">
        <v>0.89620484682213075</v>
      </c>
    </row>
    <row r="1306" spans="1:2">
      <c r="A1306">
        <v>1305</v>
      </c>
      <c r="B1306" s="119">
        <v>4.4352994970278919E-2</v>
      </c>
    </row>
    <row r="1307" spans="1:2">
      <c r="A1307">
        <v>1306</v>
      </c>
      <c r="B1307" s="119">
        <v>0.37768632830361226</v>
      </c>
    </row>
    <row r="1308" spans="1:2">
      <c r="A1308">
        <v>1307</v>
      </c>
      <c r="B1308" s="119">
        <v>0.71101966163694563</v>
      </c>
    </row>
    <row r="1309" spans="1:2">
      <c r="A1309">
        <v>1308</v>
      </c>
      <c r="B1309" s="119">
        <v>0.15546410608139002</v>
      </c>
    </row>
    <row r="1310" spans="1:2">
      <c r="A1310">
        <v>1309</v>
      </c>
      <c r="B1310" s="119">
        <v>0.48879743941472337</v>
      </c>
    </row>
    <row r="1311" spans="1:2">
      <c r="A1311">
        <v>1310</v>
      </c>
      <c r="B1311" s="119">
        <v>0.82213077274805657</v>
      </c>
    </row>
    <row r="1312" spans="1:2">
      <c r="A1312">
        <v>1311</v>
      </c>
      <c r="B1312" s="119">
        <v>0.26657521719250116</v>
      </c>
    </row>
    <row r="1313" spans="1:2">
      <c r="A1313">
        <v>1312</v>
      </c>
      <c r="B1313" s="119">
        <v>0.59990855052583447</v>
      </c>
    </row>
    <row r="1314" spans="1:2">
      <c r="A1314">
        <v>1313</v>
      </c>
      <c r="B1314" s="119">
        <v>0.93324188385916773</v>
      </c>
    </row>
    <row r="1315" spans="1:2">
      <c r="A1315">
        <v>1314</v>
      </c>
      <c r="B1315" s="119">
        <v>8.1390032007315941E-2</v>
      </c>
    </row>
    <row r="1316" spans="1:2">
      <c r="A1316">
        <v>1315</v>
      </c>
      <c r="B1316" s="119">
        <v>0.4147233653406493</v>
      </c>
    </row>
    <row r="1317" spans="1:2">
      <c r="A1317">
        <v>1316</v>
      </c>
      <c r="B1317" s="119">
        <v>0.74805669867398261</v>
      </c>
    </row>
    <row r="1318" spans="1:2">
      <c r="A1318">
        <v>1317</v>
      </c>
      <c r="B1318" s="119">
        <v>0.19250114311842706</v>
      </c>
    </row>
    <row r="1319" spans="1:2">
      <c r="A1319">
        <v>1318</v>
      </c>
      <c r="B1319" s="119">
        <v>0.5258344764517604</v>
      </c>
    </row>
    <row r="1320" spans="1:2">
      <c r="A1320">
        <v>1319</v>
      </c>
      <c r="B1320" s="119">
        <v>0.85916780978509366</v>
      </c>
    </row>
    <row r="1321" spans="1:2">
      <c r="A1321">
        <v>1320</v>
      </c>
      <c r="B1321" s="119">
        <v>0.30361225422953819</v>
      </c>
    </row>
    <row r="1322" spans="1:2">
      <c r="A1322">
        <v>1321</v>
      </c>
      <c r="B1322" s="119">
        <v>0.63694558756287156</v>
      </c>
    </row>
    <row r="1323" spans="1:2">
      <c r="A1323">
        <v>1322</v>
      </c>
      <c r="B1323" s="119">
        <v>0.97027892089620482</v>
      </c>
    </row>
    <row r="1324" spans="1:2">
      <c r="A1324">
        <v>1323</v>
      </c>
      <c r="B1324" s="119">
        <v>1.9661636945587563E-2</v>
      </c>
    </row>
    <row r="1325" spans="1:2">
      <c r="A1325">
        <v>1324</v>
      </c>
      <c r="B1325" s="119">
        <v>0.35299497027892091</v>
      </c>
    </row>
    <row r="1326" spans="1:2">
      <c r="A1326">
        <v>1325</v>
      </c>
      <c r="B1326" s="119">
        <v>0.68632830361225416</v>
      </c>
    </row>
    <row r="1327" spans="1:2">
      <c r="A1327">
        <v>1326</v>
      </c>
      <c r="B1327" s="119">
        <v>0.13077274805669867</v>
      </c>
    </row>
    <row r="1328" spans="1:2">
      <c r="A1328">
        <v>1327</v>
      </c>
      <c r="B1328" s="119">
        <v>0.46410608139003201</v>
      </c>
    </row>
    <row r="1329" spans="1:2">
      <c r="A1329">
        <v>1328</v>
      </c>
      <c r="B1329" s="119">
        <v>0.79743941472336533</v>
      </c>
    </row>
    <row r="1330" spans="1:2">
      <c r="A1330">
        <v>1329</v>
      </c>
      <c r="B1330" s="119">
        <v>0.24188385916780977</v>
      </c>
    </row>
    <row r="1331" spans="1:2">
      <c r="A1331">
        <v>1330</v>
      </c>
      <c r="B1331" s="119">
        <v>0.57521719250114323</v>
      </c>
    </row>
    <row r="1332" spans="1:2">
      <c r="A1332">
        <v>1331</v>
      </c>
      <c r="B1332" s="119">
        <v>0.90855052583447649</v>
      </c>
    </row>
    <row r="1333" spans="1:2">
      <c r="A1333">
        <v>1332</v>
      </c>
      <c r="B1333" s="119">
        <v>5.6698673982624598E-2</v>
      </c>
    </row>
    <row r="1334" spans="1:2">
      <c r="A1334">
        <v>1333</v>
      </c>
      <c r="B1334" s="119">
        <v>0.39003200731595794</v>
      </c>
    </row>
    <row r="1335" spans="1:2">
      <c r="A1335">
        <v>1334</v>
      </c>
      <c r="B1335" s="119">
        <v>0.72336534064929137</v>
      </c>
    </row>
    <row r="1336" spans="1:2">
      <c r="A1336">
        <v>1335</v>
      </c>
      <c r="B1336" s="119">
        <v>0.1678097850937357</v>
      </c>
    </row>
    <row r="1337" spans="1:2">
      <c r="A1337">
        <v>1336</v>
      </c>
      <c r="B1337" s="119">
        <v>0.50114311842706905</v>
      </c>
    </row>
    <row r="1338" spans="1:2">
      <c r="A1338">
        <v>1337</v>
      </c>
      <c r="B1338" s="119">
        <v>0.8344764517604023</v>
      </c>
    </row>
    <row r="1339" spans="1:2">
      <c r="A1339">
        <v>1338</v>
      </c>
      <c r="B1339" s="119">
        <v>0.27892089620484684</v>
      </c>
    </row>
    <row r="1340" spans="1:2">
      <c r="A1340">
        <v>1339</v>
      </c>
      <c r="B1340" s="119">
        <v>0.61225422953818021</v>
      </c>
    </row>
    <row r="1341" spans="1:2">
      <c r="A1341">
        <v>1340</v>
      </c>
      <c r="B1341" s="119">
        <v>0.94558756287151347</v>
      </c>
    </row>
    <row r="1342" spans="1:2">
      <c r="A1342">
        <v>1341</v>
      </c>
      <c r="B1342" s="119">
        <v>9.3735711019661619E-2</v>
      </c>
    </row>
    <row r="1343" spans="1:2">
      <c r="A1343">
        <v>1342</v>
      </c>
      <c r="B1343" s="119">
        <v>0.42706904435299498</v>
      </c>
    </row>
    <row r="1344" spans="1:2">
      <c r="A1344">
        <v>1343</v>
      </c>
      <c r="B1344" s="119">
        <v>0.76040237768632835</v>
      </c>
    </row>
    <row r="1345" spans="1:2">
      <c r="A1345">
        <v>1344</v>
      </c>
      <c r="B1345" s="119">
        <v>0.20484682213077274</v>
      </c>
    </row>
    <row r="1346" spans="1:2">
      <c r="A1346">
        <v>1345</v>
      </c>
      <c r="B1346" s="119">
        <v>0.53818015546410602</v>
      </c>
    </row>
    <row r="1347" spans="1:2">
      <c r="A1347">
        <v>1346</v>
      </c>
      <c r="B1347" s="119">
        <v>0.87151348879743928</v>
      </c>
    </row>
    <row r="1348" spans="1:2">
      <c r="A1348">
        <v>1347</v>
      </c>
      <c r="B1348" s="119">
        <v>0.31595793324188387</v>
      </c>
    </row>
    <row r="1349" spans="1:2">
      <c r="A1349">
        <v>1348</v>
      </c>
      <c r="B1349" s="119">
        <v>0.64929126657521719</v>
      </c>
    </row>
    <row r="1350" spans="1:2">
      <c r="A1350">
        <v>1349</v>
      </c>
      <c r="B1350" s="119">
        <v>0.98262459990855044</v>
      </c>
    </row>
    <row r="1351" spans="1:2">
      <c r="A1351">
        <v>1350</v>
      </c>
      <c r="B1351" s="119">
        <v>3.2007315957933241E-2</v>
      </c>
    </row>
    <row r="1352" spans="1:2">
      <c r="A1352">
        <v>1351</v>
      </c>
      <c r="B1352" s="119">
        <v>0.36534064929126658</v>
      </c>
    </row>
    <row r="1353" spans="1:2">
      <c r="A1353">
        <v>1352</v>
      </c>
      <c r="B1353" s="119">
        <v>0.6986739826245999</v>
      </c>
    </row>
    <row r="1354" spans="1:2">
      <c r="A1354">
        <v>1353</v>
      </c>
      <c r="B1354" s="119">
        <v>0.14311842706904435</v>
      </c>
    </row>
    <row r="1355" spans="1:2">
      <c r="A1355">
        <v>1354</v>
      </c>
      <c r="B1355" s="119">
        <v>0.47645176040237769</v>
      </c>
    </row>
    <row r="1356" spans="1:2">
      <c r="A1356">
        <v>1355</v>
      </c>
      <c r="B1356" s="119">
        <v>0.80978509373571095</v>
      </c>
    </row>
    <row r="1357" spans="1:2">
      <c r="A1357">
        <v>1356</v>
      </c>
      <c r="B1357" s="119">
        <v>0.25422953818015548</v>
      </c>
    </row>
    <row r="1358" spans="1:2">
      <c r="A1358">
        <v>1357</v>
      </c>
      <c r="B1358" s="119">
        <v>0.58756287151348885</v>
      </c>
    </row>
    <row r="1359" spans="1:2">
      <c r="A1359">
        <v>1358</v>
      </c>
      <c r="B1359" s="119">
        <v>0.92089620484682211</v>
      </c>
    </row>
    <row r="1360" spans="1:2">
      <c r="A1360">
        <v>1359</v>
      </c>
      <c r="B1360" s="119">
        <v>6.9044352994970262E-2</v>
      </c>
    </row>
    <row r="1361" spans="1:2">
      <c r="A1361">
        <v>1360</v>
      </c>
      <c r="B1361" s="119">
        <v>0.40237768632830362</v>
      </c>
    </row>
    <row r="1362" spans="1:2">
      <c r="A1362">
        <v>1361</v>
      </c>
      <c r="B1362" s="119">
        <v>0.73571101966163699</v>
      </c>
    </row>
    <row r="1363" spans="1:2">
      <c r="A1363">
        <v>1362</v>
      </c>
      <c r="B1363" s="119">
        <v>0.18015546410608138</v>
      </c>
    </row>
    <row r="1364" spans="1:2">
      <c r="A1364">
        <v>1363</v>
      </c>
      <c r="B1364" s="119">
        <v>0.51348879743941478</v>
      </c>
    </row>
    <row r="1365" spans="1:2">
      <c r="A1365">
        <v>1364</v>
      </c>
      <c r="B1365" s="119">
        <v>0.84682213077274793</v>
      </c>
    </row>
    <row r="1366" spans="1:2">
      <c r="A1366">
        <v>1365</v>
      </c>
      <c r="B1366" s="119">
        <v>0.29126657521719251</v>
      </c>
    </row>
    <row r="1367" spans="1:2">
      <c r="A1367">
        <v>1366</v>
      </c>
      <c r="B1367" s="119">
        <v>0.62459990855052583</v>
      </c>
    </row>
    <row r="1368" spans="1:2">
      <c r="A1368">
        <v>1367</v>
      </c>
      <c r="B1368" s="119">
        <v>0.95793324188385909</v>
      </c>
    </row>
    <row r="1369" spans="1:2">
      <c r="A1369">
        <v>1368</v>
      </c>
      <c r="B1369" s="119">
        <v>0.1060813900320073</v>
      </c>
    </row>
    <row r="1370" spans="1:2">
      <c r="A1370">
        <v>1369</v>
      </c>
      <c r="B1370" s="119">
        <v>0.43941472336534065</v>
      </c>
    </row>
    <row r="1371" spans="1:2">
      <c r="A1371">
        <v>1370</v>
      </c>
      <c r="B1371" s="119">
        <v>0.77274805669867397</v>
      </c>
    </row>
    <row r="1372" spans="1:2">
      <c r="A1372">
        <v>1371</v>
      </c>
      <c r="B1372" s="119">
        <v>0.21719250114311842</v>
      </c>
    </row>
    <row r="1373" spans="1:2">
      <c r="A1373">
        <v>1372</v>
      </c>
      <c r="B1373" s="119">
        <v>0.55052583447645176</v>
      </c>
    </row>
    <row r="1374" spans="1:2">
      <c r="A1374">
        <v>1373</v>
      </c>
      <c r="B1374" s="119">
        <v>0.88385916780978502</v>
      </c>
    </row>
    <row r="1375" spans="1:2">
      <c r="A1375">
        <v>1374</v>
      </c>
      <c r="B1375" s="119">
        <v>0.32830361225422955</v>
      </c>
    </row>
    <row r="1376" spans="1:2">
      <c r="A1376">
        <v>1375</v>
      </c>
      <c r="B1376" s="119">
        <v>0.66163694558756292</v>
      </c>
    </row>
    <row r="1377" spans="1:2">
      <c r="A1377">
        <v>1376</v>
      </c>
      <c r="B1377" s="119">
        <v>0.99497027892089618</v>
      </c>
    </row>
    <row r="1378" spans="1:2">
      <c r="A1378">
        <v>1377</v>
      </c>
      <c r="B1378" s="119">
        <v>1.1431184270690445E-2</v>
      </c>
    </row>
    <row r="1379" spans="1:2">
      <c r="A1379">
        <v>1378</v>
      </c>
      <c r="B1379" s="119">
        <v>0.34476451760402382</v>
      </c>
    </row>
    <row r="1380" spans="1:2">
      <c r="A1380">
        <v>1379</v>
      </c>
      <c r="B1380" s="119">
        <v>0.67809785093735708</v>
      </c>
    </row>
    <row r="1381" spans="1:2">
      <c r="A1381">
        <v>1380</v>
      </c>
      <c r="B1381" s="119">
        <v>0.12254229538180154</v>
      </c>
    </row>
    <row r="1382" spans="1:2">
      <c r="A1382">
        <v>1381</v>
      </c>
      <c r="B1382" s="119">
        <v>0.45587562871513493</v>
      </c>
    </row>
    <row r="1383" spans="1:2">
      <c r="A1383">
        <v>1382</v>
      </c>
      <c r="B1383" s="119">
        <v>0.78920896204846813</v>
      </c>
    </row>
    <row r="1384" spans="1:2">
      <c r="A1384">
        <v>1383</v>
      </c>
      <c r="B1384" s="119">
        <v>0.23365340649291264</v>
      </c>
    </row>
    <row r="1385" spans="1:2">
      <c r="A1385">
        <v>1384</v>
      </c>
      <c r="B1385" s="119">
        <v>0.56698673982624603</v>
      </c>
    </row>
    <row r="1386" spans="1:2">
      <c r="A1386">
        <v>1385</v>
      </c>
      <c r="B1386" s="119">
        <v>0.90032007315957929</v>
      </c>
    </row>
    <row r="1387" spans="1:2">
      <c r="A1387">
        <v>1386</v>
      </c>
      <c r="B1387" s="119">
        <v>4.8468221307727481E-2</v>
      </c>
    </row>
    <row r="1388" spans="1:2">
      <c r="A1388">
        <v>1387</v>
      </c>
      <c r="B1388" s="119">
        <v>0.38180155464106086</v>
      </c>
    </row>
    <row r="1389" spans="1:2">
      <c r="A1389">
        <v>1388</v>
      </c>
      <c r="B1389" s="119">
        <v>0.71513488797439417</v>
      </c>
    </row>
    <row r="1390" spans="1:2">
      <c r="A1390">
        <v>1389</v>
      </c>
      <c r="B1390" s="119">
        <v>0.15957933241883857</v>
      </c>
    </row>
    <row r="1391" spans="1:2">
      <c r="A1391">
        <v>1390</v>
      </c>
      <c r="B1391" s="119">
        <v>0.49291266575217196</v>
      </c>
    </row>
    <row r="1392" spans="1:2">
      <c r="A1392">
        <v>1391</v>
      </c>
      <c r="B1392" s="119">
        <v>0.82624599908550511</v>
      </c>
    </row>
    <row r="1393" spans="1:2">
      <c r="A1393">
        <v>1392</v>
      </c>
      <c r="B1393" s="119">
        <v>0.27069044352994975</v>
      </c>
    </row>
    <row r="1394" spans="1:2">
      <c r="A1394">
        <v>1393</v>
      </c>
      <c r="B1394" s="119">
        <v>0.60402377686328301</v>
      </c>
    </row>
    <row r="1395" spans="1:2">
      <c r="A1395">
        <v>1394</v>
      </c>
      <c r="B1395" s="119">
        <v>0.93735711019661627</v>
      </c>
    </row>
    <row r="1396" spans="1:2">
      <c r="A1396">
        <v>1395</v>
      </c>
      <c r="B1396" s="119">
        <v>8.5505258344764509E-2</v>
      </c>
    </row>
    <row r="1397" spans="1:2">
      <c r="A1397">
        <v>1396</v>
      </c>
      <c r="B1397" s="119">
        <v>0.41883859167809789</v>
      </c>
    </row>
    <row r="1398" spans="1:2">
      <c r="A1398">
        <v>1397</v>
      </c>
      <c r="B1398" s="119">
        <v>0.75217192501143115</v>
      </c>
    </row>
    <row r="1399" spans="1:2">
      <c r="A1399">
        <v>1398</v>
      </c>
      <c r="B1399" s="119">
        <v>0.1966163694558756</v>
      </c>
    </row>
    <row r="1400" spans="1:2">
      <c r="A1400">
        <v>1399</v>
      </c>
      <c r="B1400" s="119">
        <v>0.52994970278920894</v>
      </c>
    </row>
    <row r="1401" spans="1:2">
      <c r="A1401">
        <v>1400</v>
      </c>
      <c r="B1401" s="119">
        <v>0.8632830361225422</v>
      </c>
    </row>
    <row r="1402" spans="1:2">
      <c r="A1402">
        <v>1401</v>
      </c>
      <c r="B1402" s="119">
        <v>0.30772748056698679</v>
      </c>
    </row>
    <row r="1403" spans="1:2">
      <c r="A1403">
        <v>1402</v>
      </c>
      <c r="B1403" s="119">
        <v>0.6410608139003201</v>
      </c>
    </row>
    <row r="1404" spans="1:2">
      <c r="A1404">
        <v>1403</v>
      </c>
      <c r="B1404" s="119">
        <v>0.97439414723365336</v>
      </c>
    </row>
    <row r="1405" spans="1:2">
      <c r="A1405">
        <v>1404</v>
      </c>
      <c r="B1405" s="119">
        <v>2.3776863283036121E-2</v>
      </c>
    </row>
    <row r="1406" spans="1:2">
      <c r="A1406">
        <v>1405</v>
      </c>
      <c r="B1406" s="119">
        <v>0.3571101966163695</v>
      </c>
    </row>
    <row r="1407" spans="1:2">
      <c r="A1407">
        <v>1406</v>
      </c>
      <c r="B1407" s="119">
        <v>0.69044352994970271</v>
      </c>
    </row>
    <row r="1408" spans="1:2">
      <c r="A1408">
        <v>1407</v>
      </c>
      <c r="B1408" s="119">
        <v>0.13488797439414721</v>
      </c>
    </row>
    <row r="1409" spans="1:2">
      <c r="A1409">
        <v>1408</v>
      </c>
      <c r="B1409" s="119">
        <v>0.46822130772748061</v>
      </c>
    </row>
    <row r="1410" spans="1:2">
      <c r="A1410">
        <v>1409</v>
      </c>
      <c r="B1410" s="119">
        <v>0.80155464106081387</v>
      </c>
    </row>
    <row r="1411" spans="1:2">
      <c r="A1411">
        <v>1410</v>
      </c>
      <c r="B1411" s="119">
        <v>0.24599908550525831</v>
      </c>
    </row>
    <row r="1412" spans="1:2">
      <c r="A1412">
        <v>1411</v>
      </c>
      <c r="B1412" s="119">
        <v>0.57933241883859177</v>
      </c>
    </row>
    <row r="1413" spans="1:2">
      <c r="A1413">
        <v>1412</v>
      </c>
      <c r="B1413" s="119">
        <v>0.91266575217192503</v>
      </c>
    </row>
    <row r="1414" spans="1:2">
      <c r="A1414">
        <v>1413</v>
      </c>
      <c r="B1414" s="119">
        <v>6.081390032007316E-2</v>
      </c>
    </row>
    <row r="1415" spans="1:2">
      <c r="A1415">
        <v>1414</v>
      </c>
      <c r="B1415" s="119">
        <v>0.39414723365340654</v>
      </c>
    </row>
    <row r="1416" spans="1:2">
      <c r="A1416">
        <v>1415</v>
      </c>
      <c r="B1416" s="119">
        <v>0.72748056698673991</v>
      </c>
    </row>
    <row r="1417" spans="1:2">
      <c r="A1417">
        <v>1416</v>
      </c>
      <c r="B1417" s="119">
        <v>0.17192501143118424</v>
      </c>
    </row>
    <row r="1418" spans="1:2">
      <c r="A1418">
        <v>1417</v>
      </c>
      <c r="B1418" s="119">
        <v>0.50525834476451759</v>
      </c>
    </row>
    <row r="1419" spans="1:2">
      <c r="A1419">
        <v>1418</v>
      </c>
      <c r="B1419" s="119">
        <v>0.83859167809785085</v>
      </c>
    </row>
    <row r="1420" spans="1:2">
      <c r="A1420">
        <v>1419</v>
      </c>
      <c r="B1420" s="119">
        <v>0.28303612254229543</v>
      </c>
    </row>
    <row r="1421" spans="1:2">
      <c r="A1421">
        <v>1420</v>
      </c>
      <c r="B1421" s="119">
        <v>0.61636945587562875</v>
      </c>
    </row>
    <row r="1422" spans="1:2">
      <c r="A1422">
        <v>1421</v>
      </c>
      <c r="B1422" s="119">
        <v>0.94970278920896201</v>
      </c>
    </row>
    <row r="1423" spans="1:2">
      <c r="A1423">
        <v>1422</v>
      </c>
      <c r="B1423" s="119">
        <v>9.7850937357110188E-2</v>
      </c>
    </row>
    <row r="1424" spans="1:2">
      <c r="A1424">
        <v>1423</v>
      </c>
      <c r="B1424" s="119">
        <v>0.43118427069044357</v>
      </c>
    </row>
    <row r="1425" spans="1:2">
      <c r="A1425">
        <v>1424</v>
      </c>
      <c r="B1425" s="119">
        <v>0.76451760402377689</v>
      </c>
    </row>
    <row r="1426" spans="1:2">
      <c r="A1426">
        <v>1425</v>
      </c>
      <c r="B1426" s="119">
        <v>0.20896204846822128</v>
      </c>
    </row>
    <row r="1427" spans="1:2">
      <c r="A1427">
        <v>1426</v>
      </c>
      <c r="B1427" s="119">
        <v>0.54229538180155457</v>
      </c>
    </row>
    <row r="1428" spans="1:2">
      <c r="A1428">
        <v>1427</v>
      </c>
      <c r="B1428" s="119">
        <v>0.87562871513488783</v>
      </c>
    </row>
    <row r="1429" spans="1:2">
      <c r="A1429">
        <v>1428</v>
      </c>
      <c r="B1429" s="119">
        <v>0.32007315957933247</v>
      </c>
    </row>
    <row r="1430" spans="1:2">
      <c r="A1430">
        <v>1429</v>
      </c>
      <c r="B1430" s="119">
        <v>0.65340649291266573</v>
      </c>
    </row>
    <row r="1431" spans="1:2">
      <c r="A1431">
        <v>1430</v>
      </c>
      <c r="B1431" s="119">
        <v>0.98673982624599899</v>
      </c>
    </row>
    <row r="1432" spans="1:2">
      <c r="A1432">
        <v>1431</v>
      </c>
      <c r="B1432" s="119">
        <v>3.6122542295381803E-2</v>
      </c>
    </row>
    <row r="1433" spans="1:2">
      <c r="A1433">
        <v>1432</v>
      </c>
      <c r="B1433" s="119">
        <v>0.36945587562871518</v>
      </c>
    </row>
    <row r="1434" spans="1:2">
      <c r="A1434">
        <v>1433</v>
      </c>
      <c r="B1434" s="119">
        <v>0.70278920896204844</v>
      </c>
    </row>
    <row r="1435" spans="1:2">
      <c r="A1435">
        <v>1434</v>
      </c>
      <c r="B1435" s="119">
        <v>0.14723365340649289</v>
      </c>
    </row>
    <row r="1436" spans="1:2">
      <c r="A1436">
        <v>1435</v>
      </c>
      <c r="B1436" s="119">
        <v>0.48056698673982629</v>
      </c>
    </row>
    <row r="1437" spans="1:2">
      <c r="A1437">
        <v>1436</v>
      </c>
      <c r="B1437" s="119">
        <v>0.81390032007315949</v>
      </c>
    </row>
    <row r="1438" spans="1:2">
      <c r="A1438">
        <v>1437</v>
      </c>
      <c r="B1438" s="119">
        <v>0.25834476451760408</v>
      </c>
    </row>
    <row r="1439" spans="1:2">
      <c r="A1439">
        <v>1438</v>
      </c>
      <c r="B1439" s="119">
        <v>0.59167809785093739</v>
      </c>
    </row>
    <row r="1440" spans="1:2">
      <c r="A1440">
        <v>1439</v>
      </c>
      <c r="B1440" s="119">
        <v>0.92501143118427065</v>
      </c>
    </row>
    <row r="1441" spans="1:2">
      <c r="A1441">
        <v>1440</v>
      </c>
      <c r="B1441" s="119">
        <v>7.3159579332418831E-2</v>
      </c>
    </row>
    <row r="1442" spans="1:2">
      <c r="A1442">
        <v>1441</v>
      </c>
      <c r="B1442" s="119">
        <v>0.40649291266575222</v>
      </c>
    </row>
    <row r="1443" spans="1:2">
      <c r="A1443">
        <v>1442</v>
      </c>
      <c r="B1443" s="119">
        <v>0.73982624599908553</v>
      </c>
    </row>
    <row r="1444" spans="1:2">
      <c r="A1444">
        <v>1443</v>
      </c>
      <c r="B1444" s="119">
        <v>0.18427069044352992</v>
      </c>
    </row>
    <row r="1445" spans="1:2">
      <c r="A1445">
        <v>1444</v>
      </c>
      <c r="B1445" s="119">
        <v>0.51760402377686332</v>
      </c>
    </row>
    <row r="1446" spans="1:2">
      <c r="A1446">
        <v>1445</v>
      </c>
      <c r="B1446" s="119">
        <v>0.85093735711019647</v>
      </c>
    </row>
    <row r="1447" spans="1:2">
      <c r="A1447">
        <v>1446</v>
      </c>
      <c r="B1447" s="119">
        <v>0.29538180155464111</v>
      </c>
    </row>
    <row r="1448" spans="1:2">
      <c r="A1448">
        <v>1447</v>
      </c>
      <c r="B1448" s="119">
        <v>0.62871513488797437</v>
      </c>
    </row>
    <row r="1449" spans="1:2">
      <c r="A1449">
        <v>1448</v>
      </c>
      <c r="B1449" s="119">
        <v>0.96204846822130763</v>
      </c>
    </row>
    <row r="1450" spans="1:2">
      <c r="A1450">
        <v>1449</v>
      </c>
      <c r="B1450" s="119">
        <v>0.11019661636945587</v>
      </c>
    </row>
    <row r="1451" spans="1:2">
      <c r="A1451">
        <v>1450</v>
      </c>
      <c r="B1451" s="119">
        <v>0.44352994970278925</v>
      </c>
    </row>
    <row r="1452" spans="1:2">
      <c r="A1452">
        <v>1451</v>
      </c>
      <c r="B1452" s="119">
        <v>0.77686328303612251</v>
      </c>
    </row>
    <row r="1453" spans="1:2">
      <c r="A1453">
        <v>1452</v>
      </c>
      <c r="B1453" s="119">
        <v>0.22130772748056696</v>
      </c>
    </row>
    <row r="1454" spans="1:2">
      <c r="A1454">
        <v>1453</v>
      </c>
      <c r="B1454" s="119">
        <v>0.5546410608139003</v>
      </c>
    </row>
    <row r="1455" spans="1:2">
      <c r="A1455">
        <v>1454</v>
      </c>
      <c r="B1455" s="119">
        <v>0.88797439414723356</v>
      </c>
    </row>
    <row r="1456" spans="1:2">
      <c r="A1456">
        <v>1455</v>
      </c>
      <c r="B1456" s="119">
        <v>0.33241883859167815</v>
      </c>
    </row>
    <row r="1457" spans="1:2">
      <c r="A1457">
        <v>1456</v>
      </c>
      <c r="B1457" s="119">
        <v>0.66575217192501146</v>
      </c>
    </row>
    <row r="1458" spans="1:2">
      <c r="A1458">
        <v>1457</v>
      </c>
      <c r="B1458" s="119">
        <v>0.99908550525834472</v>
      </c>
    </row>
    <row r="1459" spans="1:2">
      <c r="A1459">
        <v>1458</v>
      </c>
      <c r="B1459" s="119">
        <v>9.1449474165523545E-4</v>
      </c>
    </row>
    <row r="1460" spans="1:2">
      <c r="A1460">
        <v>1459</v>
      </c>
      <c r="B1460" s="119">
        <v>0.33424782807498854</v>
      </c>
    </row>
    <row r="1461" spans="1:2">
      <c r="A1461">
        <v>1460</v>
      </c>
      <c r="B1461" s="119">
        <v>0.66758116140832191</v>
      </c>
    </row>
    <row r="1462" spans="1:2">
      <c r="A1462">
        <v>1461</v>
      </c>
      <c r="B1462" s="119">
        <v>0.11202560585276634</v>
      </c>
    </row>
    <row r="1463" spans="1:2">
      <c r="A1463">
        <v>1462</v>
      </c>
      <c r="B1463" s="119">
        <v>0.44535893918609964</v>
      </c>
    </row>
    <row r="1464" spans="1:2">
      <c r="A1464">
        <v>1463</v>
      </c>
      <c r="B1464" s="119">
        <v>0.77869227251943296</v>
      </c>
    </row>
    <row r="1465" spans="1:2">
      <c r="A1465">
        <v>1464</v>
      </c>
      <c r="B1465" s="119">
        <v>0.22313671696387744</v>
      </c>
    </row>
    <row r="1466" spans="1:2">
      <c r="A1466">
        <v>1465</v>
      </c>
      <c r="B1466" s="119">
        <v>0.55647005029721086</v>
      </c>
    </row>
    <row r="1467" spans="1:2">
      <c r="A1467">
        <v>1466</v>
      </c>
      <c r="B1467" s="119">
        <v>0.88980338363054412</v>
      </c>
    </row>
    <row r="1468" spans="1:2">
      <c r="A1468">
        <v>1467</v>
      </c>
      <c r="B1468" s="119">
        <v>3.7951531778692267E-2</v>
      </c>
    </row>
    <row r="1469" spans="1:2">
      <c r="A1469">
        <v>1468</v>
      </c>
      <c r="B1469" s="119">
        <v>0.37128486511202557</v>
      </c>
    </row>
    <row r="1470" spans="1:2">
      <c r="A1470">
        <v>1469</v>
      </c>
      <c r="B1470" s="119">
        <v>0.704618198445359</v>
      </c>
    </row>
    <row r="1471" spans="1:2">
      <c r="A1471">
        <v>1470</v>
      </c>
      <c r="B1471" s="119">
        <v>0.14906264288980337</v>
      </c>
    </row>
    <row r="1472" spans="1:2">
      <c r="A1472">
        <v>1471</v>
      </c>
      <c r="B1472" s="119">
        <v>0.48239597622313668</v>
      </c>
    </row>
    <row r="1473" spans="1:2">
      <c r="A1473">
        <v>1472</v>
      </c>
      <c r="B1473" s="119">
        <v>0.81572930955646994</v>
      </c>
    </row>
    <row r="1474" spans="1:2">
      <c r="A1474">
        <v>1473</v>
      </c>
      <c r="B1474" s="119">
        <v>0.26017375400091447</v>
      </c>
    </row>
    <row r="1475" spans="1:2">
      <c r="A1475">
        <v>1474</v>
      </c>
      <c r="B1475" s="119">
        <v>0.59350708733424784</v>
      </c>
    </row>
    <row r="1476" spans="1:2">
      <c r="A1476">
        <v>1475</v>
      </c>
      <c r="B1476" s="119">
        <v>0.9268404206675811</v>
      </c>
    </row>
    <row r="1477" spans="1:2">
      <c r="A1477">
        <v>1476</v>
      </c>
      <c r="B1477" s="119">
        <v>7.4988568815729309E-2</v>
      </c>
    </row>
    <row r="1478" spans="1:2">
      <c r="A1478">
        <v>1477</v>
      </c>
      <c r="B1478" s="119">
        <v>0.40832190214906261</v>
      </c>
    </row>
    <row r="1479" spans="1:2">
      <c r="A1479">
        <v>1478</v>
      </c>
      <c r="B1479" s="119">
        <v>0.74165523548239598</v>
      </c>
    </row>
    <row r="1480" spans="1:2">
      <c r="A1480">
        <v>1479</v>
      </c>
      <c r="B1480" s="119">
        <v>0.1860996799268404</v>
      </c>
    </row>
    <row r="1481" spans="1:2">
      <c r="A1481">
        <v>1480</v>
      </c>
      <c r="B1481" s="119">
        <v>0.51943301326017377</v>
      </c>
    </row>
    <row r="1482" spans="1:2">
      <c r="A1482">
        <v>1481</v>
      </c>
      <c r="B1482" s="119">
        <v>0.85276634659350703</v>
      </c>
    </row>
    <row r="1483" spans="1:2">
      <c r="A1483">
        <v>1482</v>
      </c>
      <c r="B1483" s="119">
        <v>0.29721079103795151</v>
      </c>
    </row>
    <row r="1484" spans="1:2">
      <c r="A1484">
        <v>1483</v>
      </c>
      <c r="B1484" s="119">
        <v>0.63054412437128493</v>
      </c>
    </row>
    <row r="1485" spans="1:2">
      <c r="A1485">
        <v>1484</v>
      </c>
      <c r="B1485" s="119">
        <v>0.96387745770461819</v>
      </c>
    </row>
    <row r="1486" spans="1:2">
      <c r="A1486">
        <v>1485</v>
      </c>
      <c r="B1486" s="119">
        <v>1.3260173754000914E-2</v>
      </c>
    </row>
    <row r="1487" spans="1:2">
      <c r="A1487">
        <v>1486</v>
      </c>
      <c r="B1487" s="119">
        <v>0.34659350708733422</v>
      </c>
    </row>
    <row r="1488" spans="1:2">
      <c r="A1488">
        <v>1487</v>
      </c>
      <c r="B1488" s="119">
        <v>0.67992684042066753</v>
      </c>
    </row>
    <row r="1489" spans="1:2">
      <c r="A1489">
        <v>1488</v>
      </c>
      <c r="B1489" s="119">
        <v>0.12437128486511202</v>
      </c>
    </row>
    <row r="1490" spans="1:2">
      <c r="A1490">
        <v>1489</v>
      </c>
      <c r="B1490" s="119">
        <v>0.45770461819844532</v>
      </c>
    </row>
    <row r="1491" spans="1:2">
      <c r="A1491">
        <v>1490</v>
      </c>
      <c r="B1491" s="119">
        <v>0.79103795153177869</v>
      </c>
    </row>
    <row r="1492" spans="1:2">
      <c r="A1492">
        <v>1491</v>
      </c>
      <c r="B1492" s="119">
        <v>0.23548239597622311</v>
      </c>
    </row>
    <row r="1493" spans="1:2">
      <c r="A1493">
        <v>1492</v>
      </c>
      <c r="B1493" s="119">
        <v>0.56881572930955659</v>
      </c>
    </row>
    <row r="1494" spans="1:2">
      <c r="A1494">
        <v>1493</v>
      </c>
      <c r="B1494" s="119">
        <v>0.90214906264288985</v>
      </c>
    </row>
    <row r="1495" spans="1:2">
      <c r="A1495">
        <v>1494</v>
      </c>
      <c r="B1495" s="119">
        <v>5.0297210791037945E-2</v>
      </c>
    </row>
    <row r="1496" spans="1:2">
      <c r="A1496">
        <v>1495</v>
      </c>
      <c r="B1496" s="119">
        <v>0.38363054412437125</v>
      </c>
    </row>
    <row r="1497" spans="1:2">
      <c r="A1497">
        <v>1496</v>
      </c>
      <c r="B1497" s="119">
        <v>0.71696387745770473</v>
      </c>
    </row>
    <row r="1498" spans="1:2">
      <c r="A1498">
        <v>1497</v>
      </c>
      <c r="B1498" s="119">
        <v>0.16140832190214904</v>
      </c>
    </row>
    <row r="1499" spans="1:2">
      <c r="A1499">
        <v>1498</v>
      </c>
      <c r="B1499" s="119">
        <v>0.49474165523548236</v>
      </c>
    </row>
    <row r="1500" spans="1:2">
      <c r="A1500">
        <v>1499</v>
      </c>
      <c r="B1500" s="119">
        <v>0.82807498856881567</v>
      </c>
    </row>
    <row r="1501" spans="1:2">
      <c r="A1501">
        <v>1500</v>
      </c>
      <c r="B1501" s="119">
        <v>0.27251943301326015</v>
      </c>
    </row>
    <row r="1502" spans="1:2">
      <c r="A1502">
        <v>1501</v>
      </c>
      <c r="B1502" s="119">
        <v>0.60585276634659357</v>
      </c>
    </row>
    <row r="1503" spans="1:2">
      <c r="A1503">
        <v>1502</v>
      </c>
      <c r="B1503" s="119">
        <v>0.93918609967992683</v>
      </c>
    </row>
    <row r="1504" spans="1:2">
      <c r="A1504">
        <v>1503</v>
      </c>
      <c r="B1504" s="119">
        <v>8.7334247828074987E-2</v>
      </c>
    </row>
    <row r="1505" spans="1:2">
      <c r="A1505">
        <v>1504</v>
      </c>
      <c r="B1505" s="119">
        <v>0.42066758116140829</v>
      </c>
    </row>
    <row r="1506" spans="1:2">
      <c r="A1506">
        <v>1505</v>
      </c>
      <c r="B1506" s="119">
        <v>0.75400091449474171</v>
      </c>
    </row>
    <row r="1507" spans="1:2">
      <c r="A1507">
        <v>1506</v>
      </c>
      <c r="B1507" s="119">
        <v>0.19844535893918608</v>
      </c>
    </row>
    <row r="1508" spans="1:2">
      <c r="A1508">
        <v>1507</v>
      </c>
      <c r="B1508" s="119">
        <v>0.53177869227251939</v>
      </c>
    </row>
    <row r="1509" spans="1:2">
      <c r="A1509">
        <v>1508</v>
      </c>
      <c r="B1509" s="119">
        <v>0.86511202560585265</v>
      </c>
    </row>
    <row r="1510" spans="1:2">
      <c r="A1510">
        <v>1509</v>
      </c>
      <c r="B1510" s="119">
        <v>0.30955647005029718</v>
      </c>
    </row>
    <row r="1511" spans="1:2">
      <c r="A1511">
        <v>1510</v>
      </c>
      <c r="B1511" s="119">
        <v>0.64288980338363055</v>
      </c>
    </row>
    <row r="1512" spans="1:2">
      <c r="A1512">
        <v>1511</v>
      </c>
      <c r="B1512" s="119">
        <v>0.97622313671696381</v>
      </c>
    </row>
    <row r="1513" spans="1:2">
      <c r="A1513">
        <v>1512</v>
      </c>
      <c r="B1513" s="119">
        <v>2.5605852766346592E-2</v>
      </c>
    </row>
    <row r="1514" spans="1:2">
      <c r="A1514">
        <v>1513</v>
      </c>
      <c r="B1514" s="119">
        <v>0.3589391860996799</v>
      </c>
    </row>
    <row r="1515" spans="1:2">
      <c r="A1515">
        <v>1514</v>
      </c>
      <c r="B1515" s="119">
        <v>0.69227251943301327</v>
      </c>
    </row>
    <row r="1516" spans="1:2">
      <c r="A1516">
        <v>1515</v>
      </c>
      <c r="B1516" s="119">
        <v>0.13671696387745769</v>
      </c>
    </row>
    <row r="1517" spans="1:2">
      <c r="A1517">
        <v>1516</v>
      </c>
      <c r="B1517" s="119">
        <v>0.470050297210791</v>
      </c>
    </row>
    <row r="1518" spans="1:2">
      <c r="A1518">
        <v>1517</v>
      </c>
      <c r="B1518" s="119">
        <v>0.80338363054412432</v>
      </c>
    </row>
    <row r="1519" spans="1:2">
      <c r="A1519">
        <v>1518</v>
      </c>
      <c r="B1519" s="119">
        <v>0.24782807498856879</v>
      </c>
    </row>
    <row r="1520" spans="1:2">
      <c r="A1520">
        <v>1519</v>
      </c>
      <c r="B1520" s="119">
        <v>0.58116140832190222</v>
      </c>
    </row>
    <row r="1521" spans="1:2">
      <c r="A1521">
        <v>1520</v>
      </c>
      <c r="B1521" s="119">
        <v>0.91449474165523548</v>
      </c>
    </row>
    <row r="1522" spans="1:2">
      <c r="A1522">
        <v>1521</v>
      </c>
      <c r="B1522" s="119">
        <v>6.2642889803383631E-2</v>
      </c>
    </row>
    <row r="1523" spans="1:2">
      <c r="A1523">
        <v>1522</v>
      </c>
      <c r="B1523" s="119">
        <v>0.39597622313671693</v>
      </c>
    </row>
    <row r="1524" spans="1:2">
      <c r="A1524">
        <v>1523</v>
      </c>
      <c r="B1524" s="119">
        <v>0.72930955647005036</v>
      </c>
    </row>
    <row r="1525" spans="1:2">
      <c r="A1525">
        <v>1524</v>
      </c>
      <c r="B1525" s="119">
        <v>0.17375400091449472</v>
      </c>
    </row>
    <row r="1526" spans="1:2">
      <c r="A1526">
        <v>1525</v>
      </c>
      <c r="B1526" s="119">
        <v>0.50708733424782815</v>
      </c>
    </row>
    <row r="1527" spans="1:2">
      <c r="A1527">
        <v>1526</v>
      </c>
      <c r="B1527" s="119">
        <v>0.8404206675811613</v>
      </c>
    </row>
    <row r="1528" spans="1:2">
      <c r="A1528">
        <v>1527</v>
      </c>
      <c r="B1528" s="119">
        <v>0.28486511202560583</v>
      </c>
    </row>
    <row r="1529" spans="1:2">
      <c r="A1529">
        <v>1528</v>
      </c>
      <c r="B1529" s="119">
        <v>0.6181984453589392</v>
      </c>
    </row>
    <row r="1530" spans="1:2">
      <c r="A1530">
        <v>1529</v>
      </c>
      <c r="B1530" s="119">
        <v>0.95153177869227246</v>
      </c>
    </row>
    <row r="1531" spans="1:2">
      <c r="A1531">
        <v>1530</v>
      </c>
      <c r="B1531" s="119">
        <v>9.9679926840420666E-2</v>
      </c>
    </row>
    <row r="1532" spans="1:2">
      <c r="A1532">
        <v>1531</v>
      </c>
      <c r="B1532" s="119">
        <v>0.43301326017375397</v>
      </c>
    </row>
    <row r="1533" spans="1:2">
      <c r="A1533">
        <v>1532</v>
      </c>
      <c r="B1533" s="119">
        <v>0.76634659350708734</v>
      </c>
    </row>
    <row r="1534" spans="1:2">
      <c r="A1534">
        <v>1533</v>
      </c>
      <c r="B1534" s="119">
        <v>0.21079103795153176</v>
      </c>
    </row>
    <row r="1535" spans="1:2">
      <c r="A1535">
        <v>1534</v>
      </c>
      <c r="B1535" s="119">
        <v>0.54412437128486513</v>
      </c>
    </row>
    <row r="1536" spans="1:2">
      <c r="A1536">
        <v>1535</v>
      </c>
      <c r="B1536" s="119">
        <v>0.87745770461819839</v>
      </c>
    </row>
    <row r="1537" spans="1:2">
      <c r="A1537">
        <v>1536</v>
      </c>
      <c r="B1537" s="119">
        <v>0.32190214906264286</v>
      </c>
    </row>
    <row r="1538" spans="1:2">
      <c r="A1538">
        <v>1537</v>
      </c>
      <c r="B1538" s="119">
        <v>0.65523548239597629</v>
      </c>
    </row>
    <row r="1539" spans="1:2">
      <c r="A1539">
        <v>1538</v>
      </c>
      <c r="B1539" s="119">
        <v>0.98856881572930955</v>
      </c>
    </row>
    <row r="1540" spans="1:2">
      <c r="A1540">
        <v>1539</v>
      </c>
      <c r="B1540" s="119">
        <v>5.0297210791037956E-3</v>
      </c>
    </row>
    <row r="1541" spans="1:2">
      <c r="A1541">
        <v>1540</v>
      </c>
      <c r="B1541" s="119">
        <v>0.33836305441243708</v>
      </c>
    </row>
    <row r="1542" spans="1:2">
      <c r="A1542">
        <v>1541</v>
      </c>
      <c r="B1542" s="119">
        <v>0.67169638774577045</v>
      </c>
    </row>
    <row r="1543" spans="1:2">
      <c r="A1543">
        <v>1542</v>
      </c>
      <c r="B1543" s="119">
        <v>0.1161408321902149</v>
      </c>
    </row>
    <row r="1544" spans="1:2">
      <c r="A1544">
        <v>1543</v>
      </c>
      <c r="B1544" s="119">
        <v>0.44947416552354819</v>
      </c>
    </row>
    <row r="1545" spans="1:2">
      <c r="A1545">
        <v>1544</v>
      </c>
      <c r="B1545" s="119">
        <v>0.7828074988568815</v>
      </c>
    </row>
    <row r="1546" spans="1:2">
      <c r="A1546">
        <v>1545</v>
      </c>
      <c r="B1546" s="119">
        <v>0.227251943301326</v>
      </c>
    </row>
    <row r="1547" spans="1:2">
      <c r="A1547">
        <v>1546</v>
      </c>
      <c r="B1547" s="119">
        <v>0.5605852766346594</v>
      </c>
    </row>
    <row r="1548" spans="1:2">
      <c r="A1548">
        <v>1547</v>
      </c>
      <c r="B1548" s="119">
        <v>0.89391860996799266</v>
      </c>
    </row>
    <row r="1549" spans="1:2">
      <c r="A1549">
        <v>1548</v>
      </c>
      <c r="B1549" s="119">
        <v>4.2066758116140829E-2</v>
      </c>
    </row>
    <row r="1550" spans="1:2">
      <c r="A1550">
        <v>1549</v>
      </c>
      <c r="B1550" s="119">
        <v>0.37540009144947412</v>
      </c>
    </row>
    <row r="1551" spans="1:2">
      <c r="A1551">
        <v>1550</v>
      </c>
      <c r="B1551" s="119">
        <v>0.70873342478280754</v>
      </c>
    </row>
    <row r="1552" spans="1:2">
      <c r="A1552">
        <v>1551</v>
      </c>
      <c r="B1552" s="119">
        <v>0.15317786922725193</v>
      </c>
    </row>
    <row r="1553" spans="1:2">
      <c r="A1553">
        <v>1552</v>
      </c>
      <c r="B1553" s="119">
        <v>0.48651120256058522</v>
      </c>
    </row>
    <row r="1554" spans="1:2">
      <c r="A1554">
        <v>1553</v>
      </c>
      <c r="B1554" s="119">
        <v>0.81984453589391848</v>
      </c>
    </row>
    <row r="1555" spans="1:2">
      <c r="A1555">
        <v>1554</v>
      </c>
      <c r="B1555" s="119">
        <v>0.26428898033836301</v>
      </c>
    </row>
    <row r="1556" spans="1:2">
      <c r="A1556">
        <v>1555</v>
      </c>
      <c r="B1556" s="119">
        <v>0.59762231367169638</v>
      </c>
    </row>
    <row r="1557" spans="1:2">
      <c r="A1557">
        <v>1556</v>
      </c>
      <c r="B1557" s="119">
        <v>0.93095564700502964</v>
      </c>
    </row>
    <row r="1558" spans="1:2">
      <c r="A1558">
        <v>1557</v>
      </c>
      <c r="B1558" s="119">
        <v>7.9103795153177864E-2</v>
      </c>
    </row>
    <row r="1559" spans="1:2">
      <c r="A1559">
        <v>1558</v>
      </c>
      <c r="B1559" s="119">
        <v>0.41243712848651115</v>
      </c>
    </row>
    <row r="1560" spans="1:2">
      <c r="A1560">
        <v>1559</v>
      </c>
      <c r="B1560" s="119">
        <v>0.74577046181984452</v>
      </c>
    </row>
    <row r="1561" spans="1:2">
      <c r="A1561">
        <v>1560</v>
      </c>
      <c r="B1561" s="119">
        <v>0.19021490626428897</v>
      </c>
    </row>
    <row r="1562" spans="1:2">
      <c r="A1562">
        <v>1561</v>
      </c>
      <c r="B1562" s="119">
        <v>0.52354823959762231</v>
      </c>
    </row>
    <row r="1563" spans="1:2">
      <c r="A1563">
        <v>1562</v>
      </c>
      <c r="B1563" s="119">
        <v>0.85688157293095557</v>
      </c>
    </row>
    <row r="1564" spans="1:2">
      <c r="A1564">
        <v>1563</v>
      </c>
      <c r="B1564" s="119">
        <v>0.30132601737540005</v>
      </c>
    </row>
    <row r="1565" spans="1:2">
      <c r="A1565">
        <v>1564</v>
      </c>
      <c r="B1565" s="119">
        <v>0.63465935070873347</v>
      </c>
    </row>
    <row r="1566" spans="1:2">
      <c r="A1566">
        <v>1565</v>
      </c>
      <c r="B1566" s="119">
        <v>0.96799268404206673</v>
      </c>
    </row>
    <row r="1567" spans="1:2">
      <c r="A1567">
        <v>1566</v>
      </c>
      <c r="B1567" s="119">
        <v>1.7375400091449476E-2</v>
      </c>
    </row>
    <row r="1568" spans="1:2">
      <c r="A1568">
        <v>1567</v>
      </c>
      <c r="B1568" s="119">
        <v>0.35070873342478276</v>
      </c>
    </row>
    <row r="1569" spans="1:2">
      <c r="A1569">
        <v>1568</v>
      </c>
      <c r="B1569" s="119">
        <v>0.68404206675811607</v>
      </c>
    </row>
    <row r="1570" spans="1:2">
      <c r="A1570">
        <v>1569</v>
      </c>
      <c r="B1570" s="119">
        <v>0.12848651120256058</v>
      </c>
    </row>
    <row r="1571" spans="1:2">
      <c r="A1571">
        <v>1570</v>
      </c>
      <c r="B1571" s="119">
        <v>0.46181984453589386</v>
      </c>
    </row>
    <row r="1572" spans="1:2">
      <c r="A1572">
        <v>1571</v>
      </c>
      <c r="B1572" s="119">
        <v>0.79515317786922723</v>
      </c>
    </row>
    <row r="1573" spans="1:2">
      <c r="A1573">
        <v>1572</v>
      </c>
      <c r="B1573" s="119">
        <v>0.23959762231367168</v>
      </c>
    </row>
    <row r="1574" spans="1:2">
      <c r="A1574">
        <v>1573</v>
      </c>
      <c r="B1574" s="119">
        <v>0.57293095564700514</v>
      </c>
    </row>
    <row r="1575" spans="1:2">
      <c r="A1575">
        <v>1574</v>
      </c>
      <c r="B1575" s="119">
        <v>0.90626428898033839</v>
      </c>
    </row>
    <row r="1576" spans="1:2">
      <c r="A1576">
        <v>1575</v>
      </c>
      <c r="B1576" s="119">
        <v>5.4412437128486507E-2</v>
      </c>
    </row>
    <row r="1577" spans="1:2">
      <c r="A1577">
        <v>1576</v>
      </c>
      <c r="B1577" s="119">
        <v>0.38774577046181979</v>
      </c>
    </row>
    <row r="1578" spans="1:2">
      <c r="A1578">
        <v>1577</v>
      </c>
      <c r="B1578" s="119">
        <v>0.72107910379515328</v>
      </c>
    </row>
    <row r="1579" spans="1:2">
      <c r="A1579">
        <v>1578</v>
      </c>
      <c r="B1579" s="119">
        <v>0.16552354823959761</v>
      </c>
    </row>
    <row r="1580" spans="1:2">
      <c r="A1580">
        <v>1579</v>
      </c>
      <c r="B1580" s="119">
        <v>0.4988568815729309</v>
      </c>
    </row>
    <row r="1581" spans="1:2">
      <c r="A1581">
        <v>1580</v>
      </c>
      <c r="B1581" s="119">
        <v>0.83219021490626421</v>
      </c>
    </row>
    <row r="1582" spans="1:2">
      <c r="A1582">
        <v>1581</v>
      </c>
      <c r="B1582" s="119">
        <v>0.27663465935070869</v>
      </c>
    </row>
    <row r="1583" spans="1:2">
      <c r="A1583">
        <v>1582</v>
      </c>
      <c r="B1583" s="119">
        <v>0.60996799268404212</v>
      </c>
    </row>
    <row r="1584" spans="1:2">
      <c r="A1584">
        <v>1583</v>
      </c>
      <c r="B1584" s="119">
        <v>0.94330132601737537</v>
      </c>
    </row>
    <row r="1585" spans="1:2">
      <c r="A1585">
        <v>1584</v>
      </c>
      <c r="B1585" s="119">
        <v>9.1449474165523542E-2</v>
      </c>
    </row>
    <row r="1586" spans="1:2">
      <c r="A1586">
        <v>1585</v>
      </c>
      <c r="B1586" s="119">
        <v>0.42478280749885683</v>
      </c>
    </row>
    <row r="1587" spans="1:2">
      <c r="A1587">
        <v>1586</v>
      </c>
      <c r="B1587" s="119">
        <v>0.75811614083219026</v>
      </c>
    </row>
    <row r="1588" spans="1:2">
      <c r="A1588">
        <v>1587</v>
      </c>
      <c r="B1588" s="119">
        <v>0.20256058527663465</v>
      </c>
    </row>
    <row r="1589" spans="1:2">
      <c r="A1589">
        <v>1588</v>
      </c>
      <c r="B1589" s="119">
        <v>0.53589391860996793</v>
      </c>
    </row>
    <row r="1590" spans="1:2">
      <c r="A1590">
        <v>1589</v>
      </c>
      <c r="B1590" s="119">
        <v>0.86922725194330119</v>
      </c>
    </row>
    <row r="1591" spans="1:2">
      <c r="A1591">
        <v>1590</v>
      </c>
      <c r="B1591" s="119">
        <v>0.31367169638774572</v>
      </c>
    </row>
    <row r="1592" spans="1:2">
      <c r="A1592">
        <v>1591</v>
      </c>
      <c r="B1592" s="119">
        <v>0.64700502972107909</v>
      </c>
    </row>
    <row r="1593" spans="1:2">
      <c r="A1593">
        <v>1592</v>
      </c>
      <c r="B1593" s="119">
        <v>0.98033836305441235</v>
      </c>
    </row>
    <row r="1594" spans="1:2">
      <c r="A1594">
        <v>1593</v>
      </c>
      <c r="B1594" s="119">
        <v>2.9721079103795154E-2</v>
      </c>
    </row>
    <row r="1595" spans="1:2">
      <c r="A1595">
        <v>1594</v>
      </c>
      <c r="B1595" s="119">
        <v>0.36305441243712844</v>
      </c>
    </row>
    <row r="1596" spans="1:2">
      <c r="A1596">
        <v>1595</v>
      </c>
      <c r="B1596" s="119">
        <v>0.69638774577046181</v>
      </c>
    </row>
    <row r="1597" spans="1:2">
      <c r="A1597">
        <v>1596</v>
      </c>
      <c r="B1597" s="119">
        <v>0.14083219021490626</v>
      </c>
    </row>
    <row r="1598" spans="1:2">
      <c r="A1598">
        <v>1597</v>
      </c>
      <c r="B1598" s="119">
        <v>0.47416552354823954</v>
      </c>
    </row>
    <row r="1599" spans="1:2">
      <c r="A1599">
        <v>1598</v>
      </c>
      <c r="B1599" s="119">
        <v>0.80749885688157286</v>
      </c>
    </row>
    <row r="1600" spans="1:2">
      <c r="A1600">
        <v>1599</v>
      </c>
      <c r="B1600" s="119">
        <v>0.25194330132601733</v>
      </c>
    </row>
    <row r="1601" spans="1:2">
      <c r="A1601">
        <v>1600</v>
      </c>
      <c r="B1601" s="119">
        <v>0.58527663465935076</v>
      </c>
    </row>
    <row r="1602" spans="1:2">
      <c r="A1602">
        <v>1601</v>
      </c>
      <c r="B1602" s="119">
        <v>0.91860996799268402</v>
      </c>
    </row>
    <row r="1603" spans="1:2">
      <c r="A1603">
        <v>1602</v>
      </c>
      <c r="B1603" s="119">
        <v>6.6758116140832185E-2</v>
      </c>
    </row>
    <row r="1604" spans="1:2">
      <c r="A1604">
        <v>1603</v>
      </c>
      <c r="B1604" s="119">
        <v>0.40009144947416547</v>
      </c>
    </row>
    <row r="1605" spans="1:2">
      <c r="A1605">
        <v>1604</v>
      </c>
      <c r="B1605" s="119">
        <v>0.7334247828074989</v>
      </c>
    </row>
    <row r="1606" spans="1:2">
      <c r="A1606">
        <v>1605</v>
      </c>
      <c r="B1606" s="119">
        <v>0.17786922725194329</v>
      </c>
    </row>
    <row r="1607" spans="1:2">
      <c r="A1607">
        <v>1606</v>
      </c>
      <c r="B1607" s="119">
        <v>0.51120256058527669</v>
      </c>
    </row>
    <row r="1608" spans="1:2">
      <c r="A1608">
        <v>1607</v>
      </c>
      <c r="B1608" s="119">
        <v>0.84453589391860984</v>
      </c>
    </row>
    <row r="1609" spans="1:2">
      <c r="A1609">
        <v>1608</v>
      </c>
      <c r="B1609" s="119">
        <v>0.28898033836305437</v>
      </c>
    </row>
    <row r="1610" spans="1:2">
      <c r="A1610">
        <v>1609</v>
      </c>
      <c r="B1610" s="119">
        <v>0.62231367169638774</v>
      </c>
    </row>
    <row r="1611" spans="1:2">
      <c r="A1611">
        <v>1610</v>
      </c>
      <c r="B1611" s="119">
        <v>0.955647005029721</v>
      </c>
    </row>
    <row r="1612" spans="1:2">
      <c r="A1612">
        <v>1611</v>
      </c>
      <c r="B1612" s="119">
        <v>0.10379515317786922</v>
      </c>
    </row>
    <row r="1613" spans="1:2">
      <c r="A1613">
        <v>1612</v>
      </c>
      <c r="B1613" s="119">
        <v>0.43712848651120251</v>
      </c>
    </row>
    <row r="1614" spans="1:2">
      <c r="A1614">
        <v>1613</v>
      </c>
      <c r="B1614" s="119">
        <v>0.77046181984453588</v>
      </c>
    </row>
    <row r="1615" spans="1:2">
      <c r="A1615">
        <v>1614</v>
      </c>
      <c r="B1615" s="119">
        <v>0.21490626428898033</v>
      </c>
    </row>
    <row r="1616" spans="1:2">
      <c r="A1616">
        <v>1615</v>
      </c>
      <c r="B1616" s="119">
        <v>0.54823959762231367</v>
      </c>
    </row>
    <row r="1617" spans="1:2">
      <c r="A1617">
        <v>1616</v>
      </c>
      <c r="B1617" s="119">
        <v>0.88157293095564693</v>
      </c>
    </row>
    <row r="1618" spans="1:2">
      <c r="A1618">
        <v>1617</v>
      </c>
      <c r="B1618" s="119">
        <v>0.3260173754000914</v>
      </c>
    </row>
    <row r="1619" spans="1:2">
      <c r="A1619">
        <v>1618</v>
      </c>
      <c r="B1619" s="119">
        <v>0.65935070873342483</v>
      </c>
    </row>
    <row r="1620" spans="1:2">
      <c r="A1620">
        <v>1619</v>
      </c>
      <c r="B1620" s="119">
        <v>0.99268404206675809</v>
      </c>
    </row>
    <row r="1621" spans="1:2">
      <c r="A1621">
        <v>1620</v>
      </c>
      <c r="B1621" s="119">
        <v>9.1449474165523556E-3</v>
      </c>
    </row>
    <row r="1622" spans="1:2">
      <c r="A1622">
        <v>1621</v>
      </c>
      <c r="B1622" s="119">
        <v>0.34247828074988568</v>
      </c>
    </row>
    <row r="1623" spans="1:2">
      <c r="A1623">
        <v>1622</v>
      </c>
      <c r="B1623" s="119">
        <v>0.67581161408321899</v>
      </c>
    </row>
    <row r="1624" spans="1:2">
      <c r="A1624">
        <v>1623</v>
      </c>
      <c r="B1624" s="119">
        <v>0.12025605852766347</v>
      </c>
    </row>
    <row r="1625" spans="1:2">
      <c r="A1625">
        <v>1624</v>
      </c>
      <c r="B1625" s="119">
        <v>0.45358939186099678</v>
      </c>
    </row>
    <row r="1626" spans="1:2">
      <c r="A1626">
        <v>1625</v>
      </c>
      <c r="B1626" s="119">
        <v>0.78692272519433004</v>
      </c>
    </row>
    <row r="1627" spans="1:2">
      <c r="A1627">
        <v>1626</v>
      </c>
      <c r="B1627" s="119">
        <v>0.23136716963877454</v>
      </c>
    </row>
    <row r="1628" spans="1:2">
      <c r="A1628">
        <v>1627</v>
      </c>
      <c r="B1628" s="119">
        <v>0.56470050297210794</v>
      </c>
    </row>
    <row r="1629" spans="1:2">
      <c r="A1629">
        <v>1628</v>
      </c>
      <c r="B1629" s="119">
        <v>0.8980338363054412</v>
      </c>
    </row>
    <row r="1630" spans="1:2">
      <c r="A1630">
        <v>1629</v>
      </c>
      <c r="B1630" s="119">
        <v>4.6181984453589391E-2</v>
      </c>
    </row>
    <row r="1631" spans="1:2">
      <c r="A1631">
        <v>1630</v>
      </c>
      <c r="B1631" s="119">
        <v>0.37951531778692271</v>
      </c>
    </row>
    <row r="1632" spans="1:2">
      <c r="A1632">
        <v>1631</v>
      </c>
      <c r="B1632" s="119">
        <v>0.71284865112025608</v>
      </c>
    </row>
    <row r="1633" spans="1:2">
      <c r="A1633">
        <v>1632</v>
      </c>
      <c r="B1633" s="119">
        <v>0.15729309556470047</v>
      </c>
    </row>
    <row r="1634" spans="1:2">
      <c r="A1634">
        <v>1633</v>
      </c>
      <c r="B1634" s="119">
        <v>0.49062642889803382</v>
      </c>
    </row>
    <row r="1635" spans="1:2">
      <c r="A1635">
        <v>1634</v>
      </c>
      <c r="B1635" s="119">
        <v>0.82395976223136702</v>
      </c>
    </row>
    <row r="1636" spans="1:2">
      <c r="A1636">
        <v>1635</v>
      </c>
      <c r="B1636" s="119">
        <v>0.26840420667581161</v>
      </c>
    </row>
    <row r="1637" spans="1:2">
      <c r="A1637">
        <v>1636</v>
      </c>
      <c r="B1637" s="119">
        <v>0.60173754000914492</v>
      </c>
    </row>
    <row r="1638" spans="1:2">
      <c r="A1638">
        <v>1637</v>
      </c>
      <c r="B1638" s="119">
        <v>0.93507087334247818</v>
      </c>
    </row>
    <row r="1639" spans="1:2">
      <c r="A1639">
        <v>1638</v>
      </c>
      <c r="B1639" s="119">
        <v>8.3219021490626433E-2</v>
      </c>
    </row>
    <row r="1640" spans="1:2">
      <c r="A1640">
        <v>1639</v>
      </c>
      <c r="B1640" s="119">
        <v>0.41655235482395975</v>
      </c>
    </row>
    <row r="1641" spans="1:2">
      <c r="A1641">
        <v>1640</v>
      </c>
      <c r="B1641" s="119">
        <v>0.74988568815729306</v>
      </c>
    </row>
    <row r="1642" spans="1:2">
      <c r="A1642">
        <v>1641</v>
      </c>
      <c r="B1642" s="119">
        <v>0.19433013260173751</v>
      </c>
    </row>
    <row r="1643" spans="1:2">
      <c r="A1643">
        <v>1642</v>
      </c>
      <c r="B1643" s="119">
        <v>0.52766346593507085</v>
      </c>
    </row>
    <row r="1644" spans="1:2">
      <c r="A1644">
        <v>1643</v>
      </c>
      <c r="B1644" s="119">
        <v>0.86099679926840411</v>
      </c>
    </row>
    <row r="1645" spans="1:2">
      <c r="A1645">
        <v>1644</v>
      </c>
      <c r="B1645" s="119">
        <v>0.30544124371284864</v>
      </c>
    </row>
    <row r="1646" spans="1:2">
      <c r="A1646">
        <v>1645</v>
      </c>
      <c r="B1646" s="119">
        <v>0.63877457704618201</v>
      </c>
    </row>
    <row r="1647" spans="1:2">
      <c r="A1647">
        <v>1646</v>
      </c>
      <c r="B1647" s="119">
        <v>0.97210791037951527</v>
      </c>
    </row>
    <row r="1648" spans="1:2">
      <c r="A1648">
        <v>1647</v>
      </c>
      <c r="B1648" s="119">
        <v>2.1490626428898034E-2</v>
      </c>
    </row>
    <row r="1649" spans="1:2">
      <c r="A1649">
        <v>1648</v>
      </c>
      <c r="B1649" s="119">
        <v>0.35482395976223136</v>
      </c>
    </row>
    <row r="1650" spans="1:2">
      <c r="A1650">
        <v>1649</v>
      </c>
      <c r="B1650" s="119">
        <v>0.68815729309556462</v>
      </c>
    </row>
    <row r="1651" spans="1:2">
      <c r="A1651">
        <v>1650</v>
      </c>
      <c r="B1651" s="119">
        <v>0.13260173754000912</v>
      </c>
    </row>
    <row r="1652" spans="1:2">
      <c r="A1652">
        <v>1651</v>
      </c>
      <c r="B1652" s="119">
        <v>0.46593507087334246</v>
      </c>
    </row>
    <row r="1653" spans="1:2">
      <c r="A1653">
        <v>1652</v>
      </c>
      <c r="B1653" s="119">
        <v>0.79926840420667578</v>
      </c>
    </row>
    <row r="1654" spans="1:2">
      <c r="A1654">
        <v>1653</v>
      </c>
      <c r="B1654" s="119">
        <v>0.24371284865112022</v>
      </c>
    </row>
    <row r="1655" spans="1:2">
      <c r="A1655">
        <v>1654</v>
      </c>
      <c r="B1655" s="119">
        <v>0.57704618198445368</v>
      </c>
    </row>
    <row r="1656" spans="1:2">
      <c r="A1656">
        <v>1655</v>
      </c>
      <c r="B1656" s="119">
        <v>0.91037951531778694</v>
      </c>
    </row>
    <row r="1657" spans="1:2">
      <c r="A1657">
        <v>1656</v>
      </c>
      <c r="B1657" s="119">
        <v>5.8527663465935069E-2</v>
      </c>
    </row>
    <row r="1658" spans="1:2">
      <c r="A1658">
        <v>1657</v>
      </c>
      <c r="B1658" s="119">
        <v>0.39186099679926839</v>
      </c>
    </row>
    <row r="1659" spans="1:2">
      <c r="A1659">
        <v>1658</v>
      </c>
      <c r="B1659" s="119">
        <v>0.72519433013260182</v>
      </c>
    </row>
    <row r="1660" spans="1:2">
      <c r="A1660">
        <v>1659</v>
      </c>
      <c r="B1660" s="119">
        <v>0.16963877457704615</v>
      </c>
    </row>
    <row r="1661" spans="1:2">
      <c r="A1661">
        <v>1660</v>
      </c>
      <c r="B1661" s="119">
        <v>0.5029721079103795</v>
      </c>
    </row>
    <row r="1662" spans="1:2">
      <c r="A1662">
        <v>1661</v>
      </c>
      <c r="B1662" s="119">
        <v>0.83630544124371275</v>
      </c>
    </row>
    <row r="1663" spans="1:2">
      <c r="A1663">
        <v>1662</v>
      </c>
      <c r="B1663" s="119">
        <v>0.28074988568815729</v>
      </c>
    </row>
    <row r="1664" spans="1:2">
      <c r="A1664">
        <v>1663</v>
      </c>
      <c r="B1664" s="119">
        <v>0.61408321902149066</v>
      </c>
    </row>
    <row r="1665" spans="1:2">
      <c r="A1665">
        <v>1664</v>
      </c>
      <c r="B1665" s="119">
        <v>0.94741655235482392</v>
      </c>
    </row>
    <row r="1666" spans="1:2">
      <c r="A1666">
        <v>1665</v>
      </c>
      <c r="B1666" s="119">
        <v>9.5564700502972111E-2</v>
      </c>
    </row>
    <row r="1667" spans="1:2">
      <c r="A1667">
        <v>1666</v>
      </c>
      <c r="B1667" s="119">
        <v>0.42889803383630543</v>
      </c>
    </row>
    <row r="1668" spans="1:2">
      <c r="A1668">
        <v>1667</v>
      </c>
      <c r="B1668" s="119">
        <v>0.7622313671696388</v>
      </c>
    </row>
    <row r="1669" spans="1:2">
      <c r="A1669">
        <v>1668</v>
      </c>
      <c r="B1669" s="119">
        <v>0.20667581161408319</v>
      </c>
    </row>
    <row r="1670" spans="1:2">
      <c r="A1670">
        <v>1669</v>
      </c>
      <c r="B1670" s="119">
        <v>0.54000914494741648</v>
      </c>
    </row>
    <row r="1671" spans="1:2">
      <c r="A1671">
        <v>1670</v>
      </c>
      <c r="B1671" s="119">
        <v>0.87334247828074973</v>
      </c>
    </row>
    <row r="1672" spans="1:2">
      <c r="A1672">
        <v>1671</v>
      </c>
      <c r="B1672" s="119">
        <v>0.31778692272519432</v>
      </c>
    </row>
    <row r="1673" spans="1:2">
      <c r="A1673">
        <v>1672</v>
      </c>
      <c r="B1673" s="119">
        <v>0.65112025605852764</v>
      </c>
    </row>
    <row r="1674" spans="1:2">
      <c r="A1674">
        <v>1673</v>
      </c>
      <c r="B1674" s="119">
        <v>0.98445358939186089</v>
      </c>
    </row>
    <row r="1675" spans="1:2">
      <c r="A1675">
        <v>1674</v>
      </c>
      <c r="B1675" s="119">
        <v>3.3836305441243712E-2</v>
      </c>
    </row>
    <row r="1676" spans="1:2">
      <c r="A1676">
        <v>1675</v>
      </c>
      <c r="B1676" s="119">
        <v>0.36716963877457703</v>
      </c>
    </row>
    <row r="1677" spans="1:2">
      <c r="A1677">
        <v>1676</v>
      </c>
      <c r="B1677" s="119">
        <v>0.70050297210791035</v>
      </c>
    </row>
    <row r="1678" spans="1:2">
      <c r="A1678">
        <v>1677</v>
      </c>
      <c r="B1678" s="119">
        <v>0.1449474165523548</v>
      </c>
    </row>
    <row r="1679" spans="1:2">
      <c r="A1679">
        <v>1678</v>
      </c>
      <c r="B1679" s="119">
        <v>0.47828074988568814</v>
      </c>
    </row>
    <row r="1680" spans="1:2">
      <c r="A1680">
        <v>1679</v>
      </c>
      <c r="B1680" s="119">
        <v>0.8116140832190214</v>
      </c>
    </row>
    <row r="1681" spans="1:2">
      <c r="A1681">
        <v>1680</v>
      </c>
      <c r="B1681" s="119">
        <v>0.25605852766346593</v>
      </c>
    </row>
    <row r="1682" spans="1:2">
      <c r="A1682">
        <v>1681</v>
      </c>
      <c r="B1682" s="119">
        <v>0.5893918609967993</v>
      </c>
    </row>
    <row r="1683" spans="1:2">
      <c r="A1683">
        <v>1682</v>
      </c>
      <c r="B1683" s="119">
        <v>0.92272519433013256</v>
      </c>
    </row>
    <row r="1684" spans="1:2">
      <c r="A1684">
        <v>1683</v>
      </c>
      <c r="B1684" s="119">
        <v>7.0873342478280754E-2</v>
      </c>
    </row>
    <row r="1685" spans="1:2">
      <c r="A1685">
        <v>1684</v>
      </c>
      <c r="B1685" s="119">
        <v>0.40420667581161407</v>
      </c>
    </row>
    <row r="1686" spans="1:2">
      <c r="A1686">
        <v>1685</v>
      </c>
      <c r="B1686" s="119">
        <v>0.73754000914494744</v>
      </c>
    </row>
    <row r="1687" spans="1:2">
      <c r="A1687">
        <v>1686</v>
      </c>
      <c r="B1687" s="119">
        <v>0.18198445358939183</v>
      </c>
    </row>
    <row r="1688" spans="1:2">
      <c r="A1688">
        <v>1687</v>
      </c>
      <c r="B1688" s="119">
        <v>0.51531778692272523</v>
      </c>
    </row>
    <row r="1689" spans="1:2">
      <c r="A1689">
        <v>1688</v>
      </c>
      <c r="B1689" s="119">
        <v>0.84865112025605838</v>
      </c>
    </row>
    <row r="1690" spans="1:2">
      <c r="A1690">
        <v>1689</v>
      </c>
      <c r="B1690" s="119">
        <v>0.29309556470050296</v>
      </c>
    </row>
    <row r="1691" spans="1:2">
      <c r="A1691">
        <v>1690</v>
      </c>
      <c r="B1691" s="119">
        <v>0.62642889803383628</v>
      </c>
    </row>
    <row r="1692" spans="1:2">
      <c r="A1692">
        <v>1691</v>
      </c>
      <c r="B1692" s="119">
        <v>0.95976223136716954</v>
      </c>
    </row>
    <row r="1693" spans="1:2">
      <c r="A1693">
        <v>1692</v>
      </c>
      <c r="B1693" s="119">
        <v>0.10791037951531779</v>
      </c>
    </row>
    <row r="1694" spans="1:2">
      <c r="A1694">
        <v>1693</v>
      </c>
      <c r="B1694" s="119">
        <v>0.4412437128486511</v>
      </c>
    </row>
    <row r="1695" spans="1:2">
      <c r="A1695">
        <v>1694</v>
      </c>
      <c r="B1695" s="119">
        <v>0.77457704618198442</v>
      </c>
    </row>
    <row r="1696" spans="1:2">
      <c r="A1696">
        <v>1695</v>
      </c>
      <c r="B1696" s="119">
        <v>0.21902149062642887</v>
      </c>
    </row>
    <row r="1697" spans="1:2">
      <c r="A1697">
        <v>1696</v>
      </c>
      <c r="B1697" s="119">
        <v>0.55235482395976221</v>
      </c>
    </row>
    <row r="1698" spans="1:2">
      <c r="A1698">
        <v>1697</v>
      </c>
      <c r="B1698" s="119">
        <v>0.88568815729309547</v>
      </c>
    </row>
    <row r="1699" spans="1:2">
      <c r="A1699">
        <v>1698</v>
      </c>
      <c r="B1699" s="119">
        <v>0.33013260173754</v>
      </c>
    </row>
    <row r="1700" spans="1:2">
      <c r="A1700">
        <v>1699</v>
      </c>
      <c r="B1700" s="119">
        <v>0.66346593507087337</v>
      </c>
    </row>
    <row r="1701" spans="1:2">
      <c r="A1701">
        <v>1700</v>
      </c>
      <c r="B1701" s="119">
        <v>0.99679926840420663</v>
      </c>
    </row>
    <row r="1702" spans="1:2">
      <c r="A1702">
        <v>1701</v>
      </c>
      <c r="B1702" s="119">
        <v>2.2862368541380885E-3</v>
      </c>
    </row>
    <row r="1703" spans="1:2">
      <c r="A1703">
        <v>1702</v>
      </c>
      <c r="B1703" s="119">
        <v>0.33561957018747141</v>
      </c>
    </row>
    <row r="1704" spans="1:2">
      <c r="A1704">
        <v>1703</v>
      </c>
      <c r="B1704" s="119">
        <v>0.66895290352080472</v>
      </c>
    </row>
    <row r="1705" spans="1:2">
      <c r="A1705">
        <v>1704</v>
      </c>
      <c r="B1705" s="119">
        <v>0.1133973479652492</v>
      </c>
    </row>
    <row r="1706" spans="1:2">
      <c r="A1706">
        <v>1705</v>
      </c>
      <c r="B1706" s="119">
        <v>0.44673068129858251</v>
      </c>
    </row>
    <row r="1707" spans="1:2">
      <c r="A1707">
        <v>1706</v>
      </c>
      <c r="B1707" s="119">
        <v>0.78006401463191577</v>
      </c>
    </row>
    <row r="1708" spans="1:2">
      <c r="A1708">
        <v>1707</v>
      </c>
      <c r="B1708" s="119">
        <v>0.2245084590763603</v>
      </c>
    </row>
    <row r="1709" spans="1:2">
      <c r="A1709">
        <v>1708</v>
      </c>
      <c r="B1709" s="119">
        <v>0.55784179240969367</v>
      </c>
    </row>
    <row r="1710" spans="1:2">
      <c r="A1710">
        <v>1709</v>
      </c>
      <c r="B1710" s="119">
        <v>0.89117512574302693</v>
      </c>
    </row>
    <row r="1711" spans="1:2">
      <c r="A1711">
        <v>1710</v>
      </c>
      <c r="B1711" s="119">
        <v>3.9323273891175119E-2</v>
      </c>
    </row>
    <row r="1712" spans="1:2">
      <c r="A1712">
        <v>1711</v>
      </c>
      <c r="B1712" s="119">
        <v>0.37265660722450844</v>
      </c>
    </row>
    <row r="1713" spans="1:2">
      <c r="A1713">
        <v>1712</v>
      </c>
      <c r="B1713" s="119">
        <v>0.70598994055784181</v>
      </c>
    </row>
    <row r="1714" spans="1:2">
      <c r="A1714">
        <v>1713</v>
      </c>
      <c r="B1714" s="119">
        <v>0.15043438500228623</v>
      </c>
    </row>
    <row r="1715" spans="1:2">
      <c r="A1715">
        <v>1714</v>
      </c>
      <c r="B1715" s="119">
        <v>0.48376771833561955</v>
      </c>
    </row>
    <row r="1716" spans="1:2">
      <c r="A1716">
        <v>1715</v>
      </c>
      <c r="B1716" s="119">
        <v>0.81710105166895275</v>
      </c>
    </row>
    <row r="1717" spans="1:2">
      <c r="A1717">
        <v>1716</v>
      </c>
      <c r="B1717" s="119">
        <v>0.26154549611339734</v>
      </c>
    </row>
    <row r="1718" spans="1:2">
      <c r="A1718">
        <v>1717</v>
      </c>
      <c r="B1718" s="119">
        <v>0.59487882944673065</v>
      </c>
    </row>
    <row r="1719" spans="1:2">
      <c r="A1719">
        <v>1718</v>
      </c>
      <c r="B1719" s="119">
        <v>0.92821216278006391</v>
      </c>
    </row>
    <row r="1720" spans="1:2">
      <c r="A1720">
        <v>1719</v>
      </c>
      <c r="B1720" s="119">
        <v>7.6360310928212161E-2</v>
      </c>
    </row>
    <row r="1721" spans="1:2">
      <c r="A1721">
        <v>1720</v>
      </c>
      <c r="B1721" s="119">
        <v>0.40969364426154548</v>
      </c>
    </row>
    <row r="1722" spans="1:2">
      <c r="A1722">
        <v>1721</v>
      </c>
      <c r="B1722" s="119">
        <v>0.74302697759487879</v>
      </c>
    </row>
    <row r="1723" spans="1:2">
      <c r="A1723">
        <v>1722</v>
      </c>
      <c r="B1723" s="119">
        <v>0.18747142203932327</v>
      </c>
    </row>
    <row r="1724" spans="1:2">
      <c r="A1724">
        <v>1723</v>
      </c>
      <c r="B1724" s="119">
        <v>0.52080475537265658</v>
      </c>
    </row>
    <row r="1725" spans="1:2">
      <c r="A1725">
        <v>1724</v>
      </c>
      <c r="B1725" s="119">
        <v>0.85413808870598984</v>
      </c>
    </row>
    <row r="1726" spans="1:2">
      <c r="A1726">
        <v>1725</v>
      </c>
      <c r="B1726" s="119">
        <v>0.29858253315043437</v>
      </c>
    </row>
    <row r="1727" spans="1:2">
      <c r="A1727">
        <v>1726</v>
      </c>
      <c r="B1727" s="119">
        <v>0.63191586648376774</v>
      </c>
    </row>
    <row r="1728" spans="1:2">
      <c r="A1728">
        <v>1727</v>
      </c>
      <c r="B1728" s="119">
        <v>0.965249199817101</v>
      </c>
    </row>
    <row r="1729" spans="1:2">
      <c r="A1729">
        <v>1728</v>
      </c>
      <c r="B1729" s="119">
        <v>1.4631915866483767E-2</v>
      </c>
    </row>
    <row r="1730" spans="1:2">
      <c r="A1730">
        <v>1729</v>
      </c>
      <c r="B1730" s="119">
        <v>0.34796524919981708</v>
      </c>
    </row>
    <row r="1731" spans="1:2">
      <c r="A1731">
        <v>1730</v>
      </c>
      <c r="B1731" s="119">
        <v>0.68129858253315034</v>
      </c>
    </row>
    <row r="1732" spans="1:2">
      <c r="A1732">
        <v>1731</v>
      </c>
      <c r="B1732" s="119">
        <v>0.12574302697759487</v>
      </c>
    </row>
    <row r="1733" spans="1:2">
      <c r="A1733">
        <v>1732</v>
      </c>
      <c r="B1733" s="119">
        <v>0.45907636031092819</v>
      </c>
    </row>
    <row r="1734" spans="1:2">
      <c r="A1734">
        <v>1733</v>
      </c>
      <c r="B1734" s="119">
        <v>0.7924096936442615</v>
      </c>
    </row>
    <row r="1735" spans="1:2">
      <c r="A1735">
        <v>1734</v>
      </c>
      <c r="B1735" s="119">
        <v>0.23685413808870598</v>
      </c>
    </row>
    <row r="1736" spans="1:2">
      <c r="A1736">
        <v>1735</v>
      </c>
      <c r="B1736" s="119">
        <v>0.5701874714220394</v>
      </c>
    </row>
    <row r="1737" spans="1:2">
      <c r="A1737">
        <v>1736</v>
      </c>
      <c r="B1737" s="119">
        <v>0.90352080475537266</v>
      </c>
    </row>
    <row r="1738" spans="1:2">
      <c r="A1738">
        <v>1737</v>
      </c>
      <c r="B1738" s="119">
        <v>5.1668952903520797E-2</v>
      </c>
    </row>
    <row r="1739" spans="1:2">
      <c r="A1739">
        <v>1738</v>
      </c>
      <c r="B1739" s="119">
        <v>0.38500228623685412</v>
      </c>
    </row>
    <row r="1740" spans="1:2">
      <c r="A1740">
        <v>1739</v>
      </c>
      <c r="B1740" s="119">
        <v>0.71833561957018754</v>
      </c>
    </row>
    <row r="1741" spans="1:2">
      <c r="A1741">
        <v>1740</v>
      </c>
      <c r="B1741" s="119">
        <v>0.16278006401463191</v>
      </c>
    </row>
    <row r="1742" spans="1:2">
      <c r="A1742">
        <v>1741</v>
      </c>
      <c r="B1742" s="119">
        <v>0.49611339734796522</v>
      </c>
    </row>
    <row r="1743" spans="1:2">
      <c r="A1743">
        <v>1742</v>
      </c>
      <c r="B1743" s="119">
        <v>0.82944673068129848</v>
      </c>
    </row>
    <row r="1744" spans="1:2">
      <c r="A1744">
        <v>1743</v>
      </c>
      <c r="B1744" s="119">
        <v>0.27389117512574301</v>
      </c>
    </row>
    <row r="1745" spans="1:2">
      <c r="A1745">
        <v>1744</v>
      </c>
      <c r="B1745" s="119">
        <v>0.60722450845907638</v>
      </c>
    </row>
    <row r="1746" spans="1:2">
      <c r="A1746">
        <v>1745</v>
      </c>
      <c r="B1746" s="119">
        <v>0.94055784179240964</v>
      </c>
    </row>
    <row r="1747" spans="1:2">
      <c r="A1747">
        <v>1746</v>
      </c>
      <c r="B1747" s="119">
        <v>8.8705989940557839E-2</v>
      </c>
    </row>
    <row r="1748" spans="1:2">
      <c r="A1748">
        <v>1747</v>
      </c>
      <c r="B1748" s="119">
        <v>0.42203932327389115</v>
      </c>
    </row>
    <row r="1749" spans="1:2">
      <c r="A1749">
        <v>1748</v>
      </c>
      <c r="B1749" s="119">
        <v>0.75537265660722452</v>
      </c>
    </row>
    <row r="1750" spans="1:2">
      <c r="A1750">
        <v>1749</v>
      </c>
      <c r="B1750" s="119">
        <v>0.19981710105166894</v>
      </c>
    </row>
    <row r="1751" spans="1:2">
      <c r="A1751">
        <v>1750</v>
      </c>
      <c r="B1751" s="119">
        <v>0.5331504343850022</v>
      </c>
    </row>
    <row r="1752" spans="1:2">
      <c r="A1752">
        <v>1751</v>
      </c>
      <c r="B1752" s="119">
        <v>0.86648376771833546</v>
      </c>
    </row>
    <row r="1753" spans="1:2">
      <c r="A1753">
        <v>1752</v>
      </c>
      <c r="B1753" s="119">
        <v>0.31092821216278005</v>
      </c>
    </row>
    <row r="1754" spans="1:2">
      <c r="A1754">
        <v>1753</v>
      </c>
      <c r="B1754" s="119">
        <v>0.64426154549611336</v>
      </c>
    </row>
    <row r="1755" spans="1:2">
      <c r="A1755">
        <v>1754</v>
      </c>
      <c r="B1755" s="119">
        <v>0.97759487882944662</v>
      </c>
    </row>
    <row r="1756" spans="1:2">
      <c r="A1756">
        <v>1755</v>
      </c>
      <c r="B1756" s="119">
        <v>2.6977594878829444E-2</v>
      </c>
    </row>
    <row r="1757" spans="1:2">
      <c r="A1757">
        <v>1756</v>
      </c>
      <c r="B1757" s="119">
        <v>0.36031092821216276</v>
      </c>
    </row>
    <row r="1758" spans="1:2">
      <c r="A1758">
        <v>1757</v>
      </c>
      <c r="B1758" s="119">
        <v>0.69364426154549608</v>
      </c>
    </row>
    <row r="1759" spans="1:2">
      <c r="A1759">
        <v>1758</v>
      </c>
      <c r="B1759" s="119">
        <v>0.13808870598994055</v>
      </c>
    </row>
    <row r="1760" spans="1:2">
      <c r="A1760">
        <v>1759</v>
      </c>
      <c r="B1760" s="119">
        <v>0.47142203932327387</v>
      </c>
    </row>
    <row r="1761" spans="1:2">
      <c r="A1761">
        <v>1760</v>
      </c>
      <c r="B1761" s="119">
        <v>0.80475537265660713</v>
      </c>
    </row>
    <row r="1762" spans="1:2">
      <c r="A1762">
        <v>1761</v>
      </c>
      <c r="B1762" s="119">
        <v>0.24919981710105166</v>
      </c>
    </row>
    <row r="1763" spans="1:2">
      <c r="A1763">
        <v>1762</v>
      </c>
      <c r="B1763" s="119">
        <v>0.58253315043438503</v>
      </c>
    </row>
    <row r="1764" spans="1:2">
      <c r="A1764">
        <v>1763</v>
      </c>
      <c r="B1764" s="119">
        <v>0.91586648376771829</v>
      </c>
    </row>
    <row r="1765" spans="1:2">
      <c r="A1765">
        <v>1764</v>
      </c>
      <c r="B1765" s="119">
        <v>6.4014631915866482E-2</v>
      </c>
    </row>
    <row r="1766" spans="1:2">
      <c r="A1766">
        <v>1765</v>
      </c>
      <c r="B1766" s="119">
        <v>0.3973479652491998</v>
      </c>
    </row>
    <row r="1767" spans="1:2">
      <c r="A1767">
        <v>1766</v>
      </c>
      <c r="B1767" s="119">
        <v>0.73068129858253317</v>
      </c>
    </row>
    <row r="1768" spans="1:2">
      <c r="A1768">
        <v>1767</v>
      </c>
      <c r="B1768" s="119">
        <v>0.17512574302697759</v>
      </c>
    </row>
    <row r="1769" spans="1:2">
      <c r="A1769">
        <v>1768</v>
      </c>
      <c r="B1769" s="119">
        <v>0.50845907636031096</v>
      </c>
    </row>
    <row r="1770" spans="1:2">
      <c r="A1770">
        <v>1769</v>
      </c>
      <c r="B1770" s="119">
        <v>0.84179240969364411</v>
      </c>
    </row>
    <row r="1771" spans="1:2">
      <c r="A1771">
        <v>1770</v>
      </c>
      <c r="B1771" s="119">
        <v>0.28623685413808869</v>
      </c>
    </row>
    <row r="1772" spans="1:2">
      <c r="A1772">
        <v>1771</v>
      </c>
      <c r="B1772" s="119">
        <v>0.61957018747142201</v>
      </c>
    </row>
    <row r="1773" spans="1:2">
      <c r="A1773">
        <v>1772</v>
      </c>
      <c r="B1773" s="119">
        <v>0.95290352080475527</v>
      </c>
    </row>
    <row r="1774" spans="1:2">
      <c r="A1774">
        <v>1773</v>
      </c>
      <c r="B1774" s="119">
        <v>0.10105166895290352</v>
      </c>
    </row>
    <row r="1775" spans="1:2">
      <c r="A1775">
        <v>1774</v>
      </c>
      <c r="B1775" s="119">
        <v>0.43438500228623683</v>
      </c>
    </row>
    <row r="1776" spans="1:2">
      <c r="A1776">
        <v>1775</v>
      </c>
      <c r="B1776" s="119">
        <v>0.76771833561957015</v>
      </c>
    </row>
    <row r="1777" spans="1:2">
      <c r="A1777">
        <v>1776</v>
      </c>
      <c r="B1777" s="119">
        <v>0.21216278006401462</v>
      </c>
    </row>
    <row r="1778" spans="1:2">
      <c r="A1778">
        <v>1777</v>
      </c>
      <c r="B1778" s="119">
        <v>0.54549611339734794</v>
      </c>
    </row>
    <row r="1779" spans="1:2">
      <c r="A1779">
        <v>1778</v>
      </c>
      <c r="B1779" s="119">
        <v>0.8788294467306812</v>
      </c>
    </row>
    <row r="1780" spans="1:2">
      <c r="A1780">
        <v>1779</v>
      </c>
      <c r="B1780" s="119">
        <v>0.32327389117512573</v>
      </c>
    </row>
    <row r="1781" spans="1:2">
      <c r="A1781">
        <v>1780</v>
      </c>
      <c r="B1781" s="119">
        <v>0.6566072245084591</v>
      </c>
    </row>
    <row r="1782" spans="1:2">
      <c r="A1782">
        <v>1781</v>
      </c>
      <c r="B1782" s="119">
        <v>0.98994055784179236</v>
      </c>
    </row>
    <row r="1783" spans="1:2">
      <c r="A1783">
        <v>1782</v>
      </c>
      <c r="B1783" s="119">
        <v>6.4014631915866489E-3</v>
      </c>
    </row>
    <row r="1784" spans="1:2">
      <c r="A1784">
        <v>1783</v>
      </c>
      <c r="B1784" s="119">
        <v>0.33973479652491995</v>
      </c>
    </row>
    <row r="1785" spans="1:2">
      <c r="A1785">
        <v>1784</v>
      </c>
      <c r="B1785" s="119">
        <v>0.67306812985825326</v>
      </c>
    </row>
    <row r="1786" spans="1:2">
      <c r="A1786">
        <v>1785</v>
      </c>
      <c r="B1786" s="119">
        <v>0.11751257430269775</v>
      </c>
    </row>
    <row r="1787" spans="1:2">
      <c r="A1787">
        <v>1786</v>
      </c>
      <c r="B1787" s="119">
        <v>0.45084590763603105</v>
      </c>
    </row>
    <row r="1788" spans="1:2">
      <c r="A1788">
        <v>1787</v>
      </c>
      <c r="B1788" s="119">
        <v>0.78417924096936431</v>
      </c>
    </row>
    <row r="1789" spans="1:2">
      <c r="A1789">
        <v>1788</v>
      </c>
      <c r="B1789" s="119">
        <v>0.22862368541380887</v>
      </c>
    </row>
    <row r="1790" spans="1:2">
      <c r="A1790">
        <v>1789</v>
      </c>
      <c r="B1790" s="119">
        <v>0.56195701874714221</v>
      </c>
    </row>
    <row r="1791" spans="1:2">
      <c r="A1791">
        <v>1790</v>
      </c>
      <c r="B1791" s="119">
        <v>0.89529035208047547</v>
      </c>
    </row>
    <row r="1792" spans="1:2">
      <c r="A1792">
        <v>1791</v>
      </c>
      <c r="B1792" s="119">
        <v>4.343850022862368E-2</v>
      </c>
    </row>
    <row r="1793" spans="1:2">
      <c r="A1793">
        <v>1792</v>
      </c>
      <c r="B1793" s="119">
        <v>0.37677183356195698</v>
      </c>
    </row>
    <row r="1794" spans="1:2">
      <c r="A1794">
        <v>1793</v>
      </c>
      <c r="B1794" s="119">
        <v>0.71010516689529035</v>
      </c>
    </row>
    <row r="1795" spans="1:2">
      <c r="A1795">
        <v>1794</v>
      </c>
      <c r="B1795" s="119">
        <v>0.1545496113397348</v>
      </c>
    </row>
    <row r="1796" spans="1:2">
      <c r="A1796">
        <v>1795</v>
      </c>
      <c r="B1796" s="119">
        <v>0.48788294467306809</v>
      </c>
    </row>
    <row r="1797" spans="1:2">
      <c r="A1797">
        <v>1796</v>
      </c>
      <c r="B1797" s="119">
        <v>0.82121627800640129</v>
      </c>
    </row>
    <row r="1798" spans="1:2">
      <c r="A1798">
        <v>1797</v>
      </c>
      <c r="B1798" s="119">
        <v>0.26566072245084588</v>
      </c>
    </row>
    <row r="1799" spans="1:2">
      <c r="A1799">
        <v>1798</v>
      </c>
      <c r="B1799" s="119">
        <v>0.59899405578417919</v>
      </c>
    </row>
    <row r="1800" spans="1:2">
      <c r="A1800">
        <v>1799</v>
      </c>
      <c r="B1800" s="119">
        <v>0.93232738911751245</v>
      </c>
    </row>
    <row r="1801" spans="1:2">
      <c r="A1801">
        <v>1800</v>
      </c>
      <c r="B1801" s="119">
        <v>8.0475537265660715E-2</v>
      </c>
    </row>
    <row r="1802" spans="1:2">
      <c r="A1802">
        <v>1801</v>
      </c>
      <c r="B1802" s="119">
        <v>0.41380887059899402</v>
      </c>
    </row>
    <row r="1803" spans="1:2">
      <c r="A1803">
        <v>1802</v>
      </c>
      <c r="B1803" s="119">
        <v>0.74714220393232733</v>
      </c>
    </row>
    <row r="1804" spans="1:2">
      <c r="A1804">
        <v>1803</v>
      </c>
      <c r="B1804" s="119">
        <v>0.19158664837677183</v>
      </c>
    </row>
    <row r="1805" spans="1:2">
      <c r="A1805">
        <v>1804</v>
      </c>
      <c r="B1805" s="119">
        <v>0.52491998171010512</v>
      </c>
    </row>
    <row r="1806" spans="1:2">
      <c r="A1806">
        <v>1805</v>
      </c>
      <c r="B1806" s="119">
        <v>0.85825331504343838</v>
      </c>
    </row>
    <row r="1807" spans="1:2">
      <c r="A1807">
        <v>1806</v>
      </c>
      <c r="B1807" s="119">
        <v>0.30269775948788291</v>
      </c>
    </row>
    <row r="1808" spans="1:2">
      <c r="A1808">
        <v>1807</v>
      </c>
      <c r="B1808" s="119">
        <v>0.63603109282121628</v>
      </c>
    </row>
    <row r="1809" spans="1:2">
      <c r="A1809">
        <v>1808</v>
      </c>
      <c r="B1809" s="119">
        <v>0.96936442615454954</v>
      </c>
    </row>
    <row r="1810" spans="1:2">
      <c r="A1810">
        <v>1809</v>
      </c>
      <c r="B1810" s="119">
        <v>1.8747142203932327E-2</v>
      </c>
    </row>
    <row r="1811" spans="1:2">
      <c r="A1811">
        <v>1810</v>
      </c>
      <c r="B1811" s="119">
        <v>0.35208047553726562</v>
      </c>
    </row>
    <row r="1812" spans="1:2">
      <c r="A1812">
        <v>1811</v>
      </c>
      <c r="B1812" s="119">
        <v>0.68541380887059888</v>
      </c>
    </row>
    <row r="1813" spans="1:2">
      <c r="A1813">
        <v>1812</v>
      </c>
      <c r="B1813" s="119">
        <v>0.12985825331504344</v>
      </c>
    </row>
    <row r="1814" spans="1:2">
      <c r="A1814">
        <v>1813</v>
      </c>
      <c r="B1814" s="119">
        <v>0.46319158664837673</v>
      </c>
    </row>
    <row r="1815" spans="1:2">
      <c r="A1815">
        <v>1814</v>
      </c>
      <c r="B1815" s="119">
        <v>0.79652491998171004</v>
      </c>
    </row>
    <row r="1816" spans="1:2">
      <c r="A1816">
        <v>1815</v>
      </c>
      <c r="B1816" s="119">
        <v>0.24096936442615455</v>
      </c>
    </row>
    <row r="1817" spans="1:2">
      <c r="A1817">
        <v>1816</v>
      </c>
      <c r="B1817" s="119">
        <v>0.57430269775948795</v>
      </c>
    </row>
    <row r="1818" spans="1:2">
      <c r="A1818">
        <v>1817</v>
      </c>
      <c r="B1818" s="119">
        <v>0.9076360310928212</v>
      </c>
    </row>
    <row r="1819" spans="1:2">
      <c r="A1819">
        <v>1818</v>
      </c>
      <c r="B1819" s="119">
        <v>5.5784179240969359E-2</v>
      </c>
    </row>
    <row r="1820" spans="1:2">
      <c r="A1820">
        <v>1819</v>
      </c>
      <c r="B1820" s="119">
        <v>0.38911751257430266</v>
      </c>
    </row>
    <row r="1821" spans="1:2">
      <c r="A1821">
        <v>1820</v>
      </c>
      <c r="B1821" s="119">
        <v>0.72245084590763609</v>
      </c>
    </row>
    <row r="1822" spans="1:2">
      <c r="A1822">
        <v>1821</v>
      </c>
      <c r="B1822" s="119">
        <v>0.16689529035208048</v>
      </c>
    </row>
    <row r="1823" spans="1:2">
      <c r="A1823">
        <v>1822</v>
      </c>
      <c r="B1823" s="119">
        <v>0.50022862368541376</v>
      </c>
    </row>
    <row r="1824" spans="1:2">
      <c r="A1824">
        <v>1823</v>
      </c>
      <c r="B1824" s="119">
        <v>0.83356195701874702</v>
      </c>
    </row>
    <row r="1825" spans="1:2">
      <c r="A1825">
        <v>1824</v>
      </c>
      <c r="B1825" s="119">
        <v>0.27800640146319155</v>
      </c>
    </row>
    <row r="1826" spans="1:2">
      <c r="A1826">
        <v>1825</v>
      </c>
      <c r="B1826" s="119">
        <v>0.61133973479652493</v>
      </c>
    </row>
    <row r="1827" spans="1:2">
      <c r="A1827">
        <v>1826</v>
      </c>
      <c r="B1827" s="119">
        <v>0.94467306812985818</v>
      </c>
    </row>
    <row r="1828" spans="1:2">
      <c r="A1828">
        <v>1827</v>
      </c>
      <c r="B1828" s="119">
        <v>9.2821216278006394E-2</v>
      </c>
    </row>
    <row r="1829" spans="1:2">
      <c r="A1829">
        <v>1828</v>
      </c>
      <c r="B1829" s="119">
        <v>0.42615454961133969</v>
      </c>
    </row>
    <row r="1830" spans="1:2">
      <c r="A1830">
        <v>1829</v>
      </c>
      <c r="B1830" s="119">
        <v>0.75948788294467307</v>
      </c>
    </row>
    <row r="1831" spans="1:2">
      <c r="A1831">
        <v>1830</v>
      </c>
      <c r="B1831" s="119">
        <v>0.20393232738911751</v>
      </c>
    </row>
    <row r="1832" spans="1:2">
      <c r="A1832">
        <v>1831</v>
      </c>
      <c r="B1832" s="119">
        <v>0.53726566072245074</v>
      </c>
    </row>
    <row r="1833" spans="1:2">
      <c r="A1833">
        <v>1832</v>
      </c>
      <c r="B1833" s="119">
        <v>0.870598994055784</v>
      </c>
    </row>
    <row r="1834" spans="1:2">
      <c r="A1834">
        <v>1833</v>
      </c>
      <c r="B1834" s="119">
        <v>0.31504343850022859</v>
      </c>
    </row>
    <row r="1835" spans="1:2">
      <c r="A1835">
        <v>1834</v>
      </c>
      <c r="B1835" s="119">
        <v>0.6483767718335619</v>
      </c>
    </row>
    <row r="1836" spans="1:2">
      <c r="A1836">
        <v>1835</v>
      </c>
      <c r="B1836" s="119">
        <v>0.98171010516689516</v>
      </c>
    </row>
    <row r="1837" spans="1:2">
      <c r="A1837">
        <v>1836</v>
      </c>
      <c r="B1837" s="119">
        <v>3.1092821216278006E-2</v>
      </c>
    </row>
    <row r="1838" spans="1:2">
      <c r="A1838">
        <v>1837</v>
      </c>
      <c r="B1838" s="119">
        <v>0.3644261545496113</v>
      </c>
    </row>
    <row r="1839" spans="1:2">
      <c r="A1839">
        <v>1838</v>
      </c>
      <c r="B1839" s="119">
        <v>0.69775948788294462</v>
      </c>
    </row>
    <row r="1840" spans="1:2">
      <c r="A1840">
        <v>1839</v>
      </c>
      <c r="B1840" s="119">
        <v>0.14220393232738912</v>
      </c>
    </row>
    <row r="1841" spans="1:2">
      <c r="A1841">
        <v>1840</v>
      </c>
      <c r="B1841" s="119">
        <v>0.47553726566072241</v>
      </c>
    </row>
    <row r="1842" spans="1:2">
      <c r="A1842">
        <v>1841</v>
      </c>
      <c r="B1842" s="119">
        <v>0.80887059899405567</v>
      </c>
    </row>
    <row r="1843" spans="1:2">
      <c r="A1843">
        <v>1842</v>
      </c>
      <c r="B1843" s="119">
        <v>0.2533150434385002</v>
      </c>
    </row>
    <row r="1844" spans="1:2">
      <c r="A1844">
        <v>1843</v>
      </c>
      <c r="B1844" s="119">
        <v>0.58664837677183357</v>
      </c>
    </row>
    <row r="1845" spans="1:2">
      <c r="A1845">
        <v>1844</v>
      </c>
      <c r="B1845" s="119">
        <v>0.91998171010516683</v>
      </c>
    </row>
    <row r="1846" spans="1:2">
      <c r="A1846">
        <v>1845</v>
      </c>
      <c r="B1846" s="119">
        <v>6.8129858253315037E-2</v>
      </c>
    </row>
    <row r="1847" spans="1:2">
      <c r="A1847">
        <v>1846</v>
      </c>
      <c r="B1847" s="119">
        <v>0.40146319158664834</v>
      </c>
    </row>
    <row r="1848" spans="1:2">
      <c r="A1848">
        <v>1847</v>
      </c>
      <c r="B1848" s="119">
        <v>0.73479652491998171</v>
      </c>
    </row>
    <row r="1849" spans="1:2">
      <c r="A1849">
        <v>1848</v>
      </c>
      <c r="B1849" s="119">
        <v>0.17924096936442616</v>
      </c>
    </row>
    <row r="1850" spans="1:2">
      <c r="A1850">
        <v>1849</v>
      </c>
      <c r="B1850" s="119">
        <v>0.5125743026977595</v>
      </c>
    </row>
    <row r="1851" spans="1:2">
      <c r="A1851">
        <v>1850</v>
      </c>
      <c r="B1851" s="119">
        <v>0.84590763603109265</v>
      </c>
    </row>
    <row r="1852" spans="1:2">
      <c r="A1852">
        <v>1851</v>
      </c>
      <c r="B1852" s="119">
        <v>0.29035208047553723</v>
      </c>
    </row>
    <row r="1853" spans="1:2">
      <c r="A1853">
        <v>1852</v>
      </c>
      <c r="B1853" s="119">
        <v>0.62368541380887055</v>
      </c>
    </row>
    <row r="1854" spans="1:2">
      <c r="A1854">
        <v>1853</v>
      </c>
      <c r="B1854" s="119">
        <v>0.95701874714220381</v>
      </c>
    </row>
    <row r="1855" spans="1:2">
      <c r="A1855">
        <v>1854</v>
      </c>
      <c r="B1855" s="119">
        <v>0.10516689529035207</v>
      </c>
    </row>
    <row r="1856" spans="1:2">
      <c r="A1856">
        <v>1855</v>
      </c>
      <c r="B1856" s="119">
        <v>0.43850022862368537</v>
      </c>
    </row>
    <row r="1857" spans="1:2">
      <c r="A1857">
        <v>1856</v>
      </c>
      <c r="B1857" s="119">
        <v>0.77183356195701869</v>
      </c>
    </row>
    <row r="1858" spans="1:2">
      <c r="A1858">
        <v>1857</v>
      </c>
      <c r="B1858" s="119">
        <v>0.21627800640146319</v>
      </c>
    </row>
    <row r="1859" spans="1:2">
      <c r="A1859">
        <v>1858</v>
      </c>
      <c r="B1859" s="119">
        <v>0.54961133973479648</v>
      </c>
    </row>
    <row r="1860" spans="1:2">
      <c r="A1860">
        <v>1859</v>
      </c>
      <c r="B1860" s="119">
        <v>0.88294467306812974</v>
      </c>
    </row>
    <row r="1861" spans="1:2">
      <c r="A1861">
        <v>1860</v>
      </c>
      <c r="B1861" s="119">
        <v>0.32738911751257427</v>
      </c>
    </row>
    <row r="1862" spans="1:2">
      <c r="A1862">
        <v>1861</v>
      </c>
      <c r="B1862" s="119">
        <v>0.66072245084590764</v>
      </c>
    </row>
    <row r="1863" spans="1:2">
      <c r="A1863">
        <v>1862</v>
      </c>
      <c r="B1863" s="119">
        <v>0.9940557841792409</v>
      </c>
    </row>
    <row r="1864" spans="1:2">
      <c r="A1864">
        <v>1863</v>
      </c>
      <c r="B1864" s="119">
        <v>1.0516689529035209E-2</v>
      </c>
    </row>
    <row r="1865" spans="1:2">
      <c r="A1865">
        <v>1864</v>
      </c>
      <c r="B1865" s="119">
        <v>0.34385002286236854</v>
      </c>
    </row>
    <row r="1866" spans="1:2">
      <c r="A1866">
        <v>1865</v>
      </c>
      <c r="B1866" s="119">
        <v>0.6771833561957018</v>
      </c>
    </row>
    <row r="1867" spans="1:2">
      <c r="A1867">
        <v>1866</v>
      </c>
      <c r="B1867" s="119">
        <v>0.12162780064014632</v>
      </c>
    </row>
    <row r="1868" spans="1:2">
      <c r="A1868">
        <v>1867</v>
      </c>
      <c r="B1868" s="119">
        <v>0.45496113397347965</v>
      </c>
    </row>
    <row r="1869" spans="1:2">
      <c r="A1869">
        <v>1868</v>
      </c>
      <c r="B1869" s="119">
        <v>0.78829446730681285</v>
      </c>
    </row>
    <row r="1870" spans="1:2">
      <c r="A1870">
        <v>1869</v>
      </c>
      <c r="B1870" s="119">
        <v>0.23273891175125741</v>
      </c>
    </row>
    <row r="1871" spans="1:2">
      <c r="A1871">
        <v>1870</v>
      </c>
      <c r="B1871" s="119">
        <v>0.56607224508459075</v>
      </c>
    </row>
    <row r="1872" spans="1:2">
      <c r="A1872">
        <v>1871</v>
      </c>
      <c r="B1872" s="119">
        <v>0.89940557841792401</v>
      </c>
    </row>
    <row r="1873" spans="1:2">
      <c r="A1873">
        <v>1872</v>
      </c>
      <c r="B1873" s="119">
        <v>4.7553726566072242E-2</v>
      </c>
    </row>
    <row r="1874" spans="1:2">
      <c r="A1874">
        <v>1873</v>
      </c>
      <c r="B1874" s="119">
        <v>0.38088705989940558</v>
      </c>
    </row>
    <row r="1875" spans="1:2">
      <c r="A1875">
        <v>1874</v>
      </c>
      <c r="B1875" s="119">
        <v>0.71422039323273889</v>
      </c>
    </row>
    <row r="1876" spans="1:2">
      <c r="A1876">
        <v>1875</v>
      </c>
      <c r="B1876" s="119">
        <v>0.15866483767718334</v>
      </c>
    </row>
    <row r="1877" spans="1:2">
      <c r="A1877">
        <v>1876</v>
      </c>
      <c r="B1877" s="119">
        <v>0.49199817101051668</v>
      </c>
    </row>
    <row r="1878" spans="1:2">
      <c r="A1878">
        <v>1877</v>
      </c>
      <c r="B1878" s="119">
        <v>0.82533150434384983</v>
      </c>
    </row>
    <row r="1879" spans="1:2">
      <c r="A1879">
        <v>1878</v>
      </c>
      <c r="B1879" s="119">
        <v>0.26977594878829447</v>
      </c>
    </row>
    <row r="1880" spans="1:2">
      <c r="A1880">
        <v>1879</v>
      </c>
      <c r="B1880" s="119">
        <v>0.60310928212162773</v>
      </c>
    </row>
    <row r="1881" spans="1:2">
      <c r="A1881">
        <v>1880</v>
      </c>
      <c r="B1881" s="119">
        <v>0.93644261545496099</v>
      </c>
    </row>
    <row r="1882" spans="1:2">
      <c r="A1882">
        <v>1881</v>
      </c>
      <c r="B1882" s="119">
        <v>8.4590763603109284E-2</v>
      </c>
    </row>
    <row r="1883" spans="1:2">
      <c r="A1883">
        <v>1882</v>
      </c>
      <c r="B1883" s="119">
        <v>0.41792409693644261</v>
      </c>
    </row>
    <row r="1884" spans="1:2">
      <c r="A1884">
        <v>1883</v>
      </c>
      <c r="B1884" s="119">
        <v>0.75125743026977587</v>
      </c>
    </row>
    <row r="1885" spans="1:2">
      <c r="A1885">
        <v>1884</v>
      </c>
      <c r="B1885" s="119">
        <v>0.19570187471422038</v>
      </c>
    </row>
    <row r="1886" spans="1:2">
      <c r="A1886">
        <v>1885</v>
      </c>
      <c r="B1886" s="119">
        <v>0.52903520804755366</v>
      </c>
    </row>
    <row r="1887" spans="1:2">
      <c r="A1887">
        <v>1886</v>
      </c>
      <c r="B1887" s="119">
        <v>0.86236854138088692</v>
      </c>
    </row>
    <row r="1888" spans="1:2">
      <c r="A1888">
        <v>1887</v>
      </c>
      <c r="B1888" s="119">
        <v>0.30681298582533151</v>
      </c>
    </row>
    <row r="1889" spans="1:2">
      <c r="A1889">
        <v>1888</v>
      </c>
      <c r="B1889" s="119">
        <v>0.64014631915866482</v>
      </c>
    </row>
    <row r="1890" spans="1:2">
      <c r="A1890">
        <v>1889</v>
      </c>
      <c r="B1890" s="119">
        <v>0.97347965249199808</v>
      </c>
    </row>
    <row r="1891" spans="1:2">
      <c r="A1891">
        <v>1890</v>
      </c>
      <c r="B1891" s="119">
        <v>2.2862368541380886E-2</v>
      </c>
    </row>
    <row r="1892" spans="1:2">
      <c r="A1892">
        <v>1891</v>
      </c>
      <c r="B1892" s="119">
        <v>0.35619570187471422</v>
      </c>
    </row>
    <row r="1893" spans="1:2">
      <c r="A1893">
        <v>1892</v>
      </c>
      <c r="B1893" s="119">
        <v>0.68952903520804742</v>
      </c>
    </row>
    <row r="1894" spans="1:2">
      <c r="A1894">
        <v>1893</v>
      </c>
      <c r="B1894" s="119">
        <v>0.13397347965249198</v>
      </c>
    </row>
    <row r="1895" spans="1:2">
      <c r="A1895">
        <v>1894</v>
      </c>
      <c r="B1895" s="119">
        <v>0.46730681298582533</v>
      </c>
    </row>
    <row r="1896" spans="1:2">
      <c r="A1896">
        <v>1895</v>
      </c>
      <c r="B1896" s="119">
        <v>0.80064014631915859</v>
      </c>
    </row>
    <row r="1897" spans="1:2">
      <c r="A1897">
        <v>1896</v>
      </c>
      <c r="B1897" s="119">
        <v>0.24508459076360309</v>
      </c>
    </row>
    <row r="1898" spans="1:2">
      <c r="A1898">
        <v>1897</v>
      </c>
      <c r="B1898" s="119">
        <v>0.57841792409693649</v>
      </c>
    </row>
    <row r="1899" spans="1:2">
      <c r="A1899">
        <v>1898</v>
      </c>
      <c r="B1899" s="119">
        <v>0.91175125743026975</v>
      </c>
    </row>
    <row r="1900" spans="1:2">
      <c r="A1900">
        <v>1899</v>
      </c>
      <c r="B1900" s="119">
        <v>5.9899405578417921E-2</v>
      </c>
    </row>
    <row r="1901" spans="1:2">
      <c r="A1901">
        <v>1900</v>
      </c>
      <c r="B1901" s="119">
        <v>0.39323273891175126</v>
      </c>
    </row>
    <row r="1902" spans="1:2">
      <c r="A1902">
        <v>1901</v>
      </c>
      <c r="B1902" s="119">
        <v>0.72656607224508463</v>
      </c>
    </row>
    <row r="1903" spans="1:2">
      <c r="A1903">
        <v>1902</v>
      </c>
      <c r="B1903" s="119">
        <v>0.17101051668952902</v>
      </c>
    </row>
    <row r="1904" spans="1:2">
      <c r="A1904">
        <v>1903</v>
      </c>
      <c r="B1904" s="119">
        <v>0.50434385002286231</v>
      </c>
    </row>
    <row r="1905" spans="1:2">
      <c r="A1905">
        <v>1904</v>
      </c>
      <c r="B1905" s="119">
        <v>0.83767718335619556</v>
      </c>
    </row>
    <row r="1906" spans="1:2">
      <c r="A1906">
        <v>1905</v>
      </c>
      <c r="B1906" s="119">
        <v>0.28212162780064015</v>
      </c>
    </row>
    <row r="1907" spans="1:2">
      <c r="A1907">
        <v>1906</v>
      </c>
      <c r="B1907" s="119">
        <v>0.61545496113397347</v>
      </c>
    </row>
    <row r="1908" spans="1:2">
      <c r="A1908">
        <v>1907</v>
      </c>
      <c r="B1908" s="119">
        <v>0.94878829446730673</v>
      </c>
    </row>
    <row r="1909" spans="1:2">
      <c r="A1909">
        <v>1908</v>
      </c>
      <c r="B1909" s="119">
        <v>9.6936442615454962E-2</v>
      </c>
    </row>
    <row r="1910" spans="1:2">
      <c r="A1910">
        <v>1909</v>
      </c>
      <c r="B1910" s="119">
        <v>0.43026977594878829</v>
      </c>
    </row>
    <row r="1911" spans="1:2">
      <c r="A1911">
        <v>1910</v>
      </c>
      <c r="B1911" s="119">
        <v>0.76360310928212161</v>
      </c>
    </row>
    <row r="1912" spans="1:2">
      <c r="A1912">
        <v>1911</v>
      </c>
      <c r="B1912" s="119">
        <v>0.20804755372656605</v>
      </c>
    </row>
    <row r="1913" spans="1:2">
      <c r="A1913">
        <v>1912</v>
      </c>
      <c r="B1913" s="119">
        <v>0.54138088705989929</v>
      </c>
    </row>
    <row r="1914" spans="1:2">
      <c r="A1914">
        <v>1913</v>
      </c>
      <c r="B1914" s="119">
        <v>0.87471422039323254</v>
      </c>
    </row>
    <row r="1915" spans="1:2">
      <c r="A1915">
        <v>1914</v>
      </c>
      <c r="B1915" s="119">
        <v>0.31915866483767719</v>
      </c>
    </row>
    <row r="1916" spans="1:2">
      <c r="A1916">
        <v>1915</v>
      </c>
      <c r="B1916" s="119">
        <v>0.65249199817101045</v>
      </c>
    </row>
    <row r="1917" spans="1:2">
      <c r="A1917">
        <v>1916</v>
      </c>
      <c r="B1917" s="119">
        <v>0.9858253315043437</v>
      </c>
    </row>
    <row r="1918" spans="1:2">
      <c r="A1918">
        <v>1917</v>
      </c>
      <c r="B1918" s="119">
        <v>3.5208047553726564E-2</v>
      </c>
    </row>
    <row r="1919" spans="1:2">
      <c r="A1919">
        <v>1918</v>
      </c>
      <c r="B1919" s="119">
        <v>0.3685413808870599</v>
      </c>
    </row>
    <row r="1920" spans="1:2">
      <c r="A1920">
        <v>1919</v>
      </c>
      <c r="B1920" s="119">
        <v>0.70187471422039316</v>
      </c>
    </row>
    <row r="1921" spans="1:2">
      <c r="A1921">
        <v>1920</v>
      </c>
      <c r="B1921" s="119">
        <v>0.14631915866483766</v>
      </c>
    </row>
    <row r="1922" spans="1:2">
      <c r="A1922">
        <v>1921</v>
      </c>
      <c r="B1922" s="119">
        <v>0.479652491998171</v>
      </c>
    </row>
    <row r="1923" spans="1:2">
      <c r="A1923">
        <v>1922</v>
      </c>
      <c r="B1923" s="119">
        <v>0.81298582533150421</v>
      </c>
    </row>
    <row r="1924" spans="1:2">
      <c r="A1924">
        <v>1923</v>
      </c>
      <c r="B1924" s="119">
        <v>0.25743026977594879</v>
      </c>
    </row>
    <row r="1925" spans="1:2">
      <c r="A1925">
        <v>1924</v>
      </c>
      <c r="B1925" s="119">
        <v>0.59076360310928211</v>
      </c>
    </row>
    <row r="1926" spans="1:2">
      <c r="A1926">
        <v>1925</v>
      </c>
      <c r="B1926" s="119">
        <v>0.92409693644261537</v>
      </c>
    </row>
    <row r="1927" spans="1:2">
      <c r="A1927">
        <v>1926</v>
      </c>
      <c r="B1927" s="119">
        <v>7.2245084590763606E-2</v>
      </c>
    </row>
    <row r="1928" spans="1:2">
      <c r="A1928">
        <v>1927</v>
      </c>
      <c r="B1928" s="119">
        <v>0.40557841792409693</v>
      </c>
    </row>
    <row r="1929" spans="1:2">
      <c r="A1929">
        <v>1928</v>
      </c>
      <c r="B1929" s="119">
        <v>0.73891175125743025</v>
      </c>
    </row>
    <row r="1930" spans="1:2">
      <c r="A1930">
        <v>1929</v>
      </c>
      <c r="B1930" s="119">
        <v>0.1833561957018747</v>
      </c>
    </row>
    <row r="1931" spans="1:2">
      <c r="A1931">
        <v>1930</v>
      </c>
      <c r="B1931" s="119">
        <v>0.51668952903520804</v>
      </c>
    </row>
    <row r="1932" spans="1:2">
      <c r="A1932">
        <v>1931</v>
      </c>
      <c r="B1932" s="119">
        <v>0.85002286236854119</v>
      </c>
    </row>
    <row r="1933" spans="1:2">
      <c r="A1933">
        <v>1932</v>
      </c>
      <c r="B1933" s="119">
        <v>0.29446730681298583</v>
      </c>
    </row>
    <row r="1934" spans="1:2">
      <c r="A1934">
        <v>1933</v>
      </c>
      <c r="B1934" s="119">
        <v>0.62780064014631909</v>
      </c>
    </row>
    <row r="1935" spans="1:2">
      <c r="A1935">
        <v>1934</v>
      </c>
      <c r="B1935" s="119">
        <v>0.96113397347965235</v>
      </c>
    </row>
    <row r="1936" spans="1:2">
      <c r="A1936">
        <v>1935</v>
      </c>
      <c r="B1936" s="119">
        <v>0.10928212162780064</v>
      </c>
    </row>
    <row r="1937" spans="1:2">
      <c r="A1937">
        <v>1936</v>
      </c>
      <c r="B1937" s="119">
        <v>0.44261545496113397</v>
      </c>
    </row>
    <row r="1938" spans="1:2">
      <c r="A1938">
        <v>1937</v>
      </c>
      <c r="B1938" s="119">
        <v>0.77594878829446723</v>
      </c>
    </row>
    <row r="1939" spans="1:2">
      <c r="A1939">
        <v>1938</v>
      </c>
      <c r="B1939" s="119">
        <v>0.22039323273891173</v>
      </c>
    </row>
    <row r="1940" spans="1:2">
      <c r="A1940">
        <v>1939</v>
      </c>
      <c r="B1940" s="119">
        <v>0.55372656607224502</v>
      </c>
    </row>
    <row r="1941" spans="1:2">
      <c r="A1941">
        <v>1940</v>
      </c>
      <c r="B1941" s="119">
        <v>0.88705989940557828</v>
      </c>
    </row>
    <row r="1942" spans="1:2">
      <c r="A1942">
        <v>1941</v>
      </c>
      <c r="B1942" s="119">
        <v>0.33150434385002286</v>
      </c>
    </row>
    <row r="1943" spans="1:2">
      <c r="A1943">
        <v>1942</v>
      </c>
      <c r="B1943" s="119">
        <v>0.66483767718335618</v>
      </c>
    </row>
    <row r="1944" spans="1:2">
      <c r="A1944">
        <v>1943</v>
      </c>
      <c r="B1944" s="119">
        <v>0.99817101051668944</v>
      </c>
    </row>
    <row r="1945" spans="1:2">
      <c r="A1945">
        <v>1944</v>
      </c>
      <c r="B1945" s="119">
        <v>3.6579789666209418E-3</v>
      </c>
    </row>
    <row r="1946" spans="1:2">
      <c r="A1946">
        <v>1945</v>
      </c>
      <c r="B1946" s="119">
        <v>0.33699131229995427</v>
      </c>
    </row>
    <row r="1947" spans="1:2">
      <c r="A1947">
        <v>1946</v>
      </c>
      <c r="B1947" s="119">
        <v>0.67032464563328764</v>
      </c>
    </row>
    <row r="1948" spans="1:2">
      <c r="A1948">
        <v>1947</v>
      </c>
      <c r="B1948" s="119">
        <v>0.11476909007773205</v>
      </c>
    </row>
    <row r="1949" spans="1:2">
      <c r="A1949">
        <v>1948</v>
      </c>
      <c r="B1949" s="119">
        <v>0.44810242341106538</v>
      </c>
    </row>
    <row r="1950" spans="1:2">
      <c r="A1950">
        <v>1949</v>
      </c>
      <c r="B1950" s="119">
        <v>0.78143575674439869</v>
      </c>
    </row>
    <row r="1951" spans="1:2">
      <c r="A1951">
        <v>1950</v>
      </c>
      <c r="B1951" s="119">
        <v>0.22588020118884314</v>
      </c>
    </row>
    <row r="1952" spans="1:2">
      <c r="A1952">
        <v>1951</v>
      </c>
      <c r="B1952" s="119">
        <v>0.55921353452217659</v>
      </c>
    </row>
    <row r="1953" spans="1:2">
      <c r="A1953">
        <v>1952</v>
      </c>
      <c r="B1953" s="119">
        <v>0.89254686785550985</v>
      </c>
    </row>
    <row r="1954" spans="1:2">
      <c r="A1954">
        <v>1953</v>
      </c>
      <c r="B1954" s="119">
        <v>4.069501600365797E-2</v>
      </c>
    </row>
    <row r="1955" spans="1:2">
      <c r="A1955">
        <v>1954</v>
      </c>
      <c r="B1955" s="119">
        <v>0.37402834933699131</v>
      </c>
    </row>
    <row r="1956" spans="1:2">
      <c r="A1956">
        <v>1955</v>
      </c>
      <c r="B1956" s="119">
        <v>0.70736168267032473</v>
      </c>
    </row>
    <row r="1957" spans="1:2">
      <c r="A1957">
        <v>1956</v>
      </c>
      <c r="B1957" s="119">
        <v>0.15180612711476907</v>
      </c>
    </row>
    <row r="1958" spans="1:2">
      <c r="A1958">
        <v>1957</v>
      </c>
      <c r="B1958" s="119">
        <v>0.48513946044810241</v>
      </c>
    </row>
    <row r="1959" spans="1:2">
      <c r="A1959">
        <v>1958</v>
      </c>
      <c r="B1959" s="119">
        <v>0.81847279378143567</v>
      </c>
    </row>
    <row r="1960" spans="1:2">
      <c r="A1960">
        <v>1959</v>
      </c>
      <c r="B1960" s="119">
        <v>0.2629172382258802</v>
      </c>
    </row>
    <row r="1961" spans="1:2">
      <c r="A1961">
        <v>1960</v>
      </c>
      <c r="B1961" s="119">
        <v>0.59625057155921357</v>
      </c>
    </row>
    <row r="1962" spans="1:2">
      <c r="A1962">
        <v>1961</v>
      </c>
      <c r="B1962" s="119">
        <v>0.92958390489254683</v>
      </c>
    </row>
    <row r="1963" spans="1:2">
      <c r="A1963">
        <v>1962</v>
      </c>
      <c r="B1963" s="119">
        <v>7.7732053040695012E-2</v>
      </c>
    </row>
    <row r="1964" spans="1:2">
      <c r="A1964">
        <v>1963</v>
      </c>
      <c r="B1964" s="119">
        <v>0.41106538637402834</v>
      </c>
    </row>
    <row r="1965" spans="1:2">
      <c r="A1965">
        <v>1964</v>
      </c>
      <c r="B1965" s="119">
        <v>0.74439871970736171</v>
      </c>
    </row>
    <row r="1966" spans="1:2">
      <c r="A1966">
        <v>1965</v>
      </c>
      <c r="B1966" s="119">
        <v>0.1888431641518061</v>
      </c>
    </row>
    <row r="1967" spans="1:2">
      <c r="A1967">
        <v>1966</v>
      </c>
      <c r="B1967" s="119">
        <v>0.5221764974851395</v>
      </c>
    </row>
    <row r="1968" spans="1:2">
      <c r="A1968">
        <v>1967</v>
      </c>
      <c r="B1968" s="119">
        <v>0.85550983081847276</v>
      </c>
    </row>
    <row r="1969" spans="1:2">
      <c r="A1969">
        <v>1968</v>
      </c>
      <c r="B1969" s="119">
        <v>0.29995427526291724</v>
      </c>
    </row>
    <row r="1970" spans="1:2">
      <c r="A1970">
        <v>1969</v>
      </c>
      <c r="B1970" s="119">
        <v>0.63328760859625066</v>
      </c>
    </row>
    <row r="1971" spans="1:2">
      <c r="A1971">
        <v>1970</v>
      </c>
      <c r="B1971" s="119">
        <v>0.96662094192958392</v>
      </c>
    </row>
    <row r="1972" spans="1:2">
      <c r="A1972">
        <v>1971</v>
      </c>
      <c r="B1972" s="119">
        <v>1.6003657978966621E-2</v>
      </c>
    </row>
    <row r="1973" spans="1:2">
      <c r="A1973">
        <v>1972</v>
      </c>
      <c r="B1973" s="119">
        <v>0.34933699131229995</v>
      </c>
    </row>
    <row r="1974" spans="1:2">
      <c r="A1974">
        <v>1973</v>
      </c>
      <c r="B1974" s="119">
        <v>0.68267032464563326</v>
      </c>
    </row>
    <row r="1975" spans="1:2">
      <c r="A1975">
        <v>1974</v>
      </c>
      <c r="B1975" s="119">
        <v>0.12711476909007771</v>
      </c>
    </row>
    <row r="1976" spans="1:2">
      <c r="A1976">
        <v>1975</v>
      </c>
      <c r="B1976" s="119">
        <v>0.46044810242341105</v>
      </c>
    </row>
    <row r="1977" spans="1:2">
      <c r="A1977">
        <v>1976</v>
      </c>
      <c r="B1977" s="119">
        <v>0.79378143575674442</v>
      </c>
    </row>
    <row r="1978" spans="1:2">
      <c r="A1978">
        <v>1977</v>
      </c>
      <c r="B1978" s="119">
        <v>0.23822588020118882</v>
      </c>
    </row>
    <row r="1979" spans="1:2">
      <c r="A1979">
        <v>1978</v>
      </c>
      <c r="B1979" s="119">
        <v>0.57155921353452233</v>
      </c>
    </row>
    <row r="1980" spans="1:2">
      <c r="A1980">
        <v>1979</v>
      </c>
      <c r="B1980" s="119">
        <v>0.90489254686785559</v>
      </c>
    </row>
    <row r="1981" spans="1:2">
      <c r="A1981">
        <v>1980</v>
      </c>
      <c r="B1981" s="119">
        <v>5.3040695016003649E-2</v>
      </c>
    </row>
    <row r="1982" spans="1:2">
      <c r="A1982">
        <v>1981</v>
      </c>
      <c r="B1982" s="119">
        <v>0.38637402834933698</v>
      </c>
    </row>
    <row r="1983" spans="1:2">
      <c r="A1983">
        <v>1982</v>
      </c>
      <c r="B1983" s="119">
        <v>0.71970736168267047</v>
      </c>
    </row>
    <row r="1984" spans="1:2">
      <c r="A1984">
        <v>1983</v>
      </c>
      <c r="B1984" s="119">
        <v>0.16415180612711475</v>
      </c>
    </row>
    <row r="1985" spans="1:2">
      <c r="A1985">
        <v>1984</v>
      </c>
      <c r="B1985" s="119">
        <v>0.49748513946044809</v>
      </c>
    </row>
    <row r="1986" spans="1:2">
      <c r="A1986">
        <v>1985</v>
      </c>
      <c r="B1986" s="119">
        <v>0.8308184727937814</v>
      </c>
    </row>
    <row r="1987" spans="1:2">
      <c r="A1987">
        <v>1986</v>
      </c>
      <c r="B1987" s="119">
        <v>0.27526291723822588</v>
      </c>
    </row>
    <row r="1988" spans="1:2">
      <c r="A1988">
        <v>1987</v>
      </c>
      <c r="B1988" s="119">
        <v>0.60859625057155931</v>
      </c>
    </row>
    <row r="1989" spans="1:2">
      <c r="A1989">
        <v>1988</v>
      </c>
      <c r="B1989" s="119">
        <v>0.94192958390489256</v>
      </c>
    </row>
    <row r="1990" spans="1:2">
      <c r="A1990">
        <v>1989</v>
      </c>
      <c r="B1990" s="119">
        <v>9.0077732053040691E-2</v>
      </c>
    </row>
    <row r="1991" spans="1:2">
      <c r="A1991">
        <v>1990</v>
      </c>
      <c r="B1991" s="119">
        <v>0.42341106538637402</v>
      </c>
    </row>
    <row r="1992" spans="1:2">
      <c r="A1992">
        <v>1991</v>
      </c>
      <c r="B1992" s="119">
        <v>0.75674439871970745</v>
      </c>
    </row>
    <row r="1993" spans="1:2">
      <c r="A1993">
        <v>1992</v>
      </c>
      <c r="B1993" s="119">
        <v>0.20118884316415178</v>
      </c>
    </row>
    <row r="1994" spans="1:2">
      <c r="A1994">
        <v>1993</v>
      </c>
      <c r="B1994" s="119">
        <v>0.53452217649748512</v>
      </c>
    </row>
    <row r="1995" spans="1:2">
      <c r="A1995">
        <v>1994</v>
      </c>
      <c r="B1995" s="119">
        <v>0.86785550983081838</v>
      </c>
    </row>
    <row r="1996" spans="1:2">
      <c r="A1996">
        <v>1995</v>
      </c>
      <c r="B1996" s="119">
        <v>0.31229995427526291</v>
      </c>
    </row>
    <row r="1997" spans="1:2">
      <c r="A1997">
        <v>1996</v>
      </c>
      <c r="B1997" s="119">
        <v>0.64563328760859628</v>
      </c>
    </row>
    <row r="1998" spans="1:2">
      <c r="A1998">
        <v>1997</v>
      </c>
      <c r="B1998" s="119">
        <v>0.97896662094192954</v>
      </c>
    </row>
    <row r="1999" spans="1:2">
      <c r="A1999">
        <v>1998</v>
      </c>
      <c r="B1999" s="119">
        <v>2.8349336991312299E-2</v>
      </c>
    </row>
    <row r="2000" spans="1:2">
      <c r="A2000">
        <v>1999</v>
      </c>
      <c r="B2000" s="119">
        <v>0.36168267032464563</v>
      </c>
    </row>
    <row r="2001" spans="1:2">
      <c r="A2001">
        <v>2000</v>
      </c>
      <c r="B2001" s="119">
        <v>0.695016003657979</v>
      </c>
    </row>
    <row r="2002" spans="1:2">
      <c r="A2002">
        <v>2001</v>
      </c>
      <c r="B2002" s="119">
        <v>0.13946044810242339</v>
      </c>
    </row>
    <row r="2003" spans="1:2">
      <c r="A2003">
        <v>2002</v>
      </c>
      <c r="B2003" s="119">
        <v>0.47279378143575673</v>
      </c>
    </row>
    <row r="2004" spans="1:2">
      <c r="A2004">
        <v>2003</v>
      </c>
      <c r="B2004" s="119">
        <v>0.80612711476909005</v>
      </c>
    </row>
    <row r="2005" spans="1:2">
      <c r="A2005">
        <v>2004</v>
      </c>
      <c r="B2005" s="119">
        <v>0.25057155921353452</v>
      </c>
    </row>
    <row r="2006" spans="1:2">
      <c r="A2006">
        <v>2005</v>
      </c>
      <c r="B2006" s="119">
        <v>0.58390489254686795</v>
      </c>
    </row>
    <row r="2007" spans="1:2">
      <c r="A2007">
        <v>2006</v>
      </c>
      <c r="B2007" s="119">
        <v>0.91723822588020121</v>
      </c>
    </row>
    <row r="2008" spans="1:2">
      <c r="A2008">
        <v>2007</v>
      </c>
      <c r="B2008" s="119">
        <v>6.5386374028349334E-2</v>
      </c>
    </row>
    <row r="2009" spans="1:2">
      <c r="A2009">
        <v>2008</v>
      </c>
      <c r="B2009" s="119">
        <v>0.39871970736168266</v>
      </c>
    </row>
    <row r="2010" spans="1:2">
      <c r="A2010">
        <v>2009</v>
      </c>
      <c r="B2010" s="119">
        <v>0.73205304069501609</v>
      </c>
    </row>
    <row r="2011" spans="1:2">
      <c r="A2011">
        <v>2010</v>
      </c>
      <c r="B2011" s="119">
        <v>0.17649748513946042</v>
      </c>
    </row>
    <row r="2012" spans="1:2">
      <c r="A2012">
        <v>2011</v>
      </c>
      <c r="B2012" s="119">
        <v>0.50983081847279388</v>
      </c>
    </row>
    <row r="2013" spans="1:2">
      <c r="A2013">
        <v>2012</v>
      </c>
      <c r="B2013" s="119">
        <v>0.84316415180612703</v>
      </c>
    </row>
    <row r="2014" spans="1:2">
      <c r="A2014">
        <v>2013</v>
      </c>
      <c r="B2014" s="119">
        <v>0.28760859625057156</v>
      </c>
    </row>
    <row r="2015" spans="1:2">
      <c r="A2015">
        <v>2014</v>
      </c>
      <c r="B2015" s="119">
        <v>0.62094192958390493</v>
      </c>
    </row>
    <row r="2016" spans="1:2">
      <c r="A2016">
        <v>2015</v>
      </c>
      <c r="B2016" s="119">
        <v>0.95427526291723819</v>
      </c>
    </row>
    <row r="2017" spans="1:2">
      <c r="A2017">
        <v>2016</v>
      </c>
      <c r="B2017" s="119">
        <v>0.10242341106538637</v>
      </c>
    </row>
    <row r="2018" spans="1:2">
      <c r="A2018">
        <v>2017</v>
      </c>
      <c r="B2018" s="119">
        <v>0.4357567443987197</v>
      </c>
    </row>
    <row r="2019" spans="1:2">
      <c r="A2019">
        <v>2018</v>
      </c>
      <c r="B2019" s="119">
        <v>0.76909007773205307</v>
      </c>
    </row>
    <row r="2020" spans="1:2">
      <c r="A2020">
        <v>2019</v>
      </c>
      <c r="B2020" s="119">
        <v>0.21353452217649746</v>
      </c>
    </row>
    <row r="2021" spans="1:2">
      <c r="A2021">
        <v>2020</v>
      </c>
      <c r="B2021" s="119">
        <v>0.54686785550983086</v>
      </c>
    </row>
    <row r="2022" spans="1:2">
      <c r="A2022">
        <v>2021</v>
      </c>
      <c r="B2022" s="119">
        <v>0.88020118884316412</v>
      </c>
    </row>
    <row r="2023" spans="1:2">
      <c r="A2023">
        <v>2022</v>
      </c>
      <c r="B2023" s="119">
        <v>0.32464563328760859</v>
      </c>
    </row>
    <row r="2024" spans="1:2">
      <c r="A2024">
        <v>2023</v>
      </c>
      <c r="B2024" s="119">
        <v>0.65797896662094202</v>
      </c>
    </row>
    <row r="2025" spans="1:2">
      <c r="A2025">
        <v>2024</v>
      </c>
      <c r="B2025" s="119">
        <v>0.99131229995427528</v>
      </c>
    </row>
    <row r="2026" spans="1:2">
      <c r="A2026">
        <v>2025</v>
      </c>
      <c r="B2026" s="119">
        <v>7.7732053040695023E-3</v>
      </c>
    </row>
    <row r="2027" spans="1:2">
      <c r="A2027">
        <v>2026</v>
      </c>
      <c r="B2027" s="119">
        <v>0.34110653863740281</v>
      </c>
    </row>
    <row r="2028" spans="1:2">
      <c r="A2028">
        <v>2027</v>
      </c>
      <c r="B2028" s="119">
        <v>0.67443987197073618</v>
      </c>
    </row>
    <row r="2029" spans="1:2">
      <c r="A2029">
        <v>2028</v>
      </c>
      <c r="B2029" s="119">
        <v>0.1188843164151806</v>
      </c>
    </row>
    <row r="2030" spans="1:2">
      <c r="A2030">
        <v>2029</v>
      </c>
      <c r="B2030" s="119">
        <v>0.45221764974851392</v>
      </c>
    </row>
    <row r="2031" spans="1:2">
      <c r="A2031">
        <v>2030</v>
      </c>
      <c r="B2031" s="119">
        <v>0.78555098308184723</v>
      </c>
    </row>
    <row r="2032" spans="1:2">
      <c r="A2032">
        <v>2031</v>
      </c>
      <c r="B2032" s="119">
        <v>0.22999542752629171</v>
      </c>
    </row>
    <row r="2033" spans="1:2">
      <c r="A2033">
        <v>2032</v>
      </c>
      <c r="B2033" s="119">
        <v>0.56332876085962513</v>
      </c>
    </row>
    <row r="2034" spans="1:2">
      <c r="A2034">
        <v>2033</v>
      </c>
      <c r="B2034" s="119">
        <v>0.89666209419295839</v>
      </c>
    </row>
    <row r="2035" spans="1:2">
      <c r="A2035">
        <v>2034</v>
      </c>
      <c r="B2035" s="119">
        <v>4.4810242341106532E-2</v>
      </c>
    </row>
    <row r="2036" spans="1:2">
      <c r="A2036">
        <v>2035</v>
      </c>
      <c r="B2036" s="119">
        <v>0.37814357567443985</v>
      </c>
    </row>
    <row r="2037" spans="1:2">
      <c r="A2037">
        <v>2036</v>
      </c>
      <c r="B2037" s="119">
        <v>0.71147690900777327</v>
      </c>
    </row>
    <row r="2038" spans="1:2">
      <c r="A2038">
        <v>2037</v>
      </c>
      <c r="B2038" s="119">
        <v>0.15592135345221764</v>
      </c>
    </row>
    <row r="2039" spans="1:2">
      <c r="A2039">
        <v>2038</v>
      </c>
      <c r="B2039" s="119">
        <v>0.48925468678555095</v>
      </c>
    </row>
    <row r="2040" spans="1:2">
      <c r="A2040">
        <v>2039</v>
      </c>
      <c r="B2040" s="119">
        <v>0.82258802011888421</v>
      </c>
    </row>
    <row r="2041" spans="1:2">
      <c r="A2041">
        <v>2040</v>
      </c>
      <c r="B2041" s="119">
        <v>0.26703246456332874</v>
      </c>
    </row>
    <row r="2042" spans="1:2">
      <c r="A2042">
        <v>2041</v>
      </c>
      <c r="B2042" s="119">
        <v>0.60036579789666211</v>
      </c>
    </row>
    <row r="2043" spans="1:2">
      <c r="A2043">
        <v>2042</v>
      </c>
      <c r="B2043" s="119">
        <v>0.93369913122999537</v>
      </c>
    </row>
    <row r="2044" spans="1:2">
      <c r="A2044">
        <v>2043</v>
      </c>
      <c r="B2044" s="119">
        <v>8.1847279378143567E-2</v>
      </c>
    </row>
    <row r="2045" spans="1:2">
      <c r="A2045">
        <v>2044</v>
      </c>
      <c r="B2045" s="119">
        <v>0.41518061271147688</v>
      </c>
    </row>
    <row r="2046" spans="1:2">
      <c r="A2046">
        <v>2045</v>
      </c>
      <c r="B2046" s="119">
        <v>0.74851394604481025</v>
      </c>
    </row>
    <row r="2047" spans="1:2">
      <c r="A2047">
        <v>2046</v>
      </c>
      <c r="B2047" s="119">
        <v>0.19295839048925467</v>
      </c>
    </row>
    <row r="2048" spans="1:2">
      <c r="A2048">
        <v>2047</v>
      </c>
      <c r="B2048" s="119">
        <v>0.52629172382258804</v>
      </c>
    </row>
    <row r="2049" spans="1:2">
      <c r="A2049">
        <v>2048</v>
      </c>
      <c r="B2049" s="119">
        <v>0.8596250571559213</v>
      </c>
    </row>
    <row r="2050" spans="1:2">
      <c r="A2050">
        <v>2049</v>
      </c>
      <c r="B2050" s="119">
        <v>0.30406950160036578</v>
      </c>
    </row>
    <row r="2051" spans="1:2">
      <c r="A2051">
        <v>2050</v>
      </c>
      <c r="B2051" s="119">
        <v>0.6374028349336992</v>
      </c>
    </row>
    <row r="2052" spans="1:2">
      <c r="A2052">
        <v>2051</v>
      </c>
      <c r="B2052" s="119">
        <v>0.97073616826703246</v>
      </c>
    </row>
    <row r="2053" spans="1:2">
      <c r="A2053">
        <v>2052</v>
      </c>
      <c r="B2053" s="119">
        <v>2.0118884316415182E-2</v>
      </c>
    </row>
    <row r="2054" spans="1:2">
      <c r="A2054">
        <v>2053</v>
      </c>
      <c r="B2054" s="119">
        <v>0.35345221764974849</v>
      </c>
    </row>
    <row r="2055" spans="1:2">
      <c r="A2055">
        <v>2054</v>
      </c>
      <c r="B2055" s="119">
        <v>0.68678555098308181</v>
      </c>
    </row>
    <row r="2056" spans="1:2">
      <c r="A2056">
        <v>2055</v>
      </c>
      <c r="B2056" s="119">
        <v>0.13122999542752628</v>
      </c>
    </row>
    <row r="2057" spans="1:2">
      <c r="A2057">
        <v>2056</v>
      </c>
      <c r="B2057" s="119">
        <v>0.4645633287608596</v>
      </c>
    </row>
    <row r="2058" spans="1:2">
      <c r="A2058">
        <v>2057</v>
      </c>
      <c r="B2058" s="119">
        <v>0.79789666209419297</v>
      </c>
    </row>
    <row r="2059" spans="1:2">
      <c r="A2059">
        <v>2058</v>
      </c>
      <c r="B2059" s="119">
        <v>0.24234110653863739</v>
      </c>
    </row>
    <row r="2060" spans="1:2">
      <c r="A2060">
        <v>2059</v>
      </c>
      <c r="B2060" s="119">
        <v>0.57567443987197087</v>
      </c>
    </row>
    <row r="2061" spans="1:2">
      <c r="A2061">
        <v>2060</v>
      </c>
      <c r="B2061" s="119">
        <v>0.90900777320530413</v>
      </c>
    </row>
    <row r="2062" spans="1:2">
      <c r="A2062">
        <v>2061</v>
      </c>
      <c r="B2062" s="119">
        <v>5.715592135345221E-2</v>
      </c>
    </row>
    <row r="2063" spans="1:2">
      <c r="A2063">
        <v>2062</v>
      </c>
      <c r="B2063" s="119">
        <v>0.39048925468678553</v>
      </c>
    </row>
    <row r="2064" spans="1:2">
      <c r="A2064">
        <v>2063</v>
      </c>
      <c r="B2064" s="119">
        <v>0.72382258802011901</v>
      </c>
    </row>
    <row r="2065" spans="1:2">
      <c r="A2065">
        <v>2064</v>
      </c>
      <c r="B2065" s="119">
        <v>0.16826703246456332</v>
      </c>
    </row>
    <row r="2066" spans="1:2">
      <c r="A2066">
        <v>2065</v>
      </c>
      <c r="B2066" s="119">
        <v>0.50160036579789669</v>
      </c>
    </row>
    <row r="2067" spans="1:2">
      <c r="A2067">
        <v>2066</v>
      </c>
      <c r="B2067" s="119">
        <v>0.83493369913122994</v>
      </c>
    </row>
    <row r="2068" spans="1:2">
      <c r="A2068">
        <v>2067</v>
      </c>
      <c r="B2068" s="119">
        <v>0.27937814357567442</v>
      </c>
    </row>
    <row r="2069" spans="1:2">
      <c r="A2069">
        <v>2068</v>
      </c>
      <c r="B2069" s="119">
        <v>0.61271147690900785</v>
      </c>
    </row>
    <row r="2070" spans="1:2">
      <c r="A2070">
        <v>2069</v>
      </c>
      <c r="B2070" s="119">
        <v>0.94604481024234111</v>
      </c>
    </row>
    <row r="2071" spans="1:2">
      <c r="A2071">
        <v>2070</v>
      </c>
      <c r="B2071" s="119">
        <v>9.4192958390489245E-2</v>
      </c>
    </row>
    <row r="2072" spans="1:2">
      <c r="A2072">
        <v>2071</v>
      </c>
      <c r="B2072" s="119">
        <v>0.42752629172382256</v>
      </c>
    </row>
    <row r="2073" spans="1:2">
      <c r="A2073">
        <v>2072</v>
      </c>
      <c r="B2073" s="119">
        <v>0.76085962505715599</v>
      </c>
    </row>
    <row r="2074" spans="1:2">
      <c r="A2074">
        <v>2073</v>
      </c>
      <c r="B2074" s="119">
        <v>0.20530406950160035</v>
      </c>
    </row>
    <row r="2075" spans="1:2">
      <c r="A2075">
        <v>2074</v>
      </c>
      <c r="B2075" s="119">
        <v>0.53863740283493367</v>
      </c>
    </row>
    <row r="2076" spans="1:2">
      <c r="A2076">
        <v>2075</v>
      </c>
      <c r="B2076" s="119">
        <v>0.87197073616826692</v>
      </c>
    </row>
    <row r="2077" spans="1:2">
      <c r="A2077">
        <v>2076</v>
      </c>
      <c r="B2077" s="119">
        <v>0.31641518061271146</v>
      </c>
    </row>
    <row r="2078" spans="1:2">
      <c r="A2078">
        <v>2077</v>
      </c>
      <c r="B2078" s="119">
        <v>0.64974851394604483</v>
      </c>
    </row>
    <row r="2079" spans="1:2">
      <c r="A2079">
        <v>2078</v>
      </c>
      <c r="B2079" s="119">
        <v>0.98308184727937808</v>
      </c>
    </row>
    <row r="2080" spans="1:2">
      <c r="A2080">
        <v>2079</v>
      </c>
      <c r="B2080" s="119">
        <v>3.2464563328760854E-2</v>
      </c>
    </row>
    <row r="2081" spans="1:2">
      <c r="A2081">
        <v>2080</v>
      </c>
      <c r="B2081" s="119">
        <v>0.36579789666209417</v>
      </c>
    </row>
    <row r="2082" spans="1:2">
      <c r="A2082">
        <v>2081</v>
      </c>
      <c r="B2082" s="119">
        <v>0.69913122999542754</v>
      </c>
    </row>
    <row r="2083" spans="1:2">
      <c r="A2083">
        <v>2082</v>
      </c>
      <c r="B2083" s="119">
        <v>0.14357567443987196</v>
      </c>
    </row>
    <row r="2084" spans="1:2">
      <c r="A2084">
        <v>2083</v>
      </c>
      <c r="B2084" s="119">
        <v>0.47690900777320527</v>
      </c>
    </row>
    <row r="2085" spans="1:2">
      <c r="A2085">
        <v>2084</v>
      </c>
      <c r="B2085" s="119">
        <v>0.81024234110653859</v>
      </c>
    </row>
    <row r="2086" spans="1:2">
      <c r="A2086">
        <v>2085</v>
      </c>
      <c r="B2086" s="119">
        <v>0.25468678555098306</v>
      </c>
    </row>
    <row r="2087" spans="1:2">
      <c r="A2087">
        <v>2086</v>
      </c>
      <c r="B2087" s="119">
        <v>0.58802011888431649</v>
      </c>
    </row>
    <row r="2088" spans="1:2">
      <c r="A2088">
        <v>2087</v>
      </c>
      <c r="B2088" s="119">
        <v>0.92135345221764975</v>
      </c>
    </row>
    <row r="2089" spans="1:2">
      <c r="A2089">
        <v>2088</v>
      </c>
      <c r="B2089" s="119">
        <v>6.9501600365797889E-2</v>
      </c>
    </row>
    <row r="2090" spans="1:2">
      <c r="A2090">
        <v>2089</v>
      </c>
      <c r="B2090" s="119">
        <v>0.4028349336991312</v>
      </c>
    </row>
    <row r="2091" spans="1:2">
      <c r="A2091">
        <v>2090</v>
      </c>
      <c r="B2091" s="119">
        <v>0.73616826703246463</v>
      </c>
    </row>
    <row r="2092" spans="1:2">
      <c r="A2092">
        <v>2091</v>
      </c>
      <c r="B2092" s="119">
        <v>0.18061271147690899</v>
      </c>
    </row>
    <row r="2093" spans="1:2">
      <c r="A2093">
        <v>2092</v>
      </c>
      <c r="B2093" s="119">
        <v>0.51394604481024242</v>
      </c>
    </row>
    <row r="2094" spans="1:2">
      <c r="A2094">
        <v>2093</v>
      </c>
      <c r="B2094" s="119">
        <v>0.84727937814357557</v>
      </c>
    </row>
    <row r="2095" spans="1:2">
      <c r="A2095">
        <v>2094</v>
      </c>
      <c r="B2095" s="119">
        <v>0.2917238225880201</v>
      </c>
    </row>
    <row r="2096" spans="1:2">
      <c r="A2096">
        <v>2095</v>
      </c>
      <c r="B2096" s="119">
        <v>0.62505715592135347</v>
      </c>
    </row>
    <row r="2097" spans="1:2">
      <c r="A2097">
        <v>2096</v>
      </c>
      <c r="B2097" s="119">
        <v>0.95839048925468673</v>
      </c>
    </row>
    <row r="2098" spans="1:2">
      <c r="A2098">
        <v>2097</v>
      </c>
      <c r="B2098" s="119">
        <v>0.10653863740283492</v>
      </c>
    </row>
    <row r="2099" spans="1:2">
      <c r="A2099">
        <v>2098</v>
      </c>
      <c r="B2099" s="119">
        <v>0.43987197073616824</v>
      </c>
    </row>
    <row r="2100" spans="1:2">
      <c r="A2100">
        <v>2099</v>
      </c>
      <c r="B2100" s="119">
        <v>0.77320530406950161</v>
      </c>
    </row>
    <row r="2101" spans="1:2">
      <c r="A2101">
        <v>2100</v>
      </c>
      <c r="B2101" s="119">
        <v>0.21764974851394603</v>
      </c>
    </row>
    <row r="2102" spans="1:2">
      <c r="A2102">
        <v>2101</v>
      </c>
      <c r="B2102" s="119">
        <v>0.5509830818472794</v>
      </c>
    </row>
    <row r="2103" spans="1:2">
      <c r="A2103">
        <v>2102</v>
      </c>
      <c r="B2103" s="119">
        <v>0.88431641518061266</v>
      </c>
    </row>
    <row r="2104" spans="1:2">
      <c r="A2104">
        <v>2103</v>
      </c>
      <c r="B2104" s="119">
        <v>0.32876085962505713</v>
      </c>
    </row>
    <row r="2105" spans="1:2">
      <c r="A2105">
        <v>2104</v>
      </c>
      <c r="B2105" s="119">
        <v>0.66209419295839056</v>
      </c>
    </row>
    <row r="2106" spans="1:2">
      <c r="A2106">
        <v>2105</v>
      </c>
      <c r="B2106" s="119">
        <v>0.99542752629172382</v>
      </c>
    </row>
    <row r="2107" spans="1:2">
      <c r="A2107">
        <v>2106</v>
      </c>
      <c r="B2107" s="119">
        <v>1.1888431641518062E-2</v>
      </c>
    </row>
    <row r="2108" spans="1:2">
      <c r="A2108">
        <v>2107</v>
      </c>
      <c r="B2108" s="119">
        <v>0.34522176497485141</v>
      </c>
    </row>
    <row r="2109" spans="1:2">
      <c r="A2109">
        <v>2108</v>
      </c>
      <c r="B2109" s="119">
        <v>0.67855509830818472</v>
      </c>
    </row>
    <row r="2110" spans="1:2">
      <c r="A2110">
        <v>2109</v>
      </c>
      <c r="B2110" s="119">
        <v>0.12299954275262917</v>
      </c>
    </row>
    <row r="2111" spans="1:2">
      <c r="A2111">
        <v>2110</v>
      </c>
      <c r="B2111" s="119">
        <v>0.45633287608596251</v>
      </c>
    </row>
    <row r="2112" spans="1:2">
      <c r="A2112">
        <v>2111</v>
      </c>
      <c r="B2112" s="119">
        <v>0.78966620941929577</v>
      </c>
    </row>
    <row r="2113" spans="1:2">
      <c r="A2113">
        <v>2112</v>
      </c>
      <c r="B2113" s="119">
        <v>0.23411065386374025</v>
      </c>
    </row>
    <row r="2114" spans="1:2">
      <c r="A2114">
        <v>2113</v>
      </c>
      <c r="B2114" s="119">
        <v>0.56744398719707367</v>
      </c>
    </row>
    <row r="2115" spans="1:2">
      <c r="A2115">
        <v>2114</v>
      </c>
      <c r="B2115" s="119">
        <v>0.90077732053040693</v>
      </c>
    </row>
    <row r="2116" spans="1:2">
      <c r="A2116">
        <v>2115</v>
      </c>
      <c r="B2116" s="119">
        <v>4.8925468678555094E-2</v>
      </c>
    </row>
    <row r="2117" spans="1:2">
      <c r="A2117">
        <v>2116</v>
      </c>
      <c r="B2117" s="119">
        <v>0.38225880201188844</v>
      </c>
    </row>
    <row r="2118" spans="1:2">
      <c r="A2118">
        <v>2117</v>
      </c>
      <c r="B2118" s="119">
        <v>0.71559213534522181</v>
      </c>
    </row>
    <row r="2119" spans="1:2">
      <c r="A2119">
        <v>2118</v>
      </c>
      <c r="B2119" s="119">
        <v>0.16003657978966618</v>
      </c>
    </row>
    <row r="2120" spans="1:2">
      <c r="A2120">
        <v>2119</v>
      </c>
      <c r="B2120" s="119">
        <v>0.49336991312299955</v>
      </c>
    </row>
    <row r="2121" spans="1:2">
      <c r="A2121">
        <v>2120</v>
      </c>
      <c r="B2121" s="119">
        <v>0.82670324645633275</v>
      </c>
    </row>
    <row r="2122" spans="1:2">
      <c r="A2122">
        <v>2121</v>
      </c>
      <c r="B2122" s="119">
        <v>0.27114769090077734</v>
      </c>
    </row>
    <row r="2123" spans="1:2">
      <c r="A2123">
        <v>2122</v>
      </c>
      <c r="B2123" s="119">
        <v>0.60448102423411065</v>
      </c>
    </row>
    <row r="2124" spans="1:2">
      <c r="A2124">
        <v>2123</v>
      </c>
      <c r="B2124" s="119">
        <v>0.93781435756744391</v>
      </c>
    </row>
    <row r="2125" spans="1:2">
      <c r="A2125">
        <v>2124</v>
      </c>
      <c r="B2125" s="119">
        <v>8.5962505715592136E-2</v>
      </c>
    </row>
    <row r="2126" spans="1:2">
      <c r="A2126">
        <v>2125</v>
      </c>
      <c r="B2126" s="119">
        <v>0.41929583904892548</v>
      </c>
    </row>
    <row r="2127" spans="1:2">
      <c r="A2127">
        <v>2126</v>
      </c>
      <c r="B2127" s="119">
        <v>0.75262917238225879</v>
      </c>
    </row>
    <row r="2128" spans="1:2">
      <c r="A2128">
        <v>2127</v>
      </c>
      <c r="B2128" s="119">
        <v>0.19707361682670321</v>
      </c>
    </row>
    <row r="2129" spans="1:2">
      <c r="A2129">
        <v>2128</v>
      </c>
      <c r="B2129" s="119">
        <v>0.53040695016003658</v>
      </c>
    </row>
    <row r="2130" spans="1:2">
      <c r="A2130">
        <v>2129</v>
      </c>
      <c r="B2130" s="119">
        <v>0.86374028349336984</v>
      </c>
    </row>
    <row r="2131" spans="1:2">
      <c r="A2131">
        <v>2130</v>
      </c>
      <c r="B2131" s="119">
        <v>0.30818472793781437</v>
      </c>
    </row>
    <row r="2132" spans="1:2">
      <c r="A2132">
        <v>2131</v>
      </c>
      <c r="B2132" s="119">
        <v>0.64151806127114774</v>
      </c>
    </row>
    <row r="2133" spans="1:2">
      <c r="A2133">
        <v>2132</v>
      </c>
      <c r="B2133" s="119">
        <v>0.974851394604481</v>
      </c>
    </row>
    <row r="2134" spans="1:2">
      <c r="A2134">
        <v>2133</v>
      </c>
      <c r="B2134" s="119">
        <v>2.4234110653863741E-2</v>
      </c>
    </row>
    <row r="2135" spans="1:2">
      <c r="A2135">
        <v>2134</v>
      </c>
      <c r="B2135" s="119">
        <v>0.35756744398719709</v>
      </c>
    </row>
    <row r="2136" spans="1:2">
      <c r="A2136">
        <v>2135</v>
      </c>
      <c r="B2136" s="119">
        <v>0.69090077732053035</v>
      </c>
    </row>
    <row r="2137" spans="1:2">
      <c r="A2137">
        <v>2136</v>
      </c>
      <c r="B2137" s="119">
        <v>0.13534522176497482</v>
      </c>
    </row>
    <row r="2138" spans="1:2">
      <c r="A2138">
        <v>2137</v>
      </c>
      <c r="B2138" s="119">
        <v>0.46867855509830819</v>
      </c>
    </row>
    <row r="2139" spans="1:2">
      <c r="A2139">
        <v>2138</v>
      </c>
      <c r="B2139" s="119">
        <v>0.80201188843164151</v>
      </c>
    </row>
    <row r="2140" spans="1:2">
      <c r="A2140">
        <v>2139</v>
      </c>
      <c r="B2140" s="119">
        <v>0.24645633287608593</v>
      </c>
    </row>
    <row r="2141" spans="1:2">
      <c r="A2141">
        <v>2140</v>
      </c>
      <c r="B2141" s="119">
        <v>0.57978966620941941</v>
      </c>
    </row>
    <row r="2142" spans="1:2">
      <c r="A2142">
        <v>2141</v>
      </c>
      <c r="B2142" s="119">
        <v>0.91312299954275267</v>
      </c>
    </row>
    <row r="2143" spans="1:2">
      <c r="A2143">
        <v>2142</v>
      </c>
      <c r="B2143" s="119">
        <v>6.1271147690900772E-2</v>
      </c>
    </row>
    <row r="2144" spans="1:2">
      <c r="A2144">
        <v>2143</v>
      </c>
      <c r="B2144" s="119">
        <v>0.39460448102423412</v>
      </c>
    </row>
    <row r="2145" spans="1:2">
      <c r="A2145">
        <v>2144</v>
      </c>
      <c r="B2145" s="119">
        <v>0.72793781435756755</v>
      </c>
    </row>
    <row r="2146" spans="1:2">
      <c r="A2146">
        <v>2145</v>
      </c>
      <c r="B2146" s="119">
        <v>0.17238225880201186</v>
      </c>
    </row>
    <row r="2147" spans="1:2">
      <c r="A2147">
        <v>2146</v>
      </c>
      <c r="B2147" s="119">
        <v>0.50571559213534523</v>
      </c>
    </row>
    <row r="2148" spans="1:2">
      <c r="A2148">
        <v>2147</v>
      </c>
      <c r="B2148" s="119">
        <v>0.83904892546867849</v>
      </c>
    </row>
    <row r="2149" spans="1:2">
      <c r="A2149">
        <v>2148</v>
      </c>
      <c r="B2149" s="119">
        <v>0.28349336991312302</v>
      </c>
    </row>
    <row r="2150" spans="1:2">
      <c r="A2150">
        <v>2149</v>
      </c>
      <c r="B2150" s="119">
        <v>0.61682670324645639</v>
      </c>
    </row>
    <row r="2151" spans="1:2">
      <c r="A2151">
        <v>2150</v>
      </c>
      <c r="B2151" s="119">
        <v>0.95016003657978965</v>
      </c>
    </row>
    <row r="2152" spans="1:2">
      <c r="A2152">
        <v>2151</v>
      </c>
      <c r="B2152" s="119">
        <v>9.8308184727937814E-2</v>
      </c>
    </row>
    <row r="2153" spans="1:2">
      <c r="A2153">
        <v>2152</v>
      </c>
      <c r="B2153" s="119">
        <v>0.43164151806127116</v>
      </c>
    </row>
    <row r="2154" spans="1:2">
      <c r="A2154">
        <v>2153</v>
      </c>
      <c r="B2154" s="119">
        <v>0.76497485139460453</v>
      </c>
    </row>
    <row r="2155" spans="1:2">
      <c r="A2155">
        <v>2154</v>
      </c>
      <c r="B2155" s="119">
        <v>0.20941929583904889</v>
      </c>
    </row>
    <row r="2156" spans="1:2">
      <c r="A2156">
        <v>2155</v>
      </c>
      <c r="B2156" s="119">
        <v>0.54275262917238221</v>
      </c>
    </row>
    <row r="2157" spans="1:2">
      <c r="A2157">
        <v>2156</v>
      </c>
      <c r="B2157" s="119">
        <v>0.87608596250571547</v>
      </c>
    </row>
    <row r="2158" spans="1:2">
      <c r="A2158">
        <v>2157</v>
      </c>
      <c r="B2158" s="119">
        <v>0.32053040695016005</v>
      </c>
    </row>
    <row r="2159" spans="1:2">
      <c r="A2159">
        <v>2158</v>
      </c>
      <c r="B2159" s="119">
        <v>0.65386374028349337</v>
      </c>
    </row>
    <row r="2160" spans="1:2">
      <c r="A2160">
        <v>2159</v>
      </c>
      <c r="B2160" s="119">
        <v>0.98719707361682663</v>
      </c>
    </row>
    <row r="2161" spans="1:2">
      <c r="A2161">
        <v>2160</v>
      </c>
      <c r="B2161" s="119">
        <v>3.6579789666209415E-2</v>
      </c>
    </row>
    <row r="2162" spans="1:2">
      <c r="A2162">
        <v>2161</v>
      </c>
      <c r="B2162" s="119">
        <v>0.36991312299954276</v>
      </c>
    </row>
    <row r="2163" spans="1:2">
      <c r="A2163">
        <v>2162</v>
      </c>
      <c r="B2163" s="119">
        <v>0.70324645633287608</v>
      </c>
    </row>
    <row r="2164" spans="1:2">
      <c r="A2164">
        <v>2163</v>
      </c>
      <c r="B2164" s="119">
        <v>0.1476909007773205</v>
      </c>
    </row>
    <row r="2165" spans="1:2">
      <c r="A2165">
        <v>2164</v>
      </c>
      <c r="B2165" s="119">
        <v>0.48102423411065387</v>
      </c>
    </row>
    <row r="2166" spans="1:2">
      <c r="A2166">
        <v>2165</v>
      </c>
      <c r="B2166" s="119">
        <v>0.81435756744398713</v>
      </c>
    </row>
    <row r="2167" spans="1:2">
      <c r="A2167">
        <v>2166</v>
      </c>
      <c r="B2167" s="119">
        <v>0.25880201188843166</v>
      </c>
    </row>
    <row r="2168" spans="1:2">
      <c r="A2168">
        <v>2167</v>
      </c>
      <c r="B2168" s="119">
        <v>0.59213534522176503</v>
      </c>
    </row>
    <row r="2169" spans="1:2">
      <c r="A2169">
        <v>2168</v>
      </c>
      <c r="B2169" s="119">
        <v>0.92546867855509829</v>
      </c>
    </row>
    <row r="2170" spans="1:2">
      <c r="A2170">
        <v>2169</v>
      </c>
      <c r="B2170" s="119">
        <v>7.3616826703246457E-2</v>
      </c>
    </row>
    <row r="2171" spans="1:2">
      <c r="A2171">
        <v>2170</v>
      </c>
      <c r="B2171" s="119">
        <v>0.4069501600365798</v>
      </c>
    </row>
    <row r="2172" spans="1:2">
      <c r="A2172">
        <v>2171</v>
      </c>
      <c r="B2172" s="119">
        <v>0.74028349336991317</v>
      </c>
    </row>
    <row r="2173" spans="1:2">
      <c r="A2173">
        <v>2172</v>
      </c>
      <c r="B2173" s="119">
        <v>0.18472793781435753</v>
      </c>
    </row>
    <row r="2174" spans="1:2">
      <c r="A2174">
        <v>2173</v>
      </c>
      <c r="B2174" s="119">
        <v>0.51806127114769096</v>
      </c>
    </row>
    <row r="2175" spans="1:2">
      <c r="A2175">
        <v>2174</v>
      </c>
      <c r="B2175" s="119">
        <v>0.85139460448102411</v>
      </c>
    </row>
    <row r="2176" spans="1:2">
      <c r="A2176">
        <v>2175</v>
      </c>
      <c r="B2176" s="119">
        <v>0.2958390489254687</v>
      </c>
    </row>
    <row r="2177" spans="1:2">
      <c r="A2177">
        <v>2176</v>
      </c>
      <c r="B2177" s="119">
        <v>0.62917238225880201</v>
      </c>
    </row>
    <row r="2178" spans="1:2">
      <c r="A2178">
        <v>2177</v>
      </c>
      <c r="B2178" s="119">
        <v>0.96250571559213527</v>
      </c>
    </row>
    <row r="2179" spans="1:2">
      <c r="A2179">
        <v>2178</v>
      </c>
      <c r="B2179" s="119">
        <v>0.11065386374028349</v>
      </c>
    </row>
    <row r="2180" spans="1:2">
      <c r="A2180">
        <v>2179</v>
      </c>
      <c r="B2180" s="119">
        <v>0.44398719707361683</v>
      </c>
    </row>
    <row r="2181" spans="1:2">
      <c r="A2181">
        <v>2180</v>
      </c>
      <c r="B2181" s="119">
        <v>0.77732053040695015</v>
      </c>
    </row>
    <row r="2182" spans="1:2">
      <c r="A2182">
        <v>2181</v>
      </c>
      <c r="B2182" s="119">
        <v>0.22176497485139457</v>
      </c>
    </row>
    <row r="2183" spans="1:2">
      <c r="A2183">
        <v>2182</v>
      </c>
      <c r="B2183" s="119">
        <v>0.55509830818472794</v>
      </c>
    </row>
    <row r="2184" spans="1:2">
      <c r="A2184">
        <v>2183</v>
      </c>
      <c r="B2184" s="119">
        <v>0.8884316415180612</v>
      </c>
    </row>
    <row r="2185" spans="1:2">
      <c r="A2185">
        <v>2184</v>
      </c>
      <c r="B2185" s="119">
        <v>0.33287608596250573</v>
      </c>
    </row>
    <row r="2186" spans="1:2">
      <c r="A2186">
        <v>2185</v>
      </c>
      <c r="B2186" s="119">
        <v>0.6662094192958391</v>
      </c>
    </row>
    <row r="2187" spans="1:2">
      <c r="A2187">
        <v>2186</v>
      </c>
      <c r="B2187" s="119">
        <v>0.99954275262917236</v>
      </c>
    </row>
    <row r="2188" spans="1:2">
      <c r="A2188">
        <v>2187</v>
      </c>
      <c r="B2188" s="119">
        <v>1.5241579027587258E-4</v>
      </c>
    </row>
    <row r="2189" spans="1:2">
      <c r="A2189">
        <v>2188</v>
      </c>
      <c r="B2189" s="119">
        <v>0.33348574912360918</v>
      </c>
    </row>
    <row r="2190" spans="1:2">
      <c r="A2190">
        <v>2189</v>
      </c>
      <c r="B2190" s="119">
        <v>0.66681908245694255</v>
      </c>
    </row>
    <row r="2191" spans="1:2">
      <c r="A2191">
        <v>2190</v>
      </c>
      <c r="B2191" s="119">
        <v>0.11126352690138698</v>
      </c>
    </row>
    <row r="2192" spans="1:2">
      <c r="A2192">
        <v>2191</v>
      </c>
      <c r="B2192" s="119">
        <v>0.44459686023472028</v>
      </c>
    </row>
    <row r="2193" spans="1:2">
      <c r="A2193">
        <v>2192</v>
      </c>
      <c r="B2193" s="119">
        <v>0.7779301935680536</v>
      </c>
    </row>
    <row r="2194" spans="1:2">
      <c r="A2194">
        <v>2193</v>
      </c>
      <c r="B2194" s="119">
        <v>0.22237463801249807</v>
      </c>
    </row>
    <row r="2195" spans="1:2">
      <c r="A2195">
        <v>2194</v>
      </c>
      <c r="B2195" s="119">
        <v>0.5557079713458315</v>
      </c>
    </row>
    <row r="2196" spans="1:2">
      <c r="A2196">
        <v>2195</v>
      </c>
      <c r="B2196" s="119">
        <v>0.88904130467916476</v>
      </c>
    </row>
    <row r="2197" spans="1:2">
      <c r="A2197">
        <v>2196</v>
      </c>
      <c r="B2197" s="119">
        <v>3.718945282731291E-2</v>
      </c>
    </row>
    <row r="2198" spans="1:2">
      <c r="A2198">
        <v>2197</v>
      </c>
      <c r="B2198" s="119">
        <v>0.37052278616064621</v>
      </c>
    </row>
    <row r="2199" spans="1:2">
      <c r="A2199">
        <v>2198</v>
      </c>
      <c r="B2199" s="119">
        <v>0.70385611949397964</v>
      </c>
    </row>
    <row r="2200" spans="1:2">
      <c r="A2200">
        <v>2199</v>
      </c>
      <c r="B2200" s="119">
        <v>0.148300563938424</v>
      </c>
    </row>
    <row r="2201" spans="1:2">
      <c r="A2201">
        <v>2200</v>
      </c>
      <c r="B2201" s="119">
        <v>0.48163389727175732</v>
      </c>
    </row>
    <row r="2202" spans="1:2">
      <c r="A2202">
        <v>2201</v>
      </c>
      <c r="B2202" s="119">
        <v>0.81496723060509058</v>
      </c>
    </row>
    <row r="2203" spans="1:2">
      <c r="A2203">
        <v>2202</v>
      </c>
      <c r="B2203" s="119">
        <v>0.25941167504953511</v>
      </c>
    </row>
    <row r="2204" spans="1:2">
      <c r="A2204">
        <v>2203</v>
      </c>
      <c r="B2204" s="119">
        <v>0.59274500838286848</v>
      </c>
    </row>
    <row r="2205" spans="1:2">
      <c r="A2205">
        <v>2204</v>
      </c>
      <c r="B2205" s="119">
        <v>0.92607834171620174</v>
      </c>
    </row>
    <row r="2206" spans="1:2">
      <c r="A2206">
        <v>2205</v>
      </c>
      <c r="B2206" s="119">
        <v>7.4226489864349945E-2</v>
      </c>
    </row>
    <row r="2207" spans="1:2">
      <c r="A2207">
        <v>2206</v>
      </c>
      <c r="B2207" s="119">
        <v>0.40755982319768325</v>
      </c>
    </row>
    <row r="2208" spans="1:2">
      <c r="A2208">
        <v>2207</v>
      </c>
      <c r="B2208" s="119">
        <v>0.74089315653101662</v>
      </c>
    </row>
    <row r="2209" spans="1:2">
      <c r="A2209">
        <v>2208</v>
      </c>
      <c r="B2209" s="119">
        <v>0.18533760097546104</v>
      </c>
    </row>
    <row r="2210" spans="1:2">
      <c r="A2210">
        <v>2209</v>
      </c>
      <c r="B2210" s="119">
        <v>0.51867093430879441</v>
      </c>
    </row>
    <row r="2211" spans="1:2">
      <c r="A2211">
        <v>2210</v>
      </c>
      <c r="B2211" s="119">
        <v>0.85200426764212767</v>
      </c>
    </row>
    <row r="2212" spans="1:2">
      <c r="A2212">
        <v>2211</v>
      </c>
      <c r="B2212" s="119">
        <v>0.29644871208657214</v>
      </c>
    </row>
    <row r="2213" spans="1:2">
      <c r="A2213">
        <v>2212</v>
      </c>
      <c r="B2213" s="119">
        <v>0.62978204541990557</v>
      </c>
    </row>
    <row r="2214" spans="1:2">
      <c r="A2214">
        <v>2213</v>
      </c>
      <c r="B2214" s="119">
        <v>0.96311537875323883</v>
      </c>
    </row>
    <row r="2215" spans="1:2">
      <c r="A2215">
        <v>2214</v>
      </c>
      <c r="B2215" s="119">
        <v>1.249809480262155E-2</v>
      </c>
    </row>
    <row r="2216" spans="1:2">
      <c r="A2216">
        <v>2215</v>
      </c>
      <c r="B2216" s="119">
        <v>0.34583142813595485</v>
      </c>
    </row>
    <row r="2217" spans="1:2">
      <c r="A2217">
        <v>2216</v>
      </c>
      <c r="B2217" s="119">
        <v>0.67916476146928817</v>
      </c>
    </row>
    <row r="2218" spans="1:2">
      <c r="A2218">
        <v>2217</v>
      </c>
      <c r="B2218" s="119">
        <v>0.12360920591373266</v>
      </c>
    </row>
    <row r="2219" spans="1:2">
      <c r="A2219">
        <v>2218</v>
      </c>
      <c r="B2219" s="119">
        <v>0.45694253924706596</v>
      </c>
    </row>
    <row r="2220" spans="1:2">
      <c r="A2220">
        <v>2219</v>
      </c>
      <c r="B2220" s="119">
        <v>0.79027587258039933</v>
      </c>
    </row>
    <row r="2221" spans="1:2">
      <c r="A2221">
        <v>2220</v>
      </c>
      <c r="B2221" s="119">
        <v>0.23472031702484375</v>
      </c>
    </row>
    <row r="2222" spans="1:2">
      <c r="A2222">
        <v>2221</v>
      </c>
      <c r="B2222" s="119">
        <v>0.56805365035817723</v>
      </c>
    </row>
    <row r="2223" spans="1:2">
      <c r="A2223">
        <v>2222</v>
      </c>
      <c r="B2223" s="119">
        <v>0.90138698369151049</v>
      </c>
    </row>
    <row r="2224" spans="1:2">
      <c r="A2224">
        <v>2223</v>
      </c>
      <c r="B2224" s="119">
        <v>4.9535131839658589E-2</v>
      </c>
    </row>
    <row r="2225" spans="1:2">
      <c r="A2225">
        <v>2224</v>
      </c>
      <c r="B2225" s="119">
        <v>0.38286846517299189</v>
      </c>
    </row>
    <row r="2226" spans="1:2">
      <c r="A2226">
        <v>2225</v>
      </c>
      <c r="B2226" s="119">
        <v>0.71620179850632537</v>
      </c>
    </row>
    <row r="2227" spans="1:2">
      <c r="A2227">
        <v>2226</v>
      </c>
      <c r="B2227" s="119">
        <v>0.16064624295076968</v>
      </c>
    </row>
    <row r="2228" spans="1:2">
      <c r="A2228">
        <v>2227</v>
      </c>
      <c r="B2228" s="119">
        <v>0.49397957628410299</v>
      </c>
    </row>
    <row r="2229" spans="1:2">
      <c r="A2229">
        <v>2228</v>
      </c>
      <c r="B2229" s="119">
        <v>0.82731290961743631</v>
      </c>
    </row>
    <row r="2230" spans="1:2">
      <c r="A2230">
        <v>2229</v>
      </c>
      <c r="B2230" s="119">
        <v>0.27175735406188078</v>
      </c>
    </row>
    <row r="2231" spans="1:2">
      <c r="A2231">
        <v>2230</v>
      </c>
      <c r="B2231" s="119">
        <v>0.60509068739521421</v>
      </c>
    </row>
    <row r="2232" spans="1:2">
      <c r="A2232">
        <v>2231</v>
      </c>
      <c r="B2232" s="119">
        <v>0.93842402072854747</v>
      </c>
    </row>
    <row r="2233" spans="1:2">
      <c r="A2233">
        <v>2232</v>
      </c>
      <c r="B2233" s="119">
        <v>8.6572168876695624E-2</v>
      </c>
    </row>
    <row r="2234" spans="1:2">
      <c r="A2234">
        <v>2233</v>
      </c>
      <c r="B2234" s="119">
        <v>0.41990550221002892</v>
      </c>
    </row>
    <row r="2235" spans="1:2">
      <c r="A2235">
        <v>2234</v>
      </c>
      <c r="B2235" s="119">
        <v>0.75323883554336235</v>
      </c>
    </row>
    <row r="2236" spans="1:2">
      <c r="A2236">
        <v>2235</v>
      </c>
      <c r="B2236" s="119">
        <v>0.19768327998780671</v>
      </c>
    </row>
    <row r="2237" spans="1:2">
      <c r="A2237">
        <v>2236</v>
      </c>
      <c r="B2237" s="119">
        <v>0.53101661332114003</v>
      </c>
    </row>
    <row r="2238" spans="1:2">
      <c r="A2238">
        <v>2237</v>
      </c>
      <c r="B2238" s="119">
        <v>0.86434994665447329</v>
      </c>
    </row>
    <row r="2239" spans="1:2">
      <c r="A2239">
        <v>2238</v>
      </c>
      <c r="B2239" s="119">
        <v>0.30879439109891782</v>
      </c>
    </row>
    <row r="2240" spans="1:2">
      <c r="A2240">
        <v>2239</v>
      </c>
      <c r="B2240" s="119">
        <v>0.64212772443225119</v>
      </c>
    </row>
    <row r="2241" spans="1:2">
      <c r="A2241">
        <v>2240</v>
      </c>
      <c r="B2241" s="119">
        <v>0.97546105776558445</v>
      </c>
    </row>
    <row r="2242" spans="1:2">
      <c r="A2242">
        <v>2241</v>
      </c>
      <c r="B2242" s="119">
        <v>2.4843773814967229E-2</v>
      </c>
    </row>
    <row r="2243" spans="1:2">
      <c r="A2243">
        <v>2242</v>
      </c>
      <c r="B2243" s="119">
        <v>0.35817710714830053</v>
      </c>
    </row>
    <row r="2244" spans="1:2">
      <c r="A2244">
        <v>2243</v>
      </c>
      <c r="B2244" s="119">
        <v>0.6915104404816339</v>
      </c>
    </row>
    <row r="2245" spans="1:2">
      <c r="A2245">
        <v>2244</v>
      </c>
      <c r="B2245" s="119">
        <v>0.13595488492607832</v>
      </c>
    </row>
    <row r="2246" spans="1:2">
      <c r="A2246">
        <v>2245</v>
      </c>
      <c r="B2246" s="119">
        <v>0.46928821825941164</v>
      </c>
    </row>
    <row r="2247" spans="1:2">
      <c r="A2247">
        <v>2246</v>
      </c>
      <c r="B2247" s="119">
        <v>0.80262155159274495</v>
      </c>
    </row>
    <row r="2248" spans="1:2">
      <c r="A2248">
        <v>2247</v>
      </c>
      <c r="B2248" s="119">
        <v>0.24706599603718943</v>
      </c>
    </row>
    <row r="2249" spans="1:2">
      <c r="A2249">
        <v>2248</v>
      </c>
      <c r="B2249" s="119">
        <v>0.58039932937052285</v>
      </c>
    </row>
    <row r="2250" spans="1:2">
      <c r="A2250">
        <v>2249</v>
      </c>
      <c r="B2250" s="119">
        <v>0.91373266270385611</v>
      </c>
    </row>
    <row r="2251" spans="1:2">
      <c r="A2251">
        <v>2250</v>
      </c>
      <c r="B2251" s="119">
        <v>6.1880810852004267E-2</v>
      </c>
    </row>
    <row r="2252" spans="1:2">
      <c r="A2252">
        <v>2251</v>
      </c>
      <c r="B2252" s="119">
        <v>0.39521414418533757</v>
      </c>
    </row>
    <row r="2253" spans="1:2">
      <c r="A2253">
        <v>2252</v>
      </c>
      <c r="B2253" s="119">
        <v>0.72854747751867099</v>
      </c>
    </row>
    <row r="2254" spans="1:2">
      <c r="A2254">
        <v>2253</v>
      </c>
      <c r="B2254" s="119">
        <v>0.17299192196311536</v>
      </c>
    </row>
    <row r="2255" spans="1:2">
      <c r="A2255">
        <v>2254</v>
      </c>
      <c r="B2255" s="119">
        <v>0.50632525529644878</v>
      </c>
    </row>
    <row r="2256" spans="1:2">
      <c r="A2256">
        <v>2255</v>
      </c>
      <c r="B2256" s="119">
        <v>0.83965858862978193</v>
      </c>
    </row>
    <row r="2257" spans="1:2">
      <c r="A2257">
        <v>2256</v>
      </c>
      <c r="B2257" s="119">
        <v>0.28410303307422646</v>
      </c>
    </row>
    <row r="2258" spans="1:2">
      <c r="A2258">
        <v>2257</v>
      </c>
      <c r="B2258" s="119">
        <v>0.61743636640755983</v>
      </c>
    </row>
    <row r="2259" spans="1:2">
      <c r="A2259">
        <v>2258</v>
      </c>
      <c r="B2259" s="119">
        <v>0.95076969974089309</v>
      </c>
    </row>
    <row r="2260" spans="1:2">
      <c r="A2260">
        <v>2259</v>
      </c>
      <c r="B2260" s="119">
        <v>9.8917847889041302E-2</v>
      </c>
    </row>
    <row r="2261" spans="1:2">
      <c r="A2261">
        <v>2260</v>
      </c>
      <c r="B2261" s="119">
        <v>0.4322511812223746</v>
      </c>
    </row>
    <row r="2262" spans="1:2">
      <c r="A2262">
        <v>2261</v>
      </c>
      <c r="B2262" s="119">
        <v>0.76558451455570797</v>
      </c>
    </row>
    <row r="2263" spans="1:2">
      <c r="A2263">
        <v>2262</v>
      </c>
      <c r="B2263" s="119">
        <v>0.21002895900015239</v>
      </c>
    </row>
    <row r="2264" spans="1:2">
      <c r="A2264">
        <v>2263</v>
      </c>
      <c r="B2264" s="119">
        <v>0.54336229233348576</v>
      </c>
    </row>
    <row r="2265" spans="1:2">
      <c r="A2265">
        <v>2264</v>
      </c>
      <c r="B2265" s="119">
        <v>0.87669562566681902</v>
      </c>
    </row>
    <row r="2266" spans="1:2">
      <c r="A2266">
        <v>2265</v>
      </c>
      <c r="B2266" s="119">
        <v>0.3211400701112635</v>
      </c>
    </row>
    <row r="2267" spans="1:2">
      <c r="A2267">
        <v>2266</v>
      </c>
      <c r="B2267" s="119">
        <v>0.65447340344459692</v>
      </c>
    </row>
    <row r="2268" spans="1:2">
      <c r="A2268">
        <v>2267</v>
      </c>
      <c r="B2268" s="119">
        <v>0.98780673677793018</v>
      </c>
    </row>
    <row r="2269" spans="1:2">
      <c r="A2269">
        <v>2268</v>
      </c>
      <c r="B2269" s="119">
        <v>4.2676421277244329E-3</v>
      </c>
    </row>
    <row r="2270" spans="1:2">
      <c r="A2270">
        <v>2269</v>
      </c>
      <c r="B2270" s="119">
        <v>0.33760097546105772</v>
      </c>
    </row>
    <row r="2271" spans="1:2">
      <c r="A2271">
        <v>2270</v>
      </c>
      <c r="B2271" s="119">
        <v>0.67093430879439109</v>
      </c>
    </row>
    <row r="2272" spans="1:2">
      <c r="A2272">
        <v>2271</v>
      </c>
      <c r="B2272" s="119">
        <v>0.11537875323883554</v>
      </c>
    </row>
    <row r="2273" spans="1:2">
      <c r="A2273">
        <v>2272</v>
      </c>
      <c r="B2273" s="119">
        <v>0.44871208657216882</v>
      </c>
    </row>
    <row r="2274" spans="1:2">
      <c r="A2274">
        <v>2273</v>
      </c>
      <c r="B2274" s="119">
        <v>0.78204541990550214</v>
      </c>
    </row>
    <row r="2275" spans="1:2">
      <c r="A2275">
        <v>2274</v>
      </c>
      <c r="B2275" s="119">
        <v>0.22648986434994664</v>
      </c>
    </row>
    <row r="2276" spans="1:2">
      <c r="A2276">
        <v>2275</v>
      </c>
      <c r="B2276" s="119">
        <v>0.55982319768328004</v>
      </c>
    </row>
    <row r="2277" spans="1:2">
      <c r="A2277">
        <v>2276</v>
      </c>
      <c r="B2277" s="119">
        <v>0.8931565310166133</v>
      </c>
    </row>
    <row r="2278" spans="1:2">
      <c r="A2278">
        <v>2277</v>
      </c>
      <c r="B2278" s="119">
        <v>4.1304679164761472E-2</v>
      </c>
    </row>
    <row r="2279" spans="1:2">
      <c r="A2279">
        <v>2278</v>
      </c>
      <c r="B2279" s="119">
        <v>0.37463801249809475</v>
      </c>
    </row>
    <row r="2280" spans="1:2">
      <c r="A2280">
        <v>2279</v>
      </c>
      <c r="B2280" s="119">
        <v>0.70797134583142818</v>
      </c>
    </row>
    <row r="2281" spans="1:2">
      <c r="A2281">
        <v>2280</v>
      </c>
      <c r="B2281" s="119">
        <v>0.15241579027587257</v>
      </c>
    </row>
    <row r="2282" spans="1:2">
      <c r="A2282">
        <v>2281</v>
      </c>
      <c r="B2282" s="119">
        <v>0.48574912360920586</v>
      </c>
    </row>
    <row r="2283" spans="1:2">
      <c r="A2283">
        <v>2282</v>
      </c>
      <c r="B2283" s="119">
        <v>0.81908245694253912</v>
      </c>
    </row>
    <row r="2284" spans="1:2">
      <c r="A2284">
        <v>2283</v>
      </c>
      <c r="B2284" s="119">
        <v>0.26352690138698365</v>
      </c>
    </row>
    <row r="2285" spans="1:2">
      <c r="A2285">
        <v>2284</v>
      </c>
      <c r="B2285" s="119">
        <v>0.59686023472031702</v>
      </c>
    </row>
    <row r="2286" spans="1:2">
      <c r="A2286">
        <v>2285</v>
      </c>
      <c r="B2286" s="119">
        <v>0.93019356805365028</v>
      </c>
    </row>
    <row r="2287" spans="1:2">
      <c r="A2287">
        <v>2286</v>
      </c>
      <c r="B2287" s="119">
        <v>7.83417162017985E-2</v>
      </c>
    </row>
    <row r="2288" spans="1:2">
      <c r="A2288">
        <v>2287</v>
      </c>
      <c r="B2288" s="119">
        <v>0.41167504953513179</v>
      </c>
    </row>
    <row r="2289" spans="1:2">
      <c r="A2289">
        <v>2288</v>
      </c>
      <c r="B2289" s="119">
        <v>0.74500838286846516</v>
      </c>
    </row>
    <row r="2290" spans="1:2">
      <c r="A2290">
        <v>2289</v>
      </c>
      <c r="B2290" s="119">
        <v>0.18945282731290961</v>
      </c>
    </row>
    <row r="2291" spans="1:2">
      <c r="A2291">
        <v>2290</v>
      </c>
      <c r="B2291" s="119">
        <v>0.52278616064624295</v>
      </c>
    </row>
    <row r="2292" spans="1:2">
      <c r="A2292">
        <v>2291</v>
      </c>
      <c r="B2292" s="119">
        <v>0.85611949397957621</v>
      </c>
    </row>
    <row r="2293" spans="1:2">
      <c r="A2293">
        <v>2292</v>
      </c>
      <c r="B2293" s="119">
        <v>0.30056393842402068</v>
      </c>
    </row>
    <row r="2294" spans="1:2">
      <c r="A2294">
        <v>2293</v>
      </c>
      <c r="B2294" s="119">
        <v>0.63389727175735411</v>
      </c>
    </row>
    <row r="2295" spans="1:2">
      <c r="A2295">
        <v>2294</v>
      </c>
      <c r="B2295" s="119">
        <v>0.96723060509068737</v>
      </c>
    </row>
    <row r="2296" spans="1:2">
      <c r="A2296">
        <v>2295</v>
      </c>
      <c r="B2296" s="119">
        <v>1.6613321140070112E-2</v>
      </c>
    </row>
    <row r="2297" spans="1:2">
      <c r="A2297">
        <v>2296</v>
      </c>
      <c r="B2297" s="119">
        <v>0.3499466544734034</v>
      </c>
    </row>
    <row r="2298" spans="1:2">
      <c r="A2298">
        <v>2297</v>
      </c>
      <c r="B2298" s="119">
        <v>0.68327998780673671</v>
      </c>
    </row>
    <row r="2299" spans="1:2">
      <c r="A2299">
        <v>2298</v>
      </c>
      <c r="B2299" s="119">
        <v>0.12772443225118121</v>
      </c>
    </row>
    <row r="2300" spans="1:2">
      <c r="A2300">
        <v>2299</v>
      </c>
      <c r="B2300" s="119">
        <v>0.4610577655845145</v>
      </c>
    </row>
    <row r="2301" spans="1:2">
      <c r="A2301">
        <v>2300</v>
      </c>
      <c r="B2301" s="119">
        <v>0.79439109891784787</v>
      </c>
    </row>
    <row r="2302" spans="1:2">
      <c r="A2302">
        <v>2301</v>
      </c>
      <c r="B2302" s="119">
        <v>0.23883554336229232</v>
      </c>
    </row>
    <row r="2303" spans="1:2">
      <c r="A2303">
        <v>2302</v>
      </c>
      <c r="B2303" s="119">
        <v>0.57216887669562577</v>
      </c>
    </row>
    <row r="2304" spans="1:2">
      <c r="A2304">
        <v>2303</v>
      </c>
      <c r="B2304" s="119">
        <v>0.90550221002895903</v>
      </c>
    </row>
    <row r="2305" spans="1:2">
      <c r="A2305">
        <v>2304</v>
      </c>
      <c r="B2305" s="119">
        <v>5.3650358177107151E-2</v>
      </c>
    </row>
    <row r="2306" spans="1:2">
      <c r="A2306">
        <v>2305</v>
      </c>
      <c r="B2306" s="119">
        <v>0.38698369151044043</v>
      </c>
    </row>
    <row r="2307" spans="1:2">
      <c r="A2307">
        <v>2306</v>
      </c>
      <c r="B2307" s="119">
        <v>0.72031702484377391</v>
      </c>
    </row>
    <row r="2308" spans="1:2">
      <c r="A2308">
        <v>2307</v>
      </c>
      <c r="B2308" s="119">
        <v>0.16476146928821825</v>
      </c>
    </row>
    <row r="2309" spans="1:2">
      <c r="A2309">
        <v>2308</v>
      </c>
      <c r="B2309" s="119">
        <v>0.49809480262155154</v>
      </c>
    </row>
    <row r="2310" spans="1:2">
      <c r="A2310">
        <v>2309</v>
      </c>
      <c r="B2310" s="119">
        <v>0.83142813595488485</v>
      </c>
    </row>
    <row r="2311" spans="1:2">
      <c r="A2311">
        <v>2310</v>
      </c>
      <c r="B2311" s="119">
        <v>0.27587258039932933</v>
      </c>
    </row>
    <row r="2312" spans="1:2">
      <c r="A2312">
        <v>2311</v>
      </c>
      <c r="B2312" s="119">
        <v>0.60920591373266275</v>
      </c>
    </row>
    <row r="2313" spans="1:2">
      <c r="A2313">
        <v>2312</v>
      </c>
      <c r="B2313" s="119">
        <v>0.94253924706599601</v>
      </c>
    </row>
    <row r="2314" spans="1:2">
      <c r="A2314">
        <v>2313</v>
      </c>
      <c r="B2314" s="119">
        <v>9.0687395214144179E-2</v>
      </c>
    </row>
    <row r="2315" spans="1:2">
      <c r="A2315">
        <v>2314</v>
      </c>
      <c r="B2315" s="119">
        <v>0.42402072854747747</v>
      </c>
    </row>
    <row r="2316" spans="1:2">
      <c r="A2316">
        <v>2315</v>
      </c>
      <c r="B2316" s="119">
        <v>0.75735406188081089</v>
      </c>
    </row>
    <row r="2317" spans="1:2">
      <c r="A2317">
        <v>2316</v>
      </c>
      <c r="B2317" s="119">
        <v>0.20179850632525528</v>
      </c>
    </row>
    <row r="2318" spans="1:2">
      <c r="A2318">
        <v>2317</v>
      </c>
      <c r="B2318" s="119">
        <v>0.53513183965858857</v>
      </c>
    </row>
    <row r="2319" spans="1:2">
      <c r="A2319">
        <v>2318</v>
      </c>
      <c r="B2319" s="119">
        <v>0.86846517299192183</v>
      </c>
    </row>
    <row r="2320" spans="1:2">
      <c r="A2320">
        <v>2319</v>
      </c>
      <c r="B2320" s="119">
        <v>0.31290961743636636</v>
      </c>
    </row>
    <row r="2321" spans="1:2">
      <c r="A2321">
        <v>2320</v>
      </c>
      <c r="B2321" s="119">
        <v>0.64624295076969973</v>
      </c>
    </row>
    <row r="2322" spans="1:2">
      <c r="A2322">
        <v>2321</v>
      </c>
      <c r="B2322" s="119">
        <v>0.97957628410303299</v>
      </c>
    </row>
    <row r="2323" spans="1:2">
      <c r="A2323">
        <v>2322</v>
      </c>
      <c r="B2323" s="119">
        <v>2.895900015241579E-2</v>
      </c>
    </row>
    <row r="2324" spans="1:2">
      <c r="A2324">
        <v>2323</v>
      </c>
      <c r="B2324" s="119">
        <v>0.36229233348574907</v>
      </c>
    </row>
    <row r="2325" spans="1:2">
      <c r="A2325">
        <v>2324</v>
      </c>
      <c r="B2325" s="119">
        <v>0.69562566681908244</v>
      </c>
    </row>
    <row r="2326" spans="1:2">
      <c r="A2326">
        <v>2325</v>
      </c>
      <c r="B2326" s="119">
        <v>0.14007011126352689</v>
      </c>
    </row>
    <row r="2327" spans="1:2">
      <c r="A2327">
        <v>2326</v>
      </c>
      <c r="B2327" s="119">
        <v>0.47340344459686018</v>
      </c>
    </row>
    <row r="2328" spans="1:2">
      <c r="A2328">
        <v>2327</v>
      </c>
      <c r="B2328" s="119">
        <v>0.80673677793019349</v>
      </c>
    </row>
    <row r="2329" spans="1:2">
      <c r="A2329">
        <v>2328</v>
      </c>
      <c r="B2329" s="119">
        <v>0.25118122237463797</v>
      </c>
    </row>
    <row r="2330" spans="1:2">
      <c r="A2330">
        <v>2329</v>
      </c>
      <c r="B2330" s="119">
        <v>0.58451455570797139</v>
      </c>
    </row>
    <row r="2331" spans="1:2">
      <c r="A2331">
        <v>2330</v>
      </c>
      <c r="B2331" s="119">
        <v>0.91784788904130465</v>
      </c>
    </row>
    <row r="2332" spans="1:2">
      <c r="A2332">
        <v>2331</v>
      </c>
      <c r="B2332" s="119">
        <v>6.5996037189452822E-2</v>
      </c>
    </row>
    <row r="2333" spans="1:2">
      <c r="A2333">
        <v>2332</v>
      </c>
      <c r="B2333" s="119">
        <v>0.39932937052278611</v>
      </c>
    </row>
    <row r="2334" spans="1:2">
      <c r="A2334">
        <v>2333</v>
      </c>
      <c r="B2334" s="119">
        <v>0.73266270385611953</v>
      </c>
    </row>
    <row r="2335" spans="1:2">
      <c r="A2335">
        <v>2334</v>
      </c>
      <c r="B2335" s="119">
        <v>0.17710714830056393</v>
      </c>
    </row>
    <row r="2336" spans="1:2">
      <c r="A2336">
        <v>2335</v>
      </c>
      <c r="B2336" s="119">
        <v>0.51044048163389732</v>
      </c>
    </row>
    <row r="2337" spans="1:2">
      <c r="A2337">
        <v>2336</v>
      </c>
      <c r="B2337" s="119">
        <v>0.84377381496723047</v>
      </c>
    </row>
    <row r="2338" spans="1:2">
      <c r="A2338">
        <v>2337</v>
      </c>
      <c r="B2338" s="119">
        <v>0.288218259411675</v>
      </c>
    </row>
    <row r="2339" spans="1:2">
      <c r="A2339">
        <v>2338</v>
      </c>
      <c r="B2339" s="119">
        <v>0.62155159274500837</v>
      </c>
    </row>
    <row r="2340" spans="1:2">
      <c r="A2340">
        <v>2339</v>
      </c>
      <c r="B2340" s="119">
        <v>0.95488492607834163</v>
      </c>
    </row>
    <row r="2341" spans="1:2">
      <c r="A2341">
        <v>2340</v>
      </c>
      <c r="B2341" s="119">
        <v>0.10303307422648986</v>
      </c>
    </row>
    <row r="2342" spans="1:2">
      <c r="A2342">
        <v>2341</v>
      </c>
      <c r="B2342" s="119">
        <v>0.43636640755982314</v>
      </c>
    </row>
    <row r="2343" spans="1:2">
      <c r="A2343">
        <v>2342</v>
      </c>
      <c r="B2343" s="119">
        <v>0.76969974089315651</v>
      </c>
    </row>
    <row r="2344" spans="1:2">
      <c r="A2344">
        <v>2343</v>
      </c>
      <c r="B2344" s="119">
        <v>0.21414418533760096</v>
      </c>
    </row>
    <row r="2345" spans="1:2">
      <c r="A2345">
        <v>2344</v>
      </c>
      <c r="B2345" s="119">
        <v>0.5474775186709343</v>
      </c>
    </row>
    <row r="2346" spans="1:2">
      <c r="A2346">
        <v>2345</v>
      </c>
      <c r="B2346" s="119">
        <v>0.88081085200426756</v>
      </c>
    </row>
    <row r="2347" spans="1:2">
      <c r="A2347">
        <v>2346</v>
      </c>
      <c r="B2347" s="119">
        <v>0.32525529644871204</v>
      </c>
    </row>
    <row r="2348" spans="1:2">
      <c r="A2348">
        <v>2347</v>
      </c>
      <c r="B2348" s="119">
        <v>0.65858862978204546</v>
      </c>
    </row>
    <row r="2349" spans="1:2">
      <c r="A2349">
        <v>2348</v>
      </c>
      <c r="B2349" s="119">
        <v>0.99192196311537872</v>
      </c>
    </row>
    <row r="2350" spans="1:2">
      <c r="A2350">
        <v>2349</v>
      </c>
      <c r="B2350" s="119">
        <v>8.3828684651729921E-3</v>
      </c>
    </row>
    <row r="2351" spans="1:2">
      <c r="A2351">
        <v>2350</v>
      </c>
      <c r="B2351" s="119">
        <v>0.34171620179850631</v>
      </c>
    </row>
    <row r="2352" spans="1:2">
      <c r="A2352">
        <v>2351</v>
      </c>
      <c r="B2352" s="119">
        <v>0.67504953513183963</v>
      </c>
    </row>
    <row r="2353" spans="1:2">
      <c r="A2353">
        <v>2352</v>
      </c>
      <c r="B2353" s="119">
        <v>0.1194939795762841</v>
      </c>
    </row>
    <row r="2354" spans="1:2">
      <c r="A2354">
        <v>2353</v>
      </c>
      <c r="B2354" s="119">
        <v>0.45282731290961742</v>
      </c>
    </row>
    <row r="2355" spans="1:2">
      <c r="A2355">
        <v>2354</v>
      </c>
      <c r="B2355" s="119">
        <v>0.78616064624295068</v>
      </c>
    </row>
    <row r="2356" spans="1:2">
      <c r="A2356">
        <v>2355</v>
      </c>
      <c r="B2356" s="119">
        <v>0.23060509068739518</v>
      </c>
    </row>
    <row r="2357" spans="1:2">
      <c r="A2357">
        <v>2356</v>
      </c>
      <c r="B2357" s="119">
        <v>0.56393842402072858</v>
      </c>
    </row>
    <row r="2358" spans="1:2">
      <c r="A2358">
        <v>2357</v>
      </c>
      <c r="B2358" s="119">
        <v>0.89727175735406184</v>
      </c>
    </row>
    <row r="2359" spans="1:2">
      <c r="A2359">
        <v>2358</v>
      </c>
      <c r="B2359" s="119">
        <v>4.5419905502210034E-2</v>
      </c>
    </row>
    <row r="2360" spans="1:2">
      <c r="A2360">
        <v>2359</v>
      </c>
      <c r="B2360" s="119">
        <v>0.37875323883554335</v>
      </c>
    </row>
    <row r="2361" spans="1:2">
      <c r="A2361">
        <v>2360</v>
      </c>
      <c r="B2361" s="119">
        <v>0.71208657216887672</v>
      </c>
    </row>
    <row r="2362" spans="1:2">
      <c r="A2362">
        <v>2361</v>
      </c>
      <c r="B2362" s="119">
        <v>0.15653101661332111</v>
      </c>
    </row>
    <row r="2363" spans="1:2">
      <c r="A2363">
        <v>2362</v>
      </c>
      <c r="B2363" s="119">
        <v>0.48986434994665445</v>
      </c>
    </row>
    <row r="2364" spans="1:2">
      <c r="A2364">
        <v>2363</v>
      </c>
      <c r="B2364" s="119">
        <v>0.82319768327998766</v>
      </c>
    </row>
    <row r="2365" spans="1:2">
      <c r="A2365">
        <v>2364</v>
      </c>
      <c r="B2365" s="119">
        <v>0.26764212772443224</v>
      </c>
    </row>
    <row r="2366" spans="1:2">
      <c r="A2366">
        <v>2365</v>
      </c>
      <c r="B2366" s="119">
        <v>0.60097546105776556</v>
      </c>
    </row>
    <row r="2367" spans="1:2">
      <c r="A2367">
        <v>2366</v>
      </c>
      <c r="B2367" s="119">
        <v>0.93430879439109882</v>
      </c>
    </row>
    <row r="2368" spans="1:2">
      <c r="A2368">
        <v>2367</v>
      </c>
      <c r="B2368" s="119">
        <v>8.2456942539247069E-2</v>
      </c>
    </row>
    <row r="2369" spans="1:2">
      <c r="A2369">
        <v>2368</v>
      </c>
      <c r="B2369" s="119">
        <v>0.41579027587258038</v>
      </c>
    </row>
    <row r="2370" spans="1:2">
      <c r="A2370">
        <v>2369</v>
      </c>
      <c r="B2370" s="119">
        <v>0.7491236092059137</v>
      </c>
    </row>
    <row r="2371" spans="1:2">
      <c r="A2371">
        <v>2370</v>
      </c>
      <c r="B2371" s="119">
        <v>0.19356805365035815</v>
      </c>
    </row>
    <row r="2372" spans="1:2">
      <c r="A2372">
        <v>2371</v>
      </c>
      <c r="B2372" s="119">
        <v>0.52690138698369149</v>
      </c>
    </row>
    <row r="2373" spans="1:2">
      <c r="A2373">
        <v>2372</v>
      </c>
      <c r="B2373" s="119">
        <v>0.86023472031702475</v>
      </c>
    </row>
    <row r="2374" spans="1:2">
      <c r="A2374">
        <v>2373</v>
      </c>
      <c r="B2374" s="119">
        <v>0.30467916476146928</v>
      </c>
    </row>
    <row r="2375" spans="1:2">
      <c r="A2375">
        <v>2374</v>
      </c>
      <c r="B2375" s="119">
        <v>0.63801249809480265</v>
      </c>
    </row>
    <row r="2376" spans="1:2">
      <c r="A2376">
        <v>2375</v>
      </c>
      <c r="B2376" s="119">
        <v>0.97134583142813591</v>
      </c>
    </row>
    <row r="2377" spans="1:2">
      <c r="A2377">
        <v>2376</v>
      </c>
      <c r="B2377" s="119">
        <v>2.072854747751867E-2</v>
      </c>
    </row>
    <row r="2378" spans="1:2">
      <c r="A2378">
        <v>2377</v>
      </c>
      <c r="B2378" s="119">
        <v>0.35406188081085199</v>
      </c>
    </row>
    <row r="2379" spans="1:2">
      <c r="A2379">
        <v>2378</v>
      </c>
      <c r="B2379" s="119">
        <v>0.68739521414418525</v>
      </c>
    </row>
    <row r="2380" spans="1:2">
      <c r="A2380">
        <v>2379</v>
      </c>
      <c r="B2380" s="119">
        <v>0.13183965858862975</v>
      </c>
    </row>
    <row r="2381" spans="1:2">
      <c r="A2381">
        <v>2380</v>
      </c>
      <c r="B2381" s="119">
        <v>0.4651729919219631</v>
      </c>
    </row>
    <row r="2382" spans="1:2">
      <c r="A2382">
        <v>2381</v>
      </c>
      <c r="B2382" s="119">
        <v>0.79850632525529641</v>
      </c>
    </row>
    <row r="2383" spans="1:2">
      <c r="A2383">
        <v>2382</v>
      </c>
      <c r="B2383" s="119">
        <v>0.24295076969974086</v>
      </c>
    </row>
    <row r="2384" spans="1:2">
      <c r="A2384">
        <v>2383</v>
      </c>
      <c r="B2384" s="119">
        <v>0.57628410303307431</v>
      </c>
    </row>
    <row r="2385" spans="1:2">
      <c r="A2385">
        <v>2384</v>
      </c>
      <c r="B2385" s="119">
        <v>0.90961743636640757</v>
      </c>
    </row>
    <row r="2386" spans="1:2">
      <c r="A2386">
        <v>2385</v>
      </c>
      <c r="B2386" s="119">
        <v>5.7765584514555712E-2</v>
      </c>
    </row>
    <row r="2387" spans="1:2">
      <c r="A2387">
        <v>2386</v>
      </c>
      <c r="B2387" s="119">
        <v>0.39109891784788903</v>
      </c>
    </row>
    <row r="2388" spans="1:2">
      <c r="A2388">
        <v>2387</v>
      </c>
      <c r="B2388" s="119">
        <v>0.72443225118122245</v>
      </c>
    </row>
    <row r="2389" spans="1:2">
      <c r="A2389">
        <v>2388</v>
      </c>
      <c r="B2389" s="119">
        <v>0.16887669562566679</v>
      </c>
    </row>
    <row r="2390" spans="1:2">
      <c r="A2390">
        <v>2389</v>
      </c>
      <c r="B2390" s="119">
        <v>0.50221002895900013</v>
      </c>
    </row>
    <row r="2391" spans="1:2">
      <c r="A2391">
        <v>2390</v>
      </c>
      <c r="B2391" s="119">
        <v>0.83554336229233339</v>
      </c>
    </row>
    <row r="2392" spans="1:2">
      <c r="A2392">
        <v>2391</v>
      </c>
      <c r="B2392" s="119">
        <v>0.27998780673677792</v>
      </c>
    </row>
    <row r="2393" spans="1:2">
      <c r="A2393">
        <v>2392</v>
      </c>
      <c r="B2393" s="119">
        <v>0.61332114007011129</v>
      </c>
    </row>
    <row r="2394" spans="1:2">
      <c r="A2394">
        <v>2393</v>
      </c>
      <c r="B2394" s="119">
        <v>0.94665447340344455</v>
      </c>
    </row>
    <row r="2395" spans="1:2">
      <c r="A2395">
        <v>2394</v>
      </c>
      <c r="B2395" s="119">
        <v>9.4802621551592747E-2</v>
      </c>
    </row>
    <row r="2396" spans="1:2">
      <c r="A2396">
        <v>2395</v>
      </c>
      <c r="B2396" s="119">
        <v>0.42813595488492606</v>
      </c>
    </row>
    <row r="2397" spans="1:2">
      <c r="A2397">
        <v>2396</v>
      </c>
      <c r="B2397" s="119">
        <v>0.76146928821825943</v>
      </c>
    </row>
    <row r="2398" spans="1:2">
      <c r="A2398">
        <v>2397</v>
      </c>
      <c r="B2398" s="119">
        <v>0.20591373266270382</v>
      </c>
    </row>
    <row r="2399" spans="1:2">
      <c r="A2399">
        <v>2398</v>
      </c>
      <c r="B2399" s="119">
        <v>0.53924706599603711</v>
      </c>
    </row>
    <row r="2400" spans="1:2">
      <c r="A2400">
        <v>2399</v>
      </c>
      <c r="B2400" s="119">
        <v>0.87258039932937037</v>
      </c>
    </row>
    <row r="2401" spans="1:2">
      <c r="A2401">
        <v>2400</v>
      </c>
      <c r="B2401" s="119">
        <v>0.31702484377381496</v>
      </c>
    </row>
    <row r="2402" spans="1:2">
      <c r="A2402">
        <v>2401</v>
      </c>
      <c r="B2402" s="119">
        <v>0.65035817710714827</v>
      </c>
    </row>
    <row r="2403" spans="1:2">
      <c r="A2403">
        <v>2402</v>
      </c>
      <c r="B2403" s="119">
        <v>0.98369151044048153</v>
      </c>
    </row>
    <row r="2404" spans="1:2">
      <c r="A2404">
        <v>2403</v>
      </c>
      <c r="B2404" s="119">
        <v>3.3074226489864356E-2</v>
      </c>
    </row>
    <row r="2405" spans="1:2">
      <c r="A2405">
        <v>2404</v>
      </c>
      <c r="B2405" s="119">
        <v>0.36640755982319767</v>
      </c>
    </row>
    <row r="2406" spans="1:2">
      <c r="A2406">
        <v>2405</v>
      </c>
      <c r="B2406" s="119">
        <v>0.69974089315653099</v>
      </c>
    </row>
    <row r="2407" spans="1:2">
      <c r="A2407">
        <v>2406</v>
      </c>
      <c r="B2407" s="119">
        <v>0.14418533760097543</v>
      </c>
    </row>
    <row r="2408" spans="1:2">
      <c r="A2408">
        <v>2407</v>
      </c>
      <c r="B2408" s="119">
        <v>0.47751867093430878</v>
      </c>
    </row>
    <row r="2409" spans="1:2">
      <c r="A2409">
        <v>2408</v>
      </c>
      <c r="B2409" s="119">
        <v>0.81085200426764203</v>
      </c>
    </row>
    <row r="2410" spans="1:2">
      <c r="A2410">
        <v>2409</v>
      </c>
      <c r="B2410" s="119">
        <v>0.25529644871208657</v>
      </c>
    </row>
    <row r="2411" spans="1:2">
      <c r="A2411">
        <v>2410</v>
      </c>
      <c r="B2411" s="119">
        <v>0.58862978204541994</v>
      </c>
    </row>
    <row r="2412" spans="1:2">
      <c r="A2412">
        <v>2411</v>
      </c>
      <c r="B2412" s="119">
        <v>0.9219631153787532</v>
      </c>
    </row>
    <row r="2413" spans="1:2">
      <c r="A2413">
        <v>2412</v>
      </c>
      <c r="B2413" s="119">
        <v>7.0111263526901391E-2</v>
      </c>
    </row>
    <row r="2414" spans="1:2">
      <c r="A2414">
        <v>2413</v>
      </c>
      <c r="B2414" s="119">
        <v>0.40344459686023471</v>
      </c>
    </row>
    <row r="2415" spans="1:2">
      <c r="A2415">
        <v>2414</v>
      </c>
      <c r="B2415" s="119">
        <v>0.73677793019356808</v>
      </c>
    </row>
    <row r="2416" spans="1:2">
      <c r="A2416">
        <v>2415</v>
      </c>
      <c r="B2416" s="119">
        <v>0.18122237463801247</v>
      </c>
    </row>
    <row r="2417" spans="1:2">
      <c r="A2417">
        <v>2416</v>
      </c>
      <c r="B2417" s="119">
        <v>0.51455570797134587</v>
      </c>
    </row>
    <row r="2418" spans="1:2">
      <c r="A2418">
        <v>2417</v>
      </c>
      <c r="B2418" s="119">
        <v>0.84788904130467901</v>
      </c>
    </row>
    <row r="2419" spans="1:2">
      <c r="A2419">
        <v>2418</v>
      </c>
      <c r="B2419" s="119">
        <v>0.2923334857491236</v>
      </c>
    </row>
    <row r="2420" spans="1:2">
      <c r="A2420">
        <v>2419</v>
      </c>
      <c r="B2420" s="119">
        <v>0.62566681908245692</v>
      </c>
    </row>
    <row r="2421" spans="1:2">
      <c r="A2421">
        <v>2420</v>
      </c>
      <c r="B2421" s="119">
        <v>0.95900015241579017</v>
      </c>
    </row>
    <row r="2422" spans="1:2">
      <c r="A2422">
        <v>2421</v>
      </c>
      <c r="B2422" s="119">
        <v>0.10714830056393843</v>
      </c>
    </row>
    <row r="2423" spans="1:2">
      <c r="A2423">
        <v>2422</v>
      </c>
      <c r="B2423" s="119">
        <v>0.44048163389727174</v>
      </c>
    </row>
    <row r="2424" spans="1:2">
      <c r="A2424">
        <v>2423</v>
      </c>
      <c r="B2424" s="119">
        <v>0.77381496723060506</v>
      </c>
    </row>
    <row r="2425" spans="1:2">
      <c r="A2425">
        <v>2424</v>
      </c>
      <c r="B2425" s="119">
        <v>0.2182594116750495</v>
      </c>
    </row>
    <row r="2426" spans="1:2">
      <c r="A2426">
        <v>2425</v>
      </c>
      <c r="B2426" s="119">
        <v>0.55159274500838285</v>
      </c>
    </row>
    <row r="2427" spans="1:2">
      <c r="A2427">
        <v>2426</v>
      </c>
      <c r="B2427" s="119">
        <v>0.8849260783417161</v>
      </c>
    </row>
    <row r="2428" spans="1:2">
      <c r="A2428">
        <v>2427</v>
      </c>
      <c r="B2428" s="119">
        <v>0.32937052278616064</v>
      </c>
    </row>
    <row r="2429" spans="1:2">
      <c r="A2429">
        <v>2428</v>
      </c>
      <c r="B2429" s="119">
        <v>0.66270385611949401</v>
      </c>
    </row>
    <row r="2430" spans="1:2">
      <c r="A2430">
        <v>2429</v>
      </c>
      <c r="B2430" s="119">
        <v>0.99603718945282727</v>
      </c>
    </row>
    <row r="2431" spans="1:2">
      <c r="A2431">
        <v>2430</v>
      </c>
      <c r="B2431" s="119">
        <v>1.5241579027587258E-3</v>
      </c>
    </row>
    <row r="2432" spans="1:2">
      <c r="A2432">
        <v>2431</v>
      </c>
      <c r="B2432" s="119">
        <v>0.33485749123609204</v>
      </c>
    </row>
    <row r="2433" spans="1:2">
      <c r="A2433">
        <v>2432</v>
      </c>
      <c r="B2433" s="119">
        <v>0.66819082456942536</v>
      </c>
    </row>
    <row r="2434" spans="1:2">
      <c r="A2434">
        <v>2433</v>
      </c>
      <c r="B2434" s="119">
        <v>0.11263526901386983</v>
      </c>
    </row>
    <row r="2435" spans="1:2">
      <c r="A2435">
        <v>2434</v>
      </c>
      <c r="B2435" s="119">
        <v>0.44596860234720315</v>
      </c>
    </row>
    <row r="2436" spans="1:2">
      <c r="A2436">
        <v>2435</v>
      </c>
      <c r="B2436" s="119">
        <v>0.77930193568053641</v>
      </c>
    </row>
    <row r="2437" spans="1:2">
      <c r="A2437">
        <v>2436</v>
      </c>
      <c r="B2437" s="119">
        <v>0.22374638012498094</v>
      </c>
    </row>
    <row r="2438" spans="1:2">
      <c r="A2438">
        <v>2437</v>
      </c>
      <c r="B2438" s="119">
        <v>0.55707971345831431</v>
      </c>
    </row>
    <row r="2439" spans="1:2">
      <c r="A2439">
        <v>2438</v>
      </c>
      <c r="B2439" s="119">
        <v>0.89041304679164757</v>
      </c>
    </row>
    <row r="2440" spans="1:2">
      <c r="A2440">
        <v>2439</v>
      </c>
      <c r="B2440" s="119">
        <v>3.8561194939795762E-2</v>
      </c>
    </row>
    <row r="2441" spans="1:2">
      <c r="A2441">
        <v>2440</v>
      </c>
      <c r="B2441" s="119">
        <v>0.37189452827312908</v>
      </c>
    </row>
    <row r="2442" spans="1:2">
      <c r="A2442">
        <v>2441</v>
      </c>
      <c r="B2442" s="119">
        <v>0.70522786160646245</v>
      </c>
    </row>
    <row r="2443" spans="1:2">
      <c r="A2443">
        <v>2442</v>
      </c>
      <c r="B2443" s="119">
        <v>0.14967230605090687</v>
      </c>
    </row>
    <row r="2444" spans="1:2">
      <c r="A2444">
        <v>2443</v>
      </c>
      <c r="B2444" s="119">
        <v>0.48300563938424018</v>
      </c>
    </row>
    <row r="2445" spans="1:2">
      <c r="A2445">
        <v>2444</v>
      </c>
      <c r="B2445" s="119">
        <v>0.81633897271757339</v>
      </c>
    </row>
    <row r="2446" spans="1:2">
      <c r="A2446">
        <v>2445</v>
      </c>
      <c r="B2446" s="119">
        <v>0.26078341716201797</v>
      </c>
    </row>
    <row r="2447" spans="1:2">
      <c r="A2447">
        <v>2446</v>
      </c>
      <c r="B2447" s="119">
        <v>0.59411675049535129</v>
      </c>
    </row>
    <row r="2448" spans="1:2">
      <c r="A2448">
        <v>2447</v>
      </c>
      <c r="B2448" s="119">
        <v>0.92745008382868455</v>
      </c>
    </row>
    <row r="2449" spans="1:2">
      <c r="A2449">
        <v>2448</v>
      </c>
      <c r="B2449" s="119">
        <v>7.5598231976832797E-2</v>
      </c>
    </row>
    <row r="2450" spans="1:2">
      <c r="A2450">
        <v>2449</v>
      </c>
      <c r="B2450" s="119">
        <v>0.40893156531016611</v>
      </c>
    </row>
    <row r="2451" spans="1:2">
      <c r="A2451">
        <v>2450</v>
      </c>
      <c r="B2451" s="119">
        <v>0.74226489864349943</v>
      </c>
    </row>
    <row r="2452" spans="1:2">
      <c r="A2452">
        <v>2451</v>
      </c>
      <c r="B2452" s="119">
        <v>0.1867093430879439</v>
      </c>
    </row>
    <row r="2453" spans="1:2">
      <c r="A2453">
        <v>2452</v>
      </c>
      <c r="B2453" s="119">
        <v>0.52004267642127722</v>
      </c>
    </row>
    <row r="2454" spans="1:2">
      <c r="A2454">
        <v>2453</v>
      </c>
      <c r="B2454" s="119">
        <v>0.85337600975461048</v>
      </c>
    </row>
    <row r="2455" spans="1:2">
      <c r="A2455">
        <v>2454</v>
      </c>
      <c r="B2455" s="119">
        <v>0.29782045419905501</v>
      </c>
    </row>
    <row r="2456" spans="1:2">
      <c r="A2456">
        <v>2455</v>
      </c>
      <c r="B2456" s="119">
        <v>0.63115378753238838</v>
      </c>
    </row>
    <row r="2457" spans="1:2">
      <c r="A2457">
        <v>2456</v>
      </c>
      <c r="B2457" s="119">
        <v>0.96448712086572164</v>
      </c>
    </row>
    <row r="2458" spans="1:2">
      <c r="A2458">
        <v>2457</v>
      </c>
      <c r="B2458" s="119">
        <v>1.3869836915104404E-2</v>
      </c>
    </row>
    <row r="2459" spans="1:2">
      <c r="A2459">
        <v>2458</v>
      </c>
      <c r="B2459" s="119">
        <v>0.34720317024843772</v>
      </c>
    </row>
    <row r="2460" spans="1:2">
      <c r="A2460">
        <v>2459</v>
      </c>
      <c r="B2460" s="119">
        <v>0.68053650358177098</v>
      </c>
    </row>
    <row r="2461" spans="1:2">
      <c r="A2461">
        <v>2460</v>
      </c>
      <c r="B2461" s="119">
        <v>0.12498094802621551</v>
      </c>
    </row>
    <row r="2462" spans="1:2">
      <c r="A2462">
        <v>2461</v>
      </c>
      <c r="B2462" s="119">
        <v>0.45831428135954883</v>
      </c>
    </row>
    <row r="2463" spans="1:2">
      <c r="A2463">
        <v>2462</v>
      </c>
      <c r="B2463" s="119">
        <v>0.79164761469288214</v>
      </c>
    </row>
    <row r="2464" spans="1:2">
      <c r="A2464">
        <v>2463</v>
      </c>
      <c r="B2464" s="119">
        <v>0.23609205913732662</v>
      </c>
    </row>
    <row r="2465" spans="1:2">
      <c r="A2465">
        <v>2464</v>
      </c>
      <c r="B2465" s="119">
        <v>0.56942539247066004</v>
      </c>
    </row>
    <row r="2466" spans="1:2">
      <c r="A2466">
        <v>2465</v>
      </c>
      <c r="B2466" s="119">
        <v>0.9027587258039933</v>
      </c>
    </row>
    <row r="2467" spans="1:2">
      <c r="A2467">
        <v>2466</v>
      </c>
      <c r="B2467" s="119">
        <v>5.090687395214144E-2</v>
      </c>
    </row>
    <row r="2468" spans="1:2">
      <c r="A2468">
        <v>2467</v>
      </c>
      <c r="B2468" s="119">
        <v>0.38424020728547476</v>
      </c>
    </row>
    <row r="2469" spans="1:2">
      <c r="A2469">
        <v>2468</v>
      </c>
      <c r="B2469" s="119">
        <v>0.71757354061880818</v>
      </c>
    </row>
    <row r="2470" spans="1:2">
      <c r="A2470">
        <v>2469</v>
      </c>
      <c r="B2470" s="119">
        <v>0.16201798506325255</v>
      </c>
    </row>
    <row r="2471" spans="1:2">
      <c r="A2471">
        <v>2470</v>
      </c>
      <c r="B2471" s="119">
        <v>0.49535131839658586</v>
      </c>
    </row>
    <row r="2472" spans="1:2">
      <c r="A2472">
        <v>2471</v>
      </c>
      <c r="B2472" s="119">
        <v>0.82868465172991912</v>
      </c>
    </row>
    <row r="2473" spans="1:2">
      <c r="A2473">
        <v>2472</v>
      </c>
      <c r="B2473" s="119">
        <v>0.27312909617436365</v>
      </c>
    </row>
    <row r="2474" spans="1:2">
      <c r="A2474">
        <v>2473</v>
      </c>
      <c r="B2474" s="119">
        <v>0.60646242950769702</v>
      </c>
    </row>
    <row r="2475" spans="1:2">
      <c r="A2475">
        <v>2474</v>
      </c>
      <c r="B2475" s="119">
        <v>0.93979576284103028</v>
      </c>
    </row>
    <row r="2476" spans="1:2">
      <c r="A2476">
        <v>2475</v>
      </c>
      <c r="B2476" s="119">
        <v>8.7943910989178475E-2</v>
      </c>
    </row>
    <row r="2477" spans="1:2">
      <c r="A2477">
        <v>2476</v>
      </c>
      <c r="B2477" s="119">
        <v>0.42127724432251179</v>
      </c>
    </row>
    <row r="2478" spans="1:2">
      <c r="A2478">
        <v>2477</v>
      </c>
      <c r="B2478" s="119">
        <v>0.75461057765584516</v>
      </c>
    </row>
    <row r="2479" spans="1:2">
      <c r="A2479">
        <v>2478</v>
      </c>
      <c r="B2479" s="119">
        <v>0.19905502210028958</v>
      </c>
    </row>
    <row r="2480" spans="1:2">
      <c r="A2480">
        <v>2479</v>
      </c>
      <c r="B2480" s="119">
        <v>0.53238835543362284</v>
      </c>
    </row>
    <row r="2481" spans="1:2">
      <c r="A2481">
        <v>2480</v>
      </c>
      <c r="B2481" s="119">
        <v>0.8657216887669561</v>
      </c>
    </row>
    <row r="2482" spans="1:2">
      <c r="A2482">
        <v>2481</v>
      </c>
      <c r="B2482" s="119">
        <v>0.31016613321140069</v>
      </c>
    </row>
    <row r="2483" spans="1:2">
      <c r="A2483">
        <v>2482</v>
      </c>
      <c r="B2483" s="119">
        <v>0.643499466544734</v>
      </c>
    </row>
    <row r="2484" spans="1:2">
      <c r="A2484">
        <v>2483</v>
      </c>
      <c r="B2484" s="119">
        <v>0.97683279987806726</v>
      </c>
    </row>
    <row r="2485" spans="1:2">
      <c r="A2485">
        <v>2484</v>
      </c>
      <c r="B2485" s="119">
        <v>2.621551592745008E-2</v>
      </c>
    </row>
    <row r="2486" spans="1:2">
      <c r="A2486">
        <v>2485</v>
      </c>
      <c r="B2486" s="119">
        <v>0.3595488492607834</v>
      </c>
    </row>
    <row r="2487" spans="1:2">
      <c r="A2487">
        <v>2486</v>
      </c>
      <c r="B2487" s="119">
        <v>0.69288218259411671</v>
      </c>
    </row>
    <row r="2488" spans="1:2">
      <c r="A2488">
        <v>2487</v>
      </c>
      <c r="B2488" s="119">
        <v>0.13732662703856119</v>
      </c>
    </row>
    <row r="2489" spans="1:2">
      <c r="A2489">
        <v>2488</v>
      </c>
      <c r="B2489" s="119">
        <v>0.4706599603718945</v>
      </c>
    </row>
    <row r="2490" spans="1:2">
      <c r="A2490">
        <v>2489</v>
      </c>
      <c r="B2490" s="119">
        <v>0.80399329370522776</v>
      </c>
    </row>
    <row r="2491" spans="1:2">
      <c r="A2491">
        <v>2490</v>
      </c>
      <c r="B2491" s="119">
        <v>0.24843773814967229</v>
      </c>
    </row>
    <row r="2492" spans="1:2">
      <c r="A2492">
        <v>2491</v>
      </c>
      <c r="B2492" s="119">
        <v>0.58177107148300566</v>
      </c>
    </row>
    <row r="2493" spans="1:2">
      <c r="A2493">
        <v>2492</v>
      </c>
      <c r="B2493" s="119">
        <v>0.91510440481633892</v>
      </c>
    </row>
    <row r="2494" spans="1:2">
      <c r="A2494">
        <v>2493</v>
      </c>
      <c r="B2494" s="119">
        <v>6.3252552964487119E-2</v>
      </c>
    </row>
    <row r="2495" spans="1:2">
      <c r="A2495">
        <v>2494</v>
      </c>
      <c r="B2495" s="119">
        <v>0.39658588629782043</v>
      </c>
    </row>
    <row r="2496" spans="1:2">
      <c r="A2496">
        <v>2495</v>
      </c>
      <c r="B2496" s="119">
        <v>0.7299192196311538</v>
      </c>
    </row>
    <row r="2497" spans="1:2">
      <c r="A2497">
        <v>2496</v>
      </c>
      <c r="B2497" s="119">
        <v>0.17436366407559822</v>
      </c>
    </row>
    <row r="2498" spans="1:2">
      <c r="A2498">
        <v>2497</v>
      </c>
      <c r="B2498" s="119">
        <v>0.50769699740893159</v>
      </c>
    </row>
    <row r="2499" spans="1:2">
      <c r="A2499">
        <v>2498</v>
      </c>
      <c r="B2499" s="119">
        <v>0.84103033074226474</v>
      </c>
    </row>
    <row r="2500" spans="1:2">
      <c r="A2500">
        <v>2499</v>
      </c>
      <c r="B2500" s="119">
        <v>0.28547477518670933</v>
      </c>
    </row>
    <row r="2501" spans="1:2">
      <c r="A2501">
        <v>2500</v>
      </c>
      <c r="B2501" s="119">
        <v>0.61880810852004264</v>
      </c>
    </row>
    <row r="2502" spans="1:2">
      <c r="A2502">
        <v>2501</v>
      </c>
      <c r="B2502" s="119">
        <v>0.9521414418533759</v>
      </c>
    </row>
    <row r="2503" spans="1:2">
      <c r="A2503">
        <v>2502</v>
      </c>
      <c r="B2503" s="119">
        <v>0.10028959000152415</v>
      </c>
    </row>
    <row r="2504" spans="1:2">
      <c r="A2504">
        <v>2503</v>
      </c>
      <c r="B2504" s="119">
        <v>0.43362292333485747</v>
      </c>
    </row>
    <row r="2505" spans="1:2">
      <c r="A2505">
        <v>2504</v>
      </c>
      <c r="B2505" s="119">
        <v>0.76695625666819078</v>
      </c>
    </row>
    <row r="2506" spans="1:2">
      <c r="A2506">
        <v>2505</v>
      </c>
      <c r="B2506" s="119">
        <v>0.21140070111263526</v>
      </c>
    </row>
    <row r="2507" spans="1:2">
      <c r="A2507">
        <v>2506</v>
      </c>
      <c r="B2507" s="119">
        <v>0.54473403444596857</v>
      </c>
    </row>
    <row r="2508" spans="1:2">
      <c r="A2508">
        <v>2507</v>
      </c>
      <c r="B2508" s="119">
        <v>0.87806736777930183</v>
      </c>
    </row>
    <row r="2509" spans="1:2">
      <c r="A2509">
        <v>2508</v>
      </c>
      <c r="B2509" s="119">
        <v>0.32251181222374636</v>
      </c>
    </row>
    <row r="2510" spans="1:2">
      <c r="A2510">
        <v>2509</v>
      </c>
      <c r="B2510" s="119">
        <v>0.65584514555707973</v>
      </c>
    </row>
    <row r="2511" spans="1:2">
      <c r="A2511">
        <v>2510</v>
      </c>
      <c r="B2511" s="119">
        <v>0.98917847889041299</v>
      </c>
    </row>
    <row r="2512" spans="1:2">
      <c r="A2512">
        <v>2511</v>
      </c>
      <c r="B2512" s="119">
        <v>5.6393842402072862E-3</v>
      </c>
    </row>
    <row r="2513" spans="1:2">
      <c r="A2513">
        <v>2512</v>
      </c>
      <c r="B2513" s="119">
        <v>0.33897271757354058</v>
      </c>
    </row>
    <row r="2514" spans="1:2">
      <c r="A2514">
        <v>2513</v>
      </c>
      <c r="B2514" s="119">
        <v>0.6723060509068739</v>
      </c>
    </row>
    <row r="2515" spans="1:2">
      <c r="A2515">
        <v>2514</v>
      </c>
      <c r="B2515" s="119">
        <v>0.11675049535131839</v>
      </c>
    </row>
    <row r="2516" spans="1:2">
      <c r="A2516">
        <v>2515</v>
      </c>
      <c r="B2516" s="119">
        <v>0.45008382868465169</v>
      </c>
    </row>
    <row r="2517" spans="1:2">
      <c r="A2517">
        <v>2516</v>
      </c>
      <c r="B2517" s="119">
        <v>0.78341716201798495</v>
      </c>
    </row>
    <row r="2518" spans="1:2">
      <c r="A2518">
        <v>2517</v>
      </c>
      <c r="B2518" s="119">
        <v>0.22786160646242951</v>
      </c>
    </row>
    <row r="2519" spans="1:2">
      <c r="A2519">
        <v>2518</v>
      </c>
      <c r="B2519" s="119">
        <v>0.56119493979576285</v>
      </c>
    </row>
    <row r="2520" spans="1:2">
      <c r="A2520">
        <v>2519</v>
      </c>
      <c r="B2520" s="119">
        <v>0.89452827312909611</v>
      </c>
    </row>
    <row r="2521" spans="1:2">
      <c r="A2521">
        <v>2520</v>
      </c>
      <c r="B2521" s="119">
        <v>4.2676421277244324E-2</v>
      </c>
    </row>
    <row r="2522" spans="1:2">
      <c r="A2522">
        <v>2521</v>
      </c>
      <c r="B2522" s="119">
        <v>0.37600975461057762</v>
      </c>
    </row>
    <row r="2523" spans="1:2">
      <c r="A2523">
        <v>2522</v>
      </c>
      <c r="B2523" s="119">
        <v>0.70934308794391099</v>
      </c>
    </row>
    <row r="2524" spans="1:2">
      <c r="A2524">
        <v>2523</v>
      </c>
      <c r="B2524" s="119">
        <v>0.15378753238835544</v>
      </c>
    </row>
    <row r="2525" spans="1:2">
      <c r="A2525">
        <v>2524</v>
      </c>
      <c r="B2525" s="119">
        <v>0.48712086572168872</v>
      </c>
    </row>
    <row r="2526" spans="1:2">
      <c r="A2526">
        <v>2525</v>
      </c>
      <c r="B2526" s="119">
        <v>0.82045419905502193</v>
      </c>
    </row>
    <row r="2527" spans="1:2">
      <c r="A2527">
        <v>2526</v>
      </c>
      <c r="B2527" s="119">
        <v>0.26489864349946651</v>
      </c>
    </row>
    <row r="2528" spans="1:2">
      <c r="A2528">
        <v>2527</v>
      </c>
      <c r="B2528" s="119">
        <v>0.59823197683279983</v>
      </c>
    </row>
    <row r="2529" spans="1:2">
      <c r="A2529">
        <v>2528</v>
      </c>
      <c r="B2529" s="119">
        <v>0.93156531016613309</v>
      </c>
    </row>
    <row r="2530" spans="1:2">
      <c r="A2530">
        <v>2529</v>
      </c>
      <c r="B2530" s="119">
        <v>7.9713458314281352E-2</v>
      </c>
    </row>
    <row r="2531" spans="1:2">
      <c r="A2531">
        <v>2530</v>
      </c>
      <c r="B2531" s="119">
        <v>0.41304679164761465</v>
      </c>
    </row>
    <row r="2532" spans="1:2">
      <c r="A2532">
        <v>2531</v>
      </c>
      <c r="B2532" s="119">
        <v>0.74638012498094797</v>
      </c>
    </row>
    <row r="2533" spans="1:2">
      <c r="A2533">
        <v>2532</v>
      </c>
      <c r="B2533" s="119">
        <v>0.19082456942539247</v>
      </c>
    </row>
    <row r="2534" spans="1:2">
      <c r="A2534">
        <v>2533</v>
      </c>
      <c r="B2534" s="119">
        <v>0.52415790275872576</v>
      </c>
    </row>
    <row r="2535" spans="1:2">
      <c r="A2535">
        <v>2534</v>
      </c>
      <c r="B2535" s="119">
        <v>0.85749123609205902</v>
      </c>
    </row>
    <row r="2536" spans="1:2">
      <c r="A2536">
        <v>2535</v>
      </c>
      <c r="B2536" s="119">
        <v>0.30193568053650355</v>
      </c>
    </row>
    <row r="2537" spans="1:2">
      <c r="A2537">
        <v>2536</v>
      </c>
      <c r="B2537" s="119">
        <v>0.63526901386983692</v>
      </c>
    </row>
    <row r="2538" spans="1:2">
      <c r="A2538">
        <v>2537</v>
      </c>
      <c r="B2538" s="119">
        <v>0.96860234720317018</v>
      </c>
    </row>
    <row r="2539" spans="1:2">
      <c r="A2539">
        <v>2538</v>
      </c>
      <c r="B2539" s="119">
        <v>1.7985063252552964E-2</v>
      </c>
    </row>
    <row r="2540" spans="1:2">
      <c r="A2540">
        <v>2539</v>
      </c>
      <c r="B2540" s="119">
        <v>0.35131839658588626</v>
      </c>
    </row>
    <row r="2541" spans="1:2">
      <c r="A2541">
        <v>2540</v>
      </c>
      <c r="B2541" s="119">
        <v>0.68465172991921952</v>
      </c>
    </row>
    <row r="2542" spans="1:2">
      <c r="A2542">
        <v>2541</v>
      </c>
      <c r="B2542" s="119">
        <v>0.12909617436366408</v>
      </c>
    </row>
    <row r="2543" spans="1:2">
      <c r="A2543">
        <v>2542</v>
      </c>
      <c r="B2543" s="119">
        <v>0.46242950769699737</v>
      </c>
    </row>
    <row r="2544" spans="1:2">
      <c r="A2544">
        <v>2543</v>
      </c>
      <c r="B2544" s="119">
        <v>0.79576284103033068</v>
      </c>
    </row>
    <row r="2545" spans="1:2">
      <c r="A2545">
        <v>2544</v>
      </c>
      <c r="B2545" s="119">
        <v>0.24020728547477518</v>
      </c>
    </row>
    <row r="2546" spans="1:2">
      <c r="A2546">
        <v>2545</v>
      </c>
      <c r="B2546" s="119">
        <v>0.57354061880810858</v>
      </c>
    </row>
    <row r="2547" spans="1:2">
      <c r="A2547">
        <v>2546</v>
      </c>
      <c r="B2547" s="119">
        <v>0.90687395214144184</v>
      </c>
    </row>
    <row r="2548" spans="1:2">
      <c r="A2548">
        <v>2547</v>
      </c>
      <c r="B2548" s="119">
        <v>5.5022100289590002E-2</v>
      </c>
    </row>
    <row r="2549" spans="1:2">
      <c r="A2549">
        <v>2548</v>
      </c>
      <c r="B2549" s="119">
        <v>0.3883554336229233</v>
      </c>
    </row>
    <row r="2550" spans="1:2">
      <c r="A2550">
        <v>2549</v>
      </c>
      <c r="B2550" s="119">
        <v>0.72168876695625672</v>
      </c>
    </row>
    <row r="2551" spans="1:2">
      <c r="A2551">
        <v>2550</v>
      </c>
      <c r="B2551" s="119">
        <v>0.16613321140070111</v>
      </c>
    </row>
    <row r="2552" spans="1:2">
      <c r="A2552">
        <v>2551</v>
      </c>
      <c r="B2552" s="119">
        <v>0.4994665447340344</v>
      </c>
    </row>
    <row r="2553" spans="1:2">
      <c r="A2553">
        <v>2552</v>
      </c>
      <c r="B2553" s="119">
        <v>0.83279987806736766</v>
      </c>
    </row>
    <row r="2554" spans="1:2">
      <c r="A2554">
        <v>2553</v>
      </c>
      <c r="B2554" s="119">
        <v>0.27724432251181219</v>
      </c>
    </row>
    <row r="2555" spans="1:2">
      <c r="A2555">
        <v>2554</v>
      </c>
      <c r="B2555" s="119">
        <v>0.61057765584514556</v>
      </c>
    </row>
    <row r="2556" spans="1:2">
      <c r="A2556">
        <v>2555</v>
      </c>
      <c r="B2556" s="119">
        <v>0.94391098917847882</v>
      </c>
    </row>
    <row r="2557" spans="1:2">
      <c r="A2557">
        <v>2556</v>
      </c>
      <c r="B2557" s="119">
        <v>9.205913732662703E-2</v>
      </c>
    </row>
    <row r="2558" spans="1:2">
      <c r="A2558">
        <v>2557</v>
      </c>
      <c r="B2558" s="119">
        <v>0.42539247065996033</v>
      </c>
    </row>
    <row r="2559" spans="1:2">
      <c r="A2559">
        <v>2558</v>
      </c>
      <c r="B2559" s="119">
        <v>0.7587258039932937</v>
      </c>
    </row>
    <row r="2560" spans="1:2">
      <c r="A2560">
        <v>2559</v>
      </c>
      <c r="B2560" s="119">
        <v>0.20317024843773815</v>
      </c>
    </row>
    <row r="2561" spans="1:2">
      <c r="A2561">
        <v>2560</v>
      </c>
      <c r="B2561" s="119">
        <v>0.53650358177107138</v>
      </c>
    </row>
    <row r="2562" spans="1:2">
      <c r="A2562">
        <v>2561</v>
      </c>
      <c r="B2562" s="119">
        <v>0.86983691510440464</v>
      </c>
    </row>
    <row r="2563" spans="1:2">
      <c r="A2563">
        <v>2562</v>
      </c>
      <c r="B2563" s="119">
        <v>0.31428135954884923</v>
      </c>
    </row>
    <row r="2564" spans="1:2">
      <c r="A2564">
        <v>2563</v>
      </c>
      <c r="B2564" s="119">
        <v>0.64761469288218254</v>
      </c>
    </row>
    <row r="2565" spans="1:2">
      <c r="A2565">
        <v>2564</v>
      </c>
      <c r="B2565" s="119">
        <v>0.9809480262155158</v>
      </c>
    </row>
    <row r="2566" spans="1:2">
      <c r="A2566">
        <v>2565</v>
      </c>
      <c r="B2566" s="119">
        <v>3.0330742264898642E-2</v>
      </c>
    </row>
    <row r="2567" spans="1:2">
      <c r="A2567">
        <v>2566</v>
      </c>
      <c r="B2567" s="119">
        <v>0.36366407559823194</v>
      </c>
    </row>
    <row r="2568" spans="1:2">
      <c r="A2568">
        <v>2567</v>
      </c>
      <c r="B2568" s="119">
        <v>0.69699740893156525</v>
      </c>
    </row>
    <row r="2569" spans="1:2">
      <c r="A2569">
        <v>2568</v>
      </c>
      <c r="B2569" s="119">
        <v>0.14144185337600976</v>
      </c>
    </row>
    <row r="2570" spans="1:2">
      <c r="A2570">
        <v>2569</v>
      </c>
      <c r="B2570" s="119">
        <v>0.47477518670934304</v>
      </c>
    </row>
    <row r="2571" spans="1:2">
      <c r="A2571">
        <v>2570</v>
      </c>
      <c r="B2571" s="119">
        <v>0.8081085200426763</v>
      </c>
    </row>
    <row r="2572" spans="1:2">
      <c r="A2572">
        <v>2571</v>
      </c>
      <c r="B2572" s="119">
        <v>0.25255296448712083</v>
      </c>
    </row>
    <row r="2573" spans="1:2">
      <c r="A2573">
        <v>2572</v>
      </c>
      <c r="B2573" s="119">
        <v>0.5858862978204542</v>
      </c>
    </row>
    <row r="2574" spans="1:2">
      <c r="A2574">
        <v>2573</v>
      </c>
      <c r="B2574" s="119">
        <v>0.91921963115378746</v>
      </c>
    </row>
    <row r="2575" spans="1:2">
      <c r="A2575">
        <v>2574</v>
      </c>
      <c r="B2575" s="119">
        <v>6.7367779301935674E-2</v>
      </c>
    </row>
    <row r="2576" spans="1:2">
      <c r="A2576">
        <v>2575</v>
      </c>
      <c r="B2576" s="119">
        <v>0.40070111263526897</v>
      </c>
    </row>
    <row r="2577" spans="1:2">
      <c r="A2577">
        <v>2576</v>
      </c>
      <c r="B2577" s="119">
        <v>0.73403444596860234</v>
      </c>
    </row>
    <row r="2578" spans="1:2">
      <c r="A2578">
        <v>2577</v>
      </c>
      <c r="B2578" s="119">
        <v>0.17847889041304679</v>
      </c>
    </row>
    <row r="2579" spans="1:2">
      <c r="A2579">
        <v>2578</v>
      </c>
      <c r="B2579" s="119">
        <v>0.51181222374638013</v>
      </c>
    </row>
    <row r="2580" spans="1:2">
      <c r="A2580">
        <v>2579</v>
      </c>
      <c r="B2580" s="119">
        <v>0.84514555707971328</v>
      </c>
    </row>
    <row r="2581" spans="1:2">
      <c r="A2581">
        <v>2580</v>
      </c>
      <c r="B2581" s="119">
        <v>0.28959000152415787</v>
      </c>
    </row>
    <row r="2582" spans="1:2">
      <c r="A2582">
        <v>2581</v>
      </c>
      <c r="B2582" s="119">
        <v>0.62292333485749118</v>
      </c>
    </row>
    <row r="2583" spans="1:2">
      <c r="A2583">
        <v>2582</v>
      </c>
      <c r="B2583" s="119">
        <v>0.95625666819082444</v>
      </c>
    </row>
    <row r="2584" spans="1:2">
      <c r="A2584">
        <v>2583</v>
      </c>
      <c r="B2584" s="119">
        <v>0.10440481633897271</v>
      </c>
    </row>
    <row r="2585" spans="1:2">
      <c r="A2585">
        <v>2584</v>
      </c>
      <c r="B2585" s="119">
        <v>0.43773814967230601</v>
      </c>
    </row>
    <row r="2586" spans="1:2">
      <c r="A2586">
        <v>2585</v>
      </c>
      <c r="B2586" s="119">
        <v>0.77107148300563932</v>
      </c>
    </row>
    <row r="2587" spans="1:2">
      <c r="A2587">
        <v>2586</v>
      </c>
      <c r="B2587" s="119">
        <v>0.21551592745008383</v>
      </c>
    </row>
    <row r="2588" spans="1:2">
      <c r="A2588">
        <v>2587</v>
      </c>
      <c r="B2588" s="119">
        <v>0.54884926078341711</v>
      </c>
    </row>
    <row r="2589" spans="1:2">
      <c r="A2589">
        <v>2588</v>
      </c>
      <c r="B2589" s="119">
        <v>0.88218259411675037</v>
      </c>
    </row>
    <row r="2590" spans="1:2">
      <c r="A2590">
        <v>2589</v>
      </c>
      <c r="B2590" s="119">
        <v>0.3266270385611949</v>
      </c>
    </row>
    <row r="2591" spans="1:2">
      <c r="A2591">
        <v>2590</v>
      </c>
      <c r="B2591" s="119">
        <v>0.65996037189452827</v>
      </c>
    </row>
    <row r="2592" spans="1:2">
      <c r="A2592">
        <v>2591</v>
      </c>
      <c r="B2592" s="119">
        <v>0.99329370522786153</v>
      </c>
    </row>
    <row r="2593" spans="1:2">
      <c r="A2593">
        <v>2592</v>
      </c>
      <c r="B2593" s="119">
        <v>9.7546105776558454E-3</v>
      </c>
    </row>
    <row r="2594" spans="1:2">
      <c r="A2594">
        <v>2593</v>
      </c>
      <c r="B2594" s="119">
        <v>0.34308794391098918</v>
      </c>
    </row>
    <row r="2595" spans="1:2">
      <c r="A2595">
        <v>2594</v>
      </c>
      <c r="B2595" s="119">
        <v>0.67642127724432244</v>
      </c>
    </row>
    <row r="2596" spans="1:2">
      <c r="A2596">
        <v>2595</v>
      </c>
      <c r="B2596" s="119">
        <v>0.12086572168876696</v>
      </c>
    </row>
    <row r="2597" spans="1:2">
      <c r="A2597">
        <v>2596</v>
      </c>
      <c r="B2597" s="119">
        <v>0.45419905502210028</v>
      </c>
    </row>
    <row r="2598" spans="1:2">
      <c r="A2598">
        <v>2597</v>
      </c>
      <c r="B2598" s="119">
        <v>0.78753238835543349</v>
      </c>
    </row>
    <row r="2599" spans="1:2">
      <c r="A2599">
        <v>2598</v>
      </c>
      <c r="B2599" s="119">
        <v>0.23197683279987805</v>
      </c>
    </row>
    <row r="2600" spans="1:2">
      <c r="A2600">
        <v>2599</v>
      </c>
      <c r="B2600" s="119">
        <v>0.56531016613321139</v>
      </c>
    </row>
    <row r="2601" spans="1:2">
      <c r="A2601">
        <v>2600</v>
      </c>
      <c r="B2601" s="119">
        <v>0.89864349946654465</v>
      </c>
    </row>
    <row r="2602" spans="1:2">
      <c r="A2602">
        <v>2601</v>
      </c>
      <c r="B2602" s="119">
        <v>4.6791647614692886E-2</v>
      </c>
    </row>
    <row r="2603" spans="1:2">
      <c r="A2603">
        <v>2602</v>
      </c>
      <c r="B2603" s="119">
        <v>0.38012498094802621</v>
      </c>
    </row>
    <row r="2604" spans="1:2">
      <c r="A2604">
        <v>2603</v>
      </c>
      <c r="B2604" s="119">
        <v>0.71345831428135953</v>
      </c>
    </row>
    <row r="2605" spans="1:2">
      <c r="A2605">
        <v>2604</v>
      </c>
      <c r="B2605" s="119">
        <v>0.15790275872580398</v>
      </c>
    </row>
    <row r="2606" spans="1:2">
      <c r="A2606">
        <v>2605</v>
      </c>
      <c r="B2606" s="119">
        <v>0.49123609205913732</v>
      </c>
    </row>
    <row r="2607" spans="1:2">
      <c r="A2607">
        <v>2606</v>
      </c>
      <c r="B2607" s="119">
        <v>0.82456942539247047</v>
      </c>
    </row>
    <row r="2608" spans="1:2">
      <c r="A2608">
        <v>2607</v>
      </c>
      <c r="B2608" s="119">
        <v>0.26901386983691511</v>
      </c>
    </row>
    <row r="2609" spans="1:2">
      <c r="A2609">
        <v>2608</v>
      </c>
      <c r="B2609" s="119">
        <v>0.60234720317024837</v>
      </c>
    </row>
    <row r="2610" spans="1:2">
      <c r="A2610">
        <v>2609</v>
      </c>
      <c r="B2610" s="119">
        <v>0.93568053650358163</v>
      </c>
    </row>
    <row r="2611" spans="1:2">
      <c r="A2611">
        <v>2610</v>
      </c>
      <c r="B2611" s="119">
        <v>8.3828684651729921E-2</v>
      </c>
    </row>
    <row r="2612" spans="1:2">
      <c r="A2612">
        <v>2611</v>
      </c>
      <c r="B2612" s="119">
        <v>0.41716201798506325</v>
      </c>
    </row>
    <row r="2613" spans="1:2">
      <c r="A2613">
        <v>2612</v>
      </c>
      <c r="B2613" s="119">
        <v>0.75049535131839651</v>
      </c>
    </row>
    <row r="2614" spans="1:2">
      <c r="A2614">
        <v>2613</v>
      </c>
      <c r="B2614" s="119">
        <v>0.19493979576284101</v>
      </c>
    </row>
    <row r="2615" spans="1:2">
      <c r="A2615">
        <v>2614</v>
      </c>
      <c r="B2615" s="119">
        <v>0.5282731290961743</v>
      </c>
    </row>
    <row r="2616" spans="1:2">
      <c r="A2616">
        <v>2615</v>
      </c>
      <c r="B2616" s="119">
        <v>0.86160646242950756</v>
      </c>
    </row>
    <row r="2617" spans="1:2">
      <c r="A2617">
        <v>2616</v>
      </c>
      <c r="B2617" s="119">
        <v>0.30605090687395214</v>
      </c>
    </row>
    <row r="2618" spans="1:2">
      <c r="A2618">
        <v>2617</v>
      </c>
      <c r="B2618" s="119">
        <v>0.63938424020728546</v>
      </c>
    </row>
    <row r="2619" spans="1:2">
      <c r="A2619">
        <v>2618</v>
      </c>
      <c r="B2619" s="119">
        <v>0.97271757354061872</v>
      </c>
    </row>
    <row r="2620" spans="1:2">
      <c r="A2620">
        <v>2619</v>
      </c>
      <c r="B2620" s="119">
        <v>2.2100289590001522E-2</v>
      </c>
    </row>
    <row r="2621" spans="1:2">
      <c r="A2621">
        <v>2620</v>
      </c>
      <c r="B2621" s="119">
        <v>0.35543362292333486</v>
      </c>
    </row>
    <row r="2622" spans="1:2">
      <c r="A2622">
        <v>2621</v>
      </c>
      <c r="B2622" s="119">
        <v>0.68876695625666806</v>
      </c>
    </row>
    <row r="2623" spans="1:2">
      <c r="A2623">
        <v>2622</v>
      </c>
      <c r="B2623" s="119">
        <v>0.13321140070111262</v>
      </c>
    </row>
    <row r="2624" spans="1:2">
      <c r="A2624">
        <v>2623</v>
      </c>
      <c r="B2624" s="119">
        <v>0.46654473403444596</v>
      </c>
    </row>
    <row r="2625" spans="1:2">
      <c r="A2625">
        <v>2624</v>
      </c>
      <c r="B2625" s="119">
        <v>0.79987806736777922</v>
      </c>
    </row>
    <row r="2626" spans="1:2">
      <c r="A2626">
        <v>2625</v>
      </c>
      <c r="B2626" s="119">
        <v>0.24432251181222372</v>
      </c>
    </row>
    <row r="2627" spans="1:2">
      <c r="A2627">
        <v>2626</v>
      </c>
      <c r="B2627" s="119">
        <v>0.57765584514555712</v>
      </c>
    </row>
    <row r="2628" spans="1:2">
      <c r="A2628">
        <v>2627</v>
      </c>
      <c r="B2628" s="119">
        <v>0.91098917847889038</v>
      </c>
    </row>
    <row r="2629" spans="1:2">
      <c r="A2629">
        <v>2628</v>
      </c>
      <c r="B2629" s="119">
        <v>5.9137326627038564E-2</v>
      </c>
    </row>
    <row r="2630" spans="1:2">
      <c r="A2630">
        <v>2629</v>
      </c>
      <c r="B2630" s="119">
        <v>0.39247065996037189</v>
      </c>
    </row>
    <row r="2631" spans="1:2">
      <c r="A2631">
        <v>2630</v>
      </c>
      <c r="B2631" s="119">
        <v>0.72580399329370526</v>
      </c>
    </row>
    <row r="2632" spans="1:2">
      <c r="A2632">
        <v>2631</v>
      </c>
      <c r="B2632" s="119">
        <v>0.17024843773814965</v>
      </c>
    </row>
    <row r="2633" spans="1:2">
      <c r="A2633">
        <v>2632</v>
      </c>
      <c r="B2633" s="119">
        <v>0.50358177107148294</v>
      </c>
    </row>
    <row r="2634" spans="1:2">
      <c r="A2634">
        <v>2633</v>
      </c>
      <c r="B2634" s="119">
        <v>0.8369151044048162</v>
      </c>
    </row>
    <row r="2635" spans="1:2">
      <c r="A2635">
        <v>2634</v>
      </c>
      <c r="B2635" s="119">
        <v>0.28135954884926079</v>
      </c>
    </row>
    <row r="2636" spans="1:2">
      <c r="A2636">
        <v>2635</v>
      </c>
      <c r="B2636" s="119">
        <v>0.6146928821825941</v>
      </c>
    </row>
    <row r="2637" spans="1:2">
      <c r="A2637">
        <v>2636</v>
      </c>
      <c r="B2637" s="119">
        <v>0.94802621551592736</v>
      </c>
    </row>
    <row r="2638" spans="1:2">
      <c r="A2638">
        <v>2637</v>
      </c>
      <c r="B2638" s="119">
        <v>9.6174363664075599E-2</v>
      </c>
    </row>
    <row r="2639" spans="1:2">
      <c r="A2639">
        <v>2638</v>
      </c>
      <c r="B2639" s="119">
        <v>0.42950769699740893</v>
      </c>
    </row>
    <row r="2640" spans="1:2">
      <c r="A2640">
        <v>2639</v>
      </c>
      <c r="B2640" s="119">
        <v>0.76284103033074224</v>
      </c>
    </row>
    <row r="2641" spans="1:2">
      <c r="A2641">
        <v>2640</v>
      </c>
      <c r="B2641" s="119">
        <v>0.20728547477518669</v>
      </c>
    </row>
    <row r="2642" spans="1:2">
      <c r="A2642">
        <v>2641</v>
      </c>
      <c r="B2642" s="119">
        <v>0.54061880810851992</v>
      </c>
    </row>
    <row r="2643" spans="1:2">
      <c r="A2643">
        <v>2642</v>
      </c>
      <c r="B2643" s="119">
        <v>0.87395214144185318</v>
      </c>
    </row>
    <row r="2644" spans="1:2">
      <c r="A2644">
        <v>2643</v>
      </c>
      <c r="B2644" s="119">
        <v>0.31839658588629782</v>
      </c>
    </row>
    <row r="2645" spans="1:2">
      <c r="A2645">
        <v>2644</v>
      </c>
      <c r="B2645" s="119">
        <v>0.65172991921963108</v>
      </c>
    </row>
    <row r="2646" spans="1:2">
      <c r="A2646">
        <v>2645</v>
      </c>
      <c r="B2646" s="119">
        <v>0.98506325255296434</v>
      </c>
    </row>
    <row r="2647" spans="1:2">
      <c r="A2647">
        <v>2646</v>
      </c>
      <c r="B2647" s="119">
        <v>3.4445968602347207E-2</v>
      </c>
    </row>
    <row r="2648" spans="1:2">
      <c r="A2648">
        <v>2647</v>
      </c>
      <c r="B2648" s="119">
        <v>0.36777930193568054</v>
      </c>
    </row>
    <row r="2649" spans="1:2">
      <c r="A2649">
        <v>2648</v>
      </c>
      <c r="B2649" s="119">
        <v>0.7011126352690138</v>
      </c>
    </row>
    <row r="2650" spans="1:2">
      <c r="A2650">
        <v>2649</v>
      </c>
      <c r="B2650" s="119">
        <v>0.1455570797134583</v>
      </c>
    </row>
    <row r="2651" spans="1:2">
      <c r="A2651">
        <v>2650</v>
      </c>
      <c r="B2651" s="119">
        <v>0.47889041304679164</v>
      </c>
    </row>
    <row r="2652" spans="1:2">
      <c r="A2652">
        <v>2651</v>
      </c>
      <c r="B2652" s="119">
        <v>0.81222374638012484</v>
      </c>
    </row>
    <row r="2653" spans="1:2">
      <c r="A2653">
        <v>2652</v>
      </c>
      <c r="B2653" s="119">
        <v>0.25666819082456943</v>
      </c>
    </row>
    <row r="2654" spans="1:2">
      <c r="A2654">
        <v>2653</v>
      </c>
      <c r="B2654" s="119">
        <v>0.59000152415790275</v>
      </c>
    </row>
    <row r="2655" spans="1:2">
      <c r="A2655">
        <v>2654</v>
      </c>
      <c r="B2655" s="119">
        <v>0.92333485749123601</v>
      </c>
    </row>
    <row r="2656" spans="1:2">
      <c r="A2656">
        <v>2655</v>
      </c>
      <c r="B2656" s="119">
        <v>7.1483005639384242E-2</v>
      </c>
    </row>
    <row r="2657" spans="1:2">
      <c r="A2657">
        <v>2656</v>
      </c>
      <c r="B2657" s="119">
        <v>0.40481633897271757</v>
      </c>
    </row>
    <row r="2658" spans="1:2">
      <c r="A2658">
        <v>2657</v>
      </c>
      <c r="B2658" s="119">
        <v>0.73814967230605089</v>
      </c>
    </row>
    <row r="2659" spans="1:2">
      <c r="A2659">
        <v>2658</v>
      </c>
      <c r="B2659" s="119">
        <v>0.18259411675049533</v>
      </c>
    </row>
    <row r="2660" spans="1:2">
      <c r="A2660">
        <v>2659</v>
      </c>
      <c r="B2660" s="119">
        <v>0.51592745008382868</v>
      </c>
    </row>
    <row r="2661" spans="1:2">
      <c r="A2661">
        <v>2660</v>
      </c>
      <c r="B2661" s="119">
        <v>0.84926078341716182</v>
      </c>
    </row>
    <row r="2662" spans="1:2">
      <c r="A2662">
        <v>2661</v>
      </c>
      <c r="B2662" s="119">
        <v>0.29370522786160647</v>
      </c>
    </row>
    <row r="2663" spans="1:2">
      <c r="A2663">
        <v>2662</v>
      </c>
      <c r="B2663" s="119">
        <v>0.62703856119493973</v>
      </c>
    </row>
    <row r="2664" spans="1:2">
      <c r="A2664">
        <v>2663</v>
      </c>
      <c r="B2664" s="119">
        <v>0.96037189452827298</v>
      </c>
    </row>
    <row r="2665" spans="1:2">
      <c r="A2665">
        <v>2664</v>
      </c>
      <c r="B2665" s="119">
        <v>0.10852004267642128</v>
      </c>
    </row>
    <row r="2666" spans="1:2">
      <c r="A2666">
        <v>2665</v>
      </c>
      <c r="B2666" s="119">
        <v>0.44185337600975461</v>
      </c>
    </row>
    <row r="2667" spans="1:2">
      <c r="A2667">
        <v>2666</v>
      </c>
      <c r="B2667" s="119">
        <v>0.77518670934308787</v>
      </c>
    </row>
    <row r="2668" spans="1:2">
      <c r="A2668">
        <v>2667</v>
      </c>
      <c r="B2668" s="119">
        <v>0.21963115378753237</v>
      </c>
    </row>
    <row r="2669" spans="1:2">
      <c r="A2669">
        <v>2668</v>
      </c>
      <c r="B2669" s="119">
        <v>0.55296448712086566</v>
      </c>
    </row>
    <row r="2670" spans="1:2">
      <c r="A2670">
        <v>2669</v>
      </c>
      <c r="B2670" s="119">
        <v>0.88629782045419891</v>
      </c>
    </row>
    <row r="2671" spans="1:2">
      <c r="A2671">
        <v>2670</v>
      </c>
      <c r="B2671" s="119">
        <v>0.3307422648986435</v>
      </c>
    </row>
    <row r="2672" spans="1:2">
      <c r="A2672">
        <v>2671</v>
      </c>
      <c r="B2672" s="119">
        <v>0.66407559823197682</v>
      </c>
    </row>
    <row r="2673" spans="1:2">
      <c r="A2673">
        <v>2672</v>
      </c>
      <c r="B2673" s="119">
        <v>0.99740893156531008</v>
      </c>
    </row>
    <row r="2674" spans="1:2">
      <c r="A2674">
        <v>2673</v>
      </c>
      <c r="B2674" s="119">
        <v>2.8959000152415787E-3</v>
      </c>
    </row>
    <row r="2675" spans="1:2">
      <c r="A2675">
        <v>2674</v>
      </c>
      <c r="B2675" s="119">
        <v>0.33622923334857491</v>
      </c>
    </row>
    <row r="2676" spans="1:2">
      <c r="A2676">
        <v>2675</v>
      </c>
      <c r="B2676" s="119">
        <v>0.66956256668190828</v>
      </c>
    </row>
    <row r="2677" spans="1:2">
      <c r="A2677">
        <v>2676</v>
      </c>
      <c r="B2677" s="119">
        <v>0.11400701112635268</v>
      </c>
    </row>
    <row r="2678" spans="1:2">
      <c r="A2678">
        <v>2677</v>
      </c>
      <c r="B2678" s="119">
        <v>0.44734034445968601</v>
      </c>
    </row>
    <row r="2679" spans="1:2">
      <c r="A2679">
        <v>2678</v>
      </c>
      <c r="B2679" s="119">
        <v>0.78067367779301933</v>
      </c>
    </row>
    <row r="2680" spans="1:2">
      <c r="A2680">
        <v>2679</v>
      </c>
      <c r="B2680" s="119">
        <v>0.22511812223746377</v>
      </c>
    </row>
    <row r="2681" spans="1:2">
      <c r="A2681">
        <v>2680</v>
      </c>
      <c r="B2681" s="119">
        <v>0.55845145557079723</v>
      </c>
    </row>
    <row r="2682" spans="1:2">
      <c r="A2682">
        <v>2681</v>
      </c>
      <c r="B2682" s="119">
        <v>0.89178478890413049</v>
      </c>
    </row>
    <row r="2683" spans="1:2">
      <c r="A2683">
        <v>2682</v>
      </c>
      <c r="B2683" s="119">
        <v>3.9932937052278614E-2</v>
      </c>
    </row>
    <row r="2684" spans="1:2">
      <c r="A2684">
        <v>2683</v>
      </c>
      <c r="B2684" s="119">
        <v>0.37326627038561194</v>
      </c>
    </row>
    <row r="2685" spans="1:2">
      <c r="A2685">
        <v>2684</v>
      </c>
      <c r="B2685" s="119">
        <v>0.70659960371894537</v>
      </c>
    </row>
    <row r="2686" spans="1:2">
      <c r="A2686">
        <v>2685</v>
      </c>
      <c r="B2686" s="119">
        <v>0.1510440481633897</v>
      </c>
    </row>
    <row r="2687" spans="1:2">
      <c r="A2687">
        <v>2686</v>
      </c>
      <c r="B2687" s="119">
        <v>0.48437738149672305</v>
      </c>
    </row>
    <row r="2688" spans="1:2">
      <c r="A2688">
        <v>2687</v>
      </c>
      <c r="B2688" s="119">
        <v>0.81771071483005631</v>
      </c>
    </row>
    <row r="2689" spans="1:2">
      <c r="A2689">
        <v>2688</v>
      </c>
      <c r="B2689" s="119">
        <v>0.26215515927450084</v>
      </c>
    </row>
    <row r="2690" spans="1:2">
      <c r="A2690">
        <v>2689</v>
      </c>
      <c r="B2690" s="119">
        <v>0.59548849260783421</v>
      </c>
    </row>
    <row r="2691" spans="1:2">
      <c r="A2691">
        <v>2690</v>
      </c>
      <c r="B2691" s="119">
        <v>0.92882182594116747</v>
      </c>
    </row>
    <row r="2692" spans="1:2">
      <c r="A2692">
        <v>2691</v>
      </c>
      <c r="B2692" s="119">
        <v>7.6969974089315649E-2</v>
      </c>
    </row>
    <row r="2693" spans="1:2">
      <c r="A2693">
        <v>2692</v>
      </c>
      <c r="B2693" s="119">
        <v>0.41030330742264898</v>
      </c>
    </row>
    <row r="2694" spans="1:2">
      <c r="A2694">
        <v>2693</v>
      </c>
      <c r="B2694" s="119">
        <v>0.74363664075598235</v>
      </c>
    </row>
    <row r="2695" spans="1:2">
      <c r="A2695">
        <v>2694</v>
      </c>
      <c r="B2695" s="119">
        <v>0.18808108520042674</v>
      </c>
    </row>
    <row r="2696" spans="1:2">
      <c r="A2696">
        <v>2695</v>
      </c>
      <c r="B2696" s="119">
        <v>0.52141441853376014</v>
      </c>
    </row>
    <row r="2697" spans="1:2">
      <c r="A2697">
        <v>2696</v>
      </c>
      <c r="B2697" s="119">
        <v>0.8547477518670934</v>
      </c>
    </row>
    <row r="2698" spans="1:2">
      <c r="A2698">
        <v>2697</v>
      </c>
      <c r="B2698" s="119">
        <v>0.29919219631153787</v>
      </c>
    </row>
    <row r="2699" spans="1:2">
      <c r="A2699">
        <v>2698</v>
      </c>
      <c r="B2699" s="119">
        <v>0.6325255296448713</v>
      </c>
    </row>
    <row r="2700" spans="1:2">
      <c r="A2700">
        <v>2699</v>
      </c>
      <c r="B2700" s="119">
        <v>0.96585886297820456</v>
      </c>
    </row>
    <row r="2701" spans="1:2">
      <c r="A2701">
        <v>2700</v>
      </c>
      <c r="B2701" s="119">
        <v>1.5241579027587257E-2</v>
      </c>
    </row>
    <row r="2702" spans="1:2">
      <c r="A2702">
        <v>2701</v>
      </c>
      <c r="B2702" s="119">
        <v>0.34857491236092059</v>
      </c>
    </row>
    <row r="2703" spans="1:2">
      <c r="A2703">
        <v>2702</v>
      </c>
      <c r="B2703" s="119">
        <v>0.6819082456942539</v>
      </c>
    </row>
    <row r="2704" spans="1:2">
      <c r="A2704">
        <v>2703</v>
      </c>
      <c r="B2704" s="119">
        <v>0.12635269013869835</v>
      </c>
    </row>
    <row r="2705" spans="1:2">
      <c r="A2705">
        <v>2704</v>
      </c>
      <c r="B2705" s="119">
        <v>0.45968602347203169</v>
      </c>
    </row>
    <row r="2706" spans="1:2">
      <c r="A2706">
        <v>2705</v>
      </c>
      <c r="B2706" s="119">
        <v>0.79301935680536506</v>
      </c>
    </row>
    <row r="2707" spans="1:2">
      <c r="A2707">
        <v>2706</v>
      </c>
      <c r="B2707" s="119">
        <v>0.23746380124980945</v>
      </c>
    </row>
    <row r="2708" spans="1:2">
      <c r="A2708">
        <v>2707</v>
      </c>
      <c r="B2708" s="119">
        <v>0.57079713458314296</v>
      </c>
    </row>
    <row r="2709" spans="1:2">
      <c r="A2709">
        <v>2708</v>
      </c>
      <c r="B2709" s="119">
        <v>0.90413046791647622</v>
      </c>
    </row>
    <row r="2710" spans="1:2">
      <c r="A2710">
        <v>2709</v>
      </c>
      <c r="B2710" s="119">
        <v>5.2278616064624292E-2</v>
      </c>
    </row>
    <row r="2711" spans="1:2">
      <c r="A2711">
        <v>2710</v>
      </c>
      <c r="B2711" s="119">
        <v>0.38561194939795762</v>
      </c>
    </row>
    <row r="2712" spans="1:2">
      <c r="A2712">
        <v>2711</v>
      </c>
      <c r="B2712" s="119">
        <v>0.7189452827312911</v>
      </c>
    </row>
    <row r="2713" spans="1:2">
      <c r="A2713">
        <v>2712</v>
      </c>
      <c r="B2713" s="119">
        <v>0.16338972717573538</v>
      </c>
    </row>
    <row r="2714" spans="1:2">
      <c r="A2714">
        <v>2713</v>
      </c>
      <c r="B2714" s="119">
        <v>0.49672306050906873</v>
      </c>
    </row>
    <row r="2715" spans="1:2">
      <c r="A2715">
        <v>2714</v>
      </c>
      <c r="B2715" s="119">
        <v>0.83005639384240204</v>
      </c>
    </row>
    <row r="2716" spans="1:2">
      <c r="A2716">
        <v>2715</v>
      </c>
      <c r="B2716" s="119">
        <v>0.27450083828684652</v>
      </c>
    </row>
    <row r="2717" spans="1:2">
      <c r="A2717">
        <v>2716</v>
      </c>
      <c r="B2717" s="119">
        <v>0.60783417162017994</v>
      </c>
    </row>
    <row r="2718" spans="1:2">
      <c r="A2718">
        <v>2717</v>
      </c>
      <c r="B2718" s="119">
        <v>0.9411675049535132</v>
      </c>
    </row>
    <row r="2719" spans="1:2">
      <c r="A2719">
        <v>2718</v>
      </c>
      <c r="B2719" s="119">
        <v>8.9315653101661327E-2</v>
      </c>
    </row>
    <row r="2720" spans="1:2">
      <c r="A2720">
        <v>2719</v>
      </c>
      <c r="B2720" s="119">
        <v>0.42264898643499466</v>
      </c>
    </row>
    <row r="2721" spans="1:2">
      <c r="A2721">
        <v>2720</v>
      </c>
      <c r="B2721" s="119">
        <v>0.75598231976832808</v>
      </c>
    </row>
    <row r="2722" spans="1:2">
      <c r="A2722">
        <v>2721</v>
      </c>
      <c r="B2722" s="119">
        <v>0.20042676421277242</v>
      </c>
    </row>
    <row r="2723" spans="1:2">
      <c r="A2723">
        <v>2722</v>
      </c>
      <c r="B2723" s="119">
        <v>0.53376009754610576</v>
      </c>
    </row>
    <row r="2724" spans="1:2">
      <c r="A2724">
        <v>2723</v>
      </c>
      <c r="B2724" s="119">
        <v>0.86709343087943902</v>
      </c>
    </row>
    <row r="2725" spans="1:2">
      <c r="A2725">
        <v>2724</v>
      </c>
      <c r="B2725" s="119">
        <v>0.31153787532388355</v>
      </c>
    </row>
    <row r="2726" spans="1:2">
      <c r="A2726">
        <v>2725</v>
      </c>
      <c r="B2726" s="119">
        <v>0.64487120865721692</v>
      </c>
    </row>
    <row r="2727" spans="1:2">
      <c r="A2727">
        <v>2726</v>
      </c>
      <c r="B2727" s="119">
        <v>0.97820454199055018</v>
      </c>
    </row>
    <row r="2728" spans="1:2">
      <c r="A2728">
        <v>2727</v>
      </c>
      <c r="B2728" s="119">
        <v>2.7587258039932935E-2</v>
      </c>
    </row>
    <row r="2729" spans="1:2">
      <c r="A2729">
        <v>2728</v>
      </c>
      <c r="B2729" s="119">
        <v>0.36092059137326626</v>
      </c>
    </row>
    <row r="2730" spans="1:2">
      <c r="A2730">
        <v>2729</v>
      </c>
      <c r="B2730" s="119">
        <v>0.69425392470659963</v>
      </c>
    </row>
    <row r="2731" spans="1:2">
      <c r="A2731">
        <v>2730</v>
      </c>
      <c r="B2731" s="119">
        <v>0.13869836915104403</v>
      </c>
    </row>
    <row r="2732" spans="1:2">
      <c r="A2732">
        <v>2731</v>
      </c>
      <c r="B2732" s="119">
        <v>0.47203170248437737</v>
      </c>
    </row>
    <row r="2733" spans="1:2">
      <c r="A2733">
        <v>2732</v>
      </c>
      <c r="B2733" s="119">
        <v>0.80536503581771068</v>
      </c>
    </row>
    <row r="2734" spans="1:2">
      <c r="A2734">
        <v>2733</v>
      </c>
      <c r="B2734" s="119">
        <v>0.24980948026215513</v>
      </c>
    </row>
    <row r="2735" spans="1:2">
      <c r="A2735">
        <v>2734</v>
      </c>
      <c r="B2735" s="119">
        <v>0.58314281359548858</v>
      </c>
    </row>
    <row r="2736" spans="1:2">
      <c r="A2736">
        <v>2735</v>
      </c>
      <c r="B2736" s="119">
        <v>0.91647614692882184</v>
      </c>
    </row>
    <row r="2737" spans="1:2">
      <c r="A2737">
        <v>2736</v>
      </c>
      <c r="B2737" s="119">
        <v>6.462429507696997E-2</v>
      </c>
    </row>
    <row r="2738" spans="1:2">
      <c r="A2738">
        <v>2737</v>
      </c>
      <c r="B2738" s="119">
        <v>0.3979576284103033</v>
      </c>
    </row>
    <row r="2739" spans="1:2">
      <c r="A2739">
        <v>2738</v>
      </c>
      <c r="B2739" s="119">
        <v>0.73129096174363672</v>
      </c>
    </row>
    <row r="2740" spans="1:2">
      <c r="A2740">
        <v>2739</v>
      </c>
      <c r="B2740" s="119">
        <v>0.17573540618808106</v>
      </c>
    </row>
    <row r="2741" spans="1:2">
      <c r="A2741">
        <v>2740</v>
      </c>
      <c r="B2741" s="119">
        <v>0.50906873952141452</v>
      </c>
    </row>
    <row r="2742" spans="1:2">
      <c r="A2742">
        <v>2741</v>
      </c>
      <c r="B2742" s="119">
        <v>0.84240207285474766</v>
      </c>
    </row>
    <row r="2743" spans="1:2">
      <c r="A2743">
        <v>2742</v>
      </c>
      <c r="B2743" s="119">
        <v>0.28684651729919219</v>
      </c>
    </row>
    <row r="2744" spans="1:2">
      <c r="A2744">
        <v>2743</v>
      </c>
      <c r="B2744" s="119">
        <v>0.62017985063252556</v>
      </c>
    </row>
    <row r="2745" spans="1:2">
      <c r="A2745">
        <v>2744</v>
      </c>
      <c r="B2745" s="119">
        <v>0.95351318396585882</v>
      </c>
    </row>
    <row r="2746" spans="1:2">
      <c r="A2746">
        <v>2745</v>
      </c>
      <c r="B2746" s="119">
        <v>0.10166133211400701</v>
      </c>
    </row>
    <row r="2747" spans="1:2">
      <c r="A2747">
        <v>2746</v>
      </c>
      <c r="B2747" s="119">
        <v>0.43499466544734033</v>
      </c>
    </row>
    <row r="2748" spans="1:2">
      <c r="A2748">
        <v>2747</v>
      </c>
      <c r="B2748" s="119">
        <v>0.7683279987806737</v>
      </c>
    </row>
    <row r="2749" spans="1:2">
      <c r="A2749">
        <v>2748</v>
      </c>
      <c r="B2749" s="119">
        <v>0.2127724432251181</v>
      </c>
    </row>
    <row r="2750" spans="1:2">
      <c r="A2750">
        <v>2749</v>
      </c>
      <c r="B2750" s="119">
        <v>0.54610577655845149</v>
      </c>
    </row>
    <row r="2751" spans="1:2">
      <c r="A2751">
        <v>2750</v>
      </c>
      <c r="B2751" s="119">
        <v>0.87943910989178475</v>
      </c>
    </row>
    <row r="2752" spans="1:2">
      <c r="A2752">
        <v>2751</v>
      </c>
      <c r="B2752" s="119">
        <v>0.32388355433622923</v>
      </c>
    </row>
    <row r="2753" spans="1:2">
      <c r="A2753">
        <v>2752</v>
      </c>
      <c r="B2753" s="119">
        <v>0.65721688766956265</v>
      </c>
    </row>
    <row r="2754" spans="1:2">
      <c r="A2754">
        <v>2753</v>
      </c>
      <c r="B2754" s="119">
        <v>0.99055022100289591</v>
      </c>
    </row>
    <row r="2755" spans="1:2">
      <c r="A2755">
        <v>2754</v>
      </c>
      <c r="B2755" s="119">
        <v>7.0111263526901396E-3</v>
      </c>
    </row>
    <row r="2756" spans="1:2">
      <c r="A2756">
        <v>2755</v>
      </c>
      <c r="B2756" s="119">
        <v>0.34034445968602345</v>
      </c>
    </row>
    <row r="2757" spans="1:2">
      <c r="A2757">
        <v>2756</v>
      </c>
      <c r="B2757" s="119">
        <v>0.67367779301935682</v>
      </c>
    </row>
    <row r="2758" spans="1:2">
      <c r="A2758">
        <v>2757</v>
      </c>
      <c r="B2758" s="119">
        <v>0.11812223746380124</v>
      </c>
    </row>
    <row r="2759" spans="1:2">
      <c r="A2759">
        <v>2758</v>
      </c>
      <c r="B2759" s="119">
        <v>0.45145557079713455</v>
      </c>
    </row>
    <row r="2760" spans="1:2">
      <c r="A2760">
        <v>2759</v>
      </c>
      <c r="B2760" s="119">
        <v>0.78478890413046787</v>
      </c>
    </row>
    <row r="2761" spans="1:2">
      <c r="A2761">
        <v>2760</v>
      </c>
      <c r="B2761" s="119">
        <v>0.22923334857491234</v>
      </c>
    </row>
    <row r="2762" spans="1:2">
      <c r="A2762">
        <v>2761</v>
      </c>
      <c r="B2762" s="119">
        <v>0.56256668190824577</v>
      </c>
    </row>
    <row r="2763" spans="1:2">
      <c r="A2763">
        <v>2762</v>
      </c>
      <c r="B2763" s="119">
        <v>0.89590001524157903</v>
      </c>
    </row>
    <row r="2764" spans="1:2">
      <c r="A2764">
        <v>2763</v>
      </c>
      <c r="B2764" s="119">
        <v>4.4048163389727175E-2</v>
      </c>
    </row>
    <row r="2765" spans="1:2">
      <c r="A2765">
        <v>2764</v>
      </c>
      <c r="B2765" s="119">
        <v>0.37738149672306048</v>
      </c>
    </row>
    <row r="2766" spans="1:2">
      <c r="A2766">
        <v>2765</v>
      </c>
      <c r="B2766" s="119">
        <v>0.71071483005639391</v>
      </c>
    </row>
    <row r="2767" spans="1:2">
      <c r="A2767">
        <v>2766</v>
      </c>
      <c r="B2767" s="119">
        <v>0.15515927450083827</v>
      </c>
    </row>
    <row r="2768" spans="1:2">
      <c r="A2768">
        <v>2767</v>
      </c>
      <c r="B2768" s="119">
        <v>0.48849260783417159</v>
      </c>
    </row>
    <row r="2769" spans="1:2">
      <c r="A2769">
        <v>2768</v>
      </c>
      <c r="B2769" s="119">
        <v>0.82182594116750485</v>
      </c>
    </row>
    <row r="2770" spans="1:2">
      <c r="A2770">
        <v>2769</v>
      </c>
      <c r="B2770" s="119">
        <v>0.26627038561194938</v>
      </c>
    </row>
    <row r="2771" spans="1:2">
      <c r="A2771">
        <v>2770</v>
      </c>
      <c r="B2771" s="119">
        <v>0.59960371894528275</v>
      </c>
    </row>
    <row r="2772" spans="1:2">
      <c r="A2772">
        <v>2771</v>
      </c>
      <c r="B2772" s="119">
        <v>0.93293705227861601</v>
      </c>
    </row>
    <row r="2773" spans="1:2">
      <c r="A2773">
        <v>2772</v>
      </c>
      <c r="B2773" s="119">
        <v>8.1085200426764203E-2</v>
      </c>
    </row>
    <row r="2774" spans="1:2">
      <c r="A2774">
        <v>2773</v>
      </c>
      <c r="B2774" s="119">
        <v>0.41441853376009752</v>
      </c>
    </row>
    <row r="2775" spans="1:2">
      <c r="A2775">
        <v>2774</v>
      </c>
      <c r="B2775" s="119">
        <v>0.74775186709343089</v>
      </c>
    </row>
    <row r="2776" spans="1:2">
      <c r="A2776">
        <v>2775</v>
      </c>
      <c r="B2776" s="119">
        <v>0.19219631153787531</v>
      </c>
    </row>
    <row r="2777" spans="1:2">
      <c r="A2777">
        <v>2776</v>
      </c>
      <c r="B2777" s="119">
        <v>0.52552964487120868</v>
      </c>
    </row>
    <row r="2778" spans="1:2">
      <c r="A2778">
        <v>2777</v>
      </c>
      <c r="B2778" s="119">
        <v>0.85886297820454194</v>
      </c>
    </row>
    <row r="2779" spans="1:2">
      <c r="A2779">
        <v>2778</v>
      </c>
      <c r="B2779" s="119">
        <v>0.30330742264898641</v>
      </c>
    </row>
    <row r="2780" spans="1:2">
      <c r="A2780">
        <v>2779</v>
      </c>
      <c r="B2780" s="119">
        <v>0.63664075598231984</v>
      </c>
    </row>
    <row r="2781" spans="1:2">
      <c r="A2781">
        <v>2780</v>
      </c>
      <c r="B2781" s="119">
        <v>0.9699740893156531</v>
      </c>
    </row>
    <row r="2782" spans="1:2">
      <c r="A2782">
        <v>2781</v>
      </c>
      <c r="B2782" s="119">
        <v>1.9356805365035819E-2</v>
      </c>
    </row>
    <row r="2783" spans="1:2">
      <c r="A2783">
        <v>2782</v>
      </c>
      <c r="B2783" s="119">
        <v>0.35269013869836913</v>
      </c>
    </row>
    <row r="2784" spans="1:2">
      <c r="A2784">
        <v>2783</v>
      </c>
      <c r="B2784" s="119">
        <v>0.68602347203170244</v>
      </c>
    </row>
    <row r="2785" spans="1:2">
      <c r="A2785">
        <v>2784</v>
      </c>
      <c r="B2785" s="119">
        <v>0.13046791647614692</v>
      </c>
    </row>
    <row r="2786" spans="1:2">
      <c r="A2786">
        <v>2785</v>
      </c>
      <c r="B2786" s="119">
        <v>0.46380124980948023</v>
      </c>
    </row>
    <row r="2787" spans="1:2">
      <c r="A2787">
        <v>2786</v>
      </c>
      <c r="B2787" s="119">
        <v>0.7971345831428136</v>
      </c>
    </row>
    <row r="2788" spans="1:2">
      <c r="A2788">
        <v>2787</v>
      </c>
      <c r="B2788" s="119">
        <v>0.24157902758725802</v>
      </c>
    </row>
    <row r="2789" spans="1:2">
      <c r="A2789">
        <v>2788</v>
      </c>
      <c r="B2789" s="119">
        <v>0.5749123609205915</v>
      </c>
    </row>
    <row r="2790" spans="1:2">
      <c r="A2790">
        <v>2789</v>
      </c>
      <c r="B2790" s="119">
        <v>0.90824569425392476</v>
      </c>
    </row>
    <row r="2791" spans="1:2">
      <c r="A2791">
        <v>2790</v>
      </c>
      <c r="B2791" s="119">
        <v>5.6393842402072854E-2</v>
      </c>
    </row>
    <row r="2792" spans="1:2">
      <c r="A2792">
        <v>2791</v>
      </c>
      <c r="B2792" s="119">
        <v>0.38972717573540616</v>
      </c>
    </row>
    <row r="2793" spans="1:2">
      <c r="A2793">
        <v>2792</v>
      </c>
      <c r="B2793" s="119">
        <v>0.72306050906873964</v>
      </c>
    </row>
    <row r="2794" spans="1:2">
      <c r="A2794">
        <v>2793</v>
      </c>
      <c r="B2794" s="119">
        <v>0.16750495351318395</v>
      </c>
    </row>
    <row r="2795" spans="1:2">
      <c r="A2795">
        <v>2794</v>
      </c>
      <c r="B2795" s="119">
        <v>0.50083828684651732</v>
      </c>
    </row>
    <row r="2796" spans="1:2">
      <c r="A2796">
        <v>2795</v>
      </c>
      <c r="B2796" s="119">
        <v>0.83417162017985058</v>
      </c>
    </row>
    <row r="2797" spans="1:2">
      <c r="A2797">
        <v>2796</v>
      </c>
      <c r="B2797" s="119">
        <v>0.27861606462429506</v>
      </c>
    </row>
    <row r="2798" spans="1:2">
      <c r="A2798">
        <v>2797</v>
      </c>
      <c r="B2798" s="119">
        <v>0.61194939795762848</v>
      </c>
    </row>
    <row r="2799" spans="1:2">
      <c r="A2799">
        <v>2798</v>
      </c>
      <c r="B2799" s="119">
        <v>0.94528273129096174</v>
      </c>
    </row>
    <row r="2800" spans="1:2">
      <c r="A2800">
        <v>2799</v>
      </c>
      <c r="B2800" s="119">
        <v>9.3430879439109882E-2</v>
      </c>
    </row>
    <row r="2801" spans="1:2">
      <c r="A2801">
        <v>2800</v>
      </c>
      <c r="B2801" s="119">
        <v>0.4267642127724432</v>
      </c>
    </row>
    <row r="2802" spans="1:2">
      <c r="A2802">
        <v>2801</v>
      </c>
      <c r="B2802" s="119">
        <v>0.76009754610577662</v>
      </c>
    </row>
    <row r="2803" spans="1:2">
      <c r="A2803">
        <v>2802</v>
      </c>
      <c r="B2803" s="119">
        <v>0.20454199055022099</v>
      </c>
    </row>
    <row r="2804" spans="1:2">
      <c r="A2804">
        <v>2803</v>
      </c>
      <c r="B2804" s="119">
        <v>0.5378753238835543</v>
      </c>
    </row>
    <row r="2805" spans="1:2">
      <c r="A2805">
        <v>2804</v>
      </c>
      <c r="B2805" s="119">
        <v>0.87120865721688756</v>
      </c>
    </row>
    <row r="2806" spans="1:2">
      <c r="A2806">
        <v>2805</v>
      </c>
      <c r="B2806" s="119">
        <v>0.31565310166133209</v>
      </c>
    </row>
    <row r="2807" spans="1:2">
      <c r="A2807">
        <v>2806</v>
      </c>
      <c r="B2807" s="119">
        <v>0.64898643499466546</v>
      </c>
    </row>
    <row r="2808" spans="1:2">
      <c r="A2808">
        <v>2807</v>
      </c>
      <c r="B2808" s="119">
        <v>0.98231976832799872</v>
      </c>
    </row>
    <row r="2809" spans="1:2">
      <c r="A2809">
        <v>2808</v>
      </c>
      <c r="B2809" s="119">
        <v>3.1702484377381497E-2</v>
      </c>
    </row>
    <row r="2810" spans="1:2">
      <c r="A2810">
        <v>2809</v>
      </c>
      <c r="B2810" s="119">
        <v>0.3650358177107148</v>
      </c>
    </row>
    <row r="2811" spans="1:2">
      <c r="A2811">
        <v>2810</v>
      </c>
      <c r="B2811" s="119">
        <v>0.69836915104404818</v>
      </c>
    </row>
    <row r="2812" spans="1:2">
      <c r="A2812">
        <v>2811</v>
      </c>
      <c r="B2812" s="119">
        <v>0.1428135954884926</v>
      </c>
    </row>
    <row r="2813" spans="1:2">
      <c r="A2813">
        <v>2812</v>
      </c>
      <c r="B2813" s="119">
        <v>0.47614692882182591</v>
      </c>
    </row>
    <row r="2814" spans="1:2">
      <c r="A2814">
        <v>2813</v>
      </c>
      <c r="B2814" s="119">
        <v>0.80948026215515922</v>
      </c>
    </row>
    <row r="2815" spans="1:2">
      <c r="A2815">
        <v>2814</v>
      </c>
      <c r="B2815" s="119">
        <v>0.2539247065996037</v>
      </c>
    </row>
    <row r="2816" spans="1:2">
      <c r="A2816">
        <v>2815</v>
      </c>
      <c r="B2816" s="119">
        <v>0.58725803993293713</v>
      </c>
    </row>
    <row r="2817" spans="1:2">
      <c r="A2817">
        <v>2816</v>
      </c>
      <c r="B2817" s="119">
        <v>0.92059137326627039</v>
      </c>
    </row>
    <row r="2818" spans="1:2">
      <c r="A2818">
        <v>2817</v>
      </c>
      <c r="B2818" s="119">
        <v>6.8739521414418525E-2</v>
      </c>
    </row>
    <row r="2819" spans="1:2">
      <c r="A2819">
        <v>2818</v>
      </c>
      <c r="B2819" s="119">
        <v>0.40207285474775184</v>
      </c>
    </row>
    <row r="2820" spans="1:2">
      <c r="A2820">
        <v>2819</v>
      </c>
      <c r="B2820" s="119">
        <v>0.73540618808108527</v>
      </c>
    </row>
    <row r="2821" spans="1:2">
      <c r="A2821">
        <v>2820</v>
      </c>
      <c r="B2821" s="119">
        <v>0.17985063252552963</v>
      </c>
    </row>
    <row r="2822" spans="1:2">
      <c r="A2822">
        <v>2821</v>
      </c>
      <c r="B2822" s="119">
        <v>0.51318396585886306</v>
      </c>
    </row>
    <row r="2823" spans="1:2">
      <c r="A2823">
        <v>2822</v>
      </c>
      <c r="B2823" s="119">
        <v>0.8465172991921962</v>
      </c>
    </row>
    <row r="2824" spans="1:2">
      <c r="A2824">
        <v>2823</v>
      </c>
      <c r="B2824" s="119">
        <v>0.29096174363664074</v>
      </c>
    </row>
    <row r="2825" spans="1:2">
      <c r="A2825">
        <v>2824</v>
      </c>
      <c r="B2825" s="119">
        <v>0.62429507696997411</v>
      </c>
    </row>
    <row r="2826" spans="1:2">
      <c r="A2826">
        <v>2825</v>
      </c>
      <c r="B2826" s="119">
        <v>0.95762841030330736</v>
      </c>
    </row>
    <row r="2827" spans="1:2">
      <c r="A2827">
        <v>2826</v>
      </c>
      <c r="B2827" s="119">
        <v>0.10577655845145556</v>
      </c>
    </row>
    <row r="2828" spans="1:2">
      <c r="A2828">
        <v>2827</v>
      </c>
      <c r="B2828" s="119">
        <v>0.43910989178478887</v>
      </c>
    </row>
    <row r="2829" spans="1:2">
      <c r="A2829">
        <v>2828</v>
      </c>
      <c r="B2829" s="119">
        <v>0.77244322511812225</v>
      </c>
    </row>
    <row r="2830" spans="1:2">
      <c r="A2830">
        <v>2829</v>
      </c>
      <c r="B2830" s="119">
        <v>0.21688766956256667</v>
      </c>
    </row>
    <row r="2831" spans="1:2">
      <c r="A2831">
        <v>2830</v>
      </c>
      <c r="B2831" s="119">
        <v>0.55022100289590004</v>
      </c>
    </row>
    <row r="2832" spans="1:2">
      <c r="A2832">
        <v>2831</v>
      </c>
      <c r="B2832" s="119">
        <v>0.88355433622923329</v>
      </c>
    </row>
    <row r="2833" spans="1:2">
      <c r="A2833">
        <v>2832</v>
      </c>
      <c r="B2833" s="119">
        <v>0.32799878067367777</v>
      </c>
    </row>
    <row r="2834" spans="1:2">
      <c r="A2834">
        <v>2833</v>
      </c>
      <c r="B2834" s="119">
        <v>0.6613321140070112</v>
      </c>
    </row>
    <row r="2835" spans="1:2">
      <c r="A2835">
        <v>2834</v>
      </c>
      <c r="B2835" s="119">
        <v>0.99466544734034446</v>
      </c>
    </row>
    <row r="2836" spans="1:2">
      <c r="A2836">
        <v>2835</v>
      </c>
      <c r="B2836" s="119">
        <v>1.1126352690138699E-2</v>
      </c>
    </row>
    <row r="2837" spans="1:2">
      <c r="A2837">
        <v>2836</v>
      </c>
      <c r="B2837" s="119">
        <v>0.34445968602347204</v>
      </c>
    </row>
    <row r="2838" spans="1:2">
      <c r="A2838">
        <v>2837</v>
      </c>
      <c r="B2838" s="119">
        <v>0.67779301935680536</v>
      </c>
    </row>
    <row r="2839" spans="1:2">
      <c r="A2839">
        <v>2838</v>
      </c>
      <c r="B2839" s="119">
        <v>0.12223746380124981</v>
      </c>
    </row>
    <row r="2840" spans="1:2">
      <c r="A2840">
        <v>2839</v>
      </c>
      <c r="B2840" s="119">
        <v>0.45557079713458315</v>
      </c>
    </row>
    <row r="2841" spans="1:2">
      <c r="A2841">
        <v>2840</v>
      </c>
      <c r="B2841" s="119">
        <v>0.78890413046791641</v>
      </c>
    </row>
    <row r="2842" spans="1:2">
      <c r="A2842">
        <v>2841</v>
      </c>
      <c r="B2842" s="119">
        <v>0.23334857491236088</v>
      </c>
    </row>
    <row r="2843" spans="1:2">
      <c r="A2843">
        <v>2842</v>
      </c>
      <c r="B2843" s="119">
        <v>0.56668190824569431</v>
      </c>
    </row>
    <row r="2844" spans="1:2">
      <c r="A2844">
        <v>2843</v>
      </c>
      <c r="B2844" s="119">
        <v>0.90001524157902757</v>
      </c>
    </row>
    <row r="2845" spans="1:2">
      <c r="A2845">
        <v>2844</v>
      </c>
      <c r="B2845" s="119">
        <v>4.8163389727175737E-2</v>
      </c>
    </row>
    <row r="2846" spans="1:2">
      <c r="A2846">
        <v>2845</v>
      </c>
      <c r="B2846" s="119">
        <v>0.38149672306050908</v>
      </c>
    </row>
    <row r="2847" spans="1:2">
      <c r="A2847">
        <v>2846</v>
      </c>
      <c r="B2847" s="119">
        <v>0.71483005639384245</v>
      </c>
    </row>
    <row r="2848" spans="1:2">
      <c r="A2848">
        <v>2847</v>
      </c>
      <c r="B2848" s="119">
        <v>0.15927450083828681</v>
      </c>
    </row>
    <row r="2849" spans="1:2">
      <c r="A2849">
        <v>2848</v>
      </c>
      <c r="B2849" s="119">
        <v>0.49260783417162018</v>
      </c>
    </row>
    <row r="2850" spans="1:2">
      <c r="A2850">
        <v>2849</v>
      </c>
      <c r="B2850" s="119">
        <v>0.82594116750495339</v>
      </c>
    </row>
    <row r="2851" spans="1:2">
      <c r="A2851">
        <v>2850</v>
      </c>
      <c r="B2851" s="119">
        <v>0.27038561194939797</v>
      </c>
    </row>
    <row r="2852" spans="1:2">
      <c r="A2852">
        <v>2851</v>
      </c>
      <c r="B2852" s="119">
        <v>0.60371894528273129</v>
      </c>
    </row>
    <row r="2853" spans="1:2">
      <c r="A2853">
        <v>2852</v>
      </c>
      <c r="B2853" s="119">
        <v>0.93705227861606455</v>
      </c>
    </row>
    <row r="2854" spans="1:2">
      <c r="A2854">
        <v>2853</v>
      </c>
      <c r="B2854" s="119">
        <v>8.5200426764212772E-2</v>
      </c>
    </row>
    <row r="2855" spans="1:2">
      <c r="A2855">
        <v>2854</v>
      </c>
      <c r="B2855" s="119">
        <v>0.41853376009754611</v>
      </c>
    </row>
    <row r="2856" spans="1:2">
      <c r="A2856">
        <v>2855</v>
      </c>
      <c r="B2856" s="119">
        <v>0.75186709343087943</v>
      </c>
    </row>
    <row r="2857" spans="1:2">
      <c r="A2857">
        <v>2856</v>
      </c>
      <c r="B2857" s="119">
        <v>0.19631153787532385</v>
      </c>
    </row>
    <row r="2858" spans="1:2">
      <c r="A2858">
        <v>2857</v>
      </c>
      <c r="B2858" s="119">
        <v>0.52964487120865722</v>
      </c>
    </row>
    <row r="2859" spans="1:2">
      <c r="A2859">
        <v>2858</v>
      </c>
      <c r="B2859" s="119">
        <v>0.86297820454199048</v>
      </c>
    </row>
    <row r="2860" spans="1:2">
      <c r="A2860">
        <v>2859</v>
      </c>
      <c r="B2860" s="119">
        <v>0.30742264898643501</v>
      </c>
    </row>
    <row r="2861" spans="1:2">
      <c r="A2861">
        <v>2860</v>
      </c>
      <c r="B2861" s="119">
        <v>0.64075598231976838</v>
      </c>
    </row>
    <row r="2862" spans="1:2">
      <c r="A2862">
        <v>2861</v>
      </c>
      <c r="B2862" s="119">
        <v>0.97408931565310164</v>
      </c>
    </row>
    <row r="2863" spans="1:2">
      <c r="A2863">
        <v>2862</v>
      </c>
      <c r="B2863" s="119">
        <v>2.3472031702484377E-2</v>
      </c>
    </row>
    <row r="2864" spans="1:2">
      <c r="A2864">
        <v>2863</v>
      </c>
      <c r="B2864" s="119">
        <v>0.35680536503581772</v>
      </c>
    </row>
    <row r="2865" spans="1:2">
      <c r="A2865">
        <v>2864</v>
      </c>
      <c r="B2865" s="119">
        <v>0.69013869836915098</v>
      </c>
    </row>
    <row r="2866" spans="1:2">
      <c r="A2866">
        <v>2865</v>
      </c>
      <c r="B2866" s="119">
        <v>0.13458314281359546</v>
      </c>
    </row>
    <row r="2867" spans="1:2">
      <c r="A2867">
        <v>2866</v>
      </c>
      <c r="B2867" s="119">
        <v>0.46791647614692883</v>
      </c>
    </row>
    <row r="2868" spans="1:2">
      <c r="A2868">
        <v>2867</v>
      </c>
      <c r="B2868" s="119">
        <v>0.80124980948026214</v>
      </c>
    </row>
    <row r="2869" spans="1:2">
      <c r="A2869">
        <v>2868</v>
      </c>
      <c r="B2869" s="119">
        <v>0.24569425392470656</v>
      </c>
    </row>
    <row r="2870" spans="1:2">
      <c r="A2870">
        <v>2869</v>
      </c>
      <c r="B2870" s="119">
        <v>0.57902758725804004</v>
      </c>
    </row>
    <row r="2871" spans="1:2">
      <c r="A2871">
        <v>2870</v>
      </c>
      <c r="B2871" s="119">
        <v>0.9123609205913733</v>
      </c>
    </row>
    <row r="2872" spans="1:2">
      <c r="A2872">
        <v>2871</v>
      </c>
      <c r="B2872" s="119">
        <v>6.0509068739521416E-2</v>
      </c>
    </row>
    <row r="2873" spans="1:2">
      <c r="A2873">
        <v>2872</v>
      </c>
      <c r="B2873" s="119">
        <v>0.39384240207285476</v>
      </c>
    </row>
    <row r="2874" spans="1:2">
      <c r="A2874">
        <v>2873</v>
      </c>
      <c r="B2874" s="119">
        <v>0.72717573540618818</v>
      </c>
    </row>
    <row r="2875" spans="1:2">
      <c r="A2875">
        <v>2874</v>
      </c>
      <c r="B2875" s="119">
        <v>0.17162017985063249</v>
      </c>
    </row>
    <row r="2876" spans="1:2">
      <c r="A2876">
        <v>2875</v>
      </c>
      <c r="B2876" s="119">
        <v>0.50495351318396586</v>
      </c>
    </row>
    <row r="2877" spans="1:2">
      <c r="A2877">
        <v>2876</v>
      </c>
      <c r="B2877" s="119">
        <v>0.83828684651729912</v>
      </c>
    </row>
    <row r="2878" spans="1:2">
      <c r="A2878">
        <v>2877</v>
      </c>
      <c r="B2878" s="119">
        <v>0.28273129096174365</v>
      </c>
    </row>
    <row r="2879" spans="1:2">
      <c r="A2879">
        <v>2878</v>
      </c>
      <c r="B2879" s="119">
        <v>0.61606462429507702</v>
      </c>
    </row>
    <row r="2880" spans="1:2">
      <c r="A2880">
        <v>2879</v>
      </c>
      <c r="B2880" s="119">
        <v>0.94939795762841028</v>
      </c>
    </row>
    <row r="2881" spans="1:2">
      <c r="A2881">
        <v>2880</v>
      </c>
      <c r="B2881" s="119">
        <v>9.754610577655845E-2</v>
      </c>
    </row>
    <row r="2882" spans="1:2">
      <c r="A2882">
        <v>2881</v>
      </c>
      <c r="B2882" s="119">
        <v>0.43087943910989179</v>
      </c>
    </row>
    <row r="2883" spans="1:2">
      <c r="A2883">
        <v>2882</v>
      </c>
      <c r="B2883" s="119">
        <v>0.76421277244322516</v>
      </c>
    </row>
    <row r="2884" spans="1:2">
      <c r="A2884">
        <v>2883</v>
      </c>
      <c r="B2884" s="119">
        <v>0.20865721688766953</v>
      </c>
    </row>
    <row r="2885" spans="1:2">
      <c r="A2885">
        <v>2884</v>
      </c>
      <c r="B2885" s="119">
        <v>0.54199055022100284</v>
      </c>
    </row>
    <row r="2886" spans="1:2">
      <c r="A2886">
        <v>2885</v>
      </c>
      <c r="B2886" s="119">
        <v>0.8753238835543361</v>
      </c>
    </row>
    <row r="2887" spans="1:2">
      <c r="A2887">
        <v>2886</v>
      </c>
      <c r="B2887" s="119">
        <v>0.31976832799878069</v>
      </c>
    </row>
    <row r="2888" spans="1:2">
      <c r="A2888">
        <v>2887</v>
      </c>
      <c r="B2888" s="119">
        <v>0.653101661332114</v>
      </c>
    </row>
    <row r="2889" spans="1:2">
      <c r="A2889">
        <v>2888</v>
      </c>
      <c r="B2889" s="119">
        <v>0.98643499466544726</v>
      </c>
    </row>
    <row r="2890" spans="1:2">
      <c r="A2890">
        <v>2889</v>
      </c>
      <c r="B2890" s="119">
        <v>3.5817710714830059E-2</v>
      </c>
    </row>
    <row r="2891" spans="1:2">
      <c r="A2891">
        <v>2890</v>
      </c>
      <c r="B2891" s="119">
        <v>0.3691510440481634</v>
      </c>
    </row>
    <row r="2892" spans="1:2">
      <c r="A2892">
        <v>2891</v>
      </c>
      <c r="B2892" s="119">
        <v>0.70248437738149672</v>
      </c>
    </row>
    <row r="2893" spans="1:2">
      <c r="A2893">
        <v>2892</v>
      </c>
      <c r="B2893" s="119">
        <v>0.14692882182594114</v>
      </c>
    </row>
    <row r="2894" spans="1:2">
      <c r="A2894">
        <v>2893</v>
      </c>
      <c r="B2894" s="119">
        <v>0.48026215515927451</v>
      </c>
    </row>
    <row r="2895" spans="1:2">
      <c r="A2895">
        <v>2894</v>
      </c>
      <c r="B2895" s="119">
        <v>0.81359548849260777</v>
      </c>
    </row>
    <row r="2896" spans="1:2">
      <c r="A2896">
        <v>2895</v>
      </c>
      <c r="B2896" s="119">
        <v>0.2580399329370523</v>
      </c>
    </row>
    <row r="2897" spans="1:2">
      <c r="A2897">
        <v>2896</v>
      </c>
      <c r="B2897" s="119">
        <v>0.59137326627038567</v>
      </c>
    </row>
    <row r="2898" spans="1:2">
      <c r="A2898">
        <v>2897</v>
      </c>
      <c r="B2898" s="119">
        <v>0.92470659960371893</v>
      </c>
    </row>
    <row r="2899" spans="1:2">
      <c r="A2899">
        <v>2898</v>
      </c>
      <c r="B2899" s="119">
        <v>7.2854747751867094E-2</v>
      </c>
    </row>
    <row r="2900" spans="1:2">
      <c r="A2900">
        <v>2899</v>
      </c>
      <c r="B2900" s="119">
        <v>0.40618808108520044</v>
      </c>
    </row>
    <row r="2901" spans="1:2">
      <c r="A2901">
        <v>2900</v>
      </c>
      <c r="B2901" s="119">
        <v>0.73952141441853381</v>
      </c>
    </row>
    <row r="2902" spans="1:2">
      <c r="A2902">
        <v>2901</v>
      </c>
      <c r="B2902" s="119">
        <v>0.18396585886297817</v>
      </c>
    </row>
    <row r="2903" spans="1:2">
      <c r="A2903">
        <v>2902</v>
      </c>
      <c r="B2903" s="119">
        <v>0.5172991921963116</v>
      </c>
    </row>
    <row r="2904" spans="1:2">
      <c r="A2904">
        <v>2903</v>
      </c>
      <c r="B2904" s="119">
        <v>0.85063252552964475</v>
      </c>
    </row>
    <row r="2905" spans="1:2">
      <c r="A2905">
        <v>2904</v>
      </c>
      <c r="B2905" s="119">
        <v>0.29507696997408933</v>
      </c>
    </row>
    <row r="2906" spans="1:2">
      <c r="A2906">
        <v>2905</v>
      </c>
      <c r="B2906" s="119">
        <v>0.62841030330742265</v>
      </c>
    </row>
    <row r="2907" spans="1:2">
      <c r="A2907">
        <v>2906</v>
      </c>
      <c r="B2907" s="119">
        <v>0.96174363664075591</v>
      </c>
    </row>
    <row r="2908" spans="1:2">
      <c r="A2908">
        <v>2907</v>
      </c>
      <c r="B2908" s="119">
        <v>0.10989178478890413</v>
      </c>
    </row>
    <row r="2909" spans="1:2">
      <c r="A2909">
        <v>2908</v>
      </c>
      <c r="B2909" s="119">
        <v>0.44322511812223747</v>
      </c>
    </row>
    <row r="2910" spans="1:2">
      <c r="A2910">
        <v>2909</v>
      </c>
      <c r="B2910" s="119">
        <v>0.77655845145557079</v>
      </c>
    </row>
    <row r="2911" spans="1:2">
      <c r="A2911">
        <v>2910</v>
      </c>
      <c r="B2911" s="119">
        <v>0.22100289590001521</v>
      </c>
    </row>
    <row r="2912" spans="1:2">
      <c r="A2912">
        <v>2911</v>
      </c>
      <c r="B2912" s="119">
        <v>0.55433622923334858</v>
      </c>
    </row>
    <row r="2913" spans="1:2">
      <c r="A2913">
        <v>2912</v>
      </c>
      <c r="B2913" s="119">
        <v>0.88766956256668184</v>
      </c>
    </row>
    <row r="2914" spans="1:2">
      <c r="A2914">
        <v>2913</v>
      </c>
      <c r="B2914" s="119">
        <v>0.33211400701112637</v>
      </c>
    </row>
    <row r="2915" spans="1:2">
      <c r="A2915">
        <v>2914</v>
      </c>
      <c r="B2915" s="119">
        <v>0.66544734034445974</v>
      </c>
    </row>
    <row r="2916" spans="1:2">
      <c r="A2916">
        <v>2915</v>
      </c>
      <c r="B2916" s="119">
        <v>0.998780673677793</v>
      </c>
    </row>
    <row r="2917" spans="1:2">
      <c r="A2917">
        <v>2916</v>
      </c>
      <c r="B2917" s="119">
        <v>6.0966316110349034E-4</v>
      </c>
    </row>
    <row r="2918" spans="1:2">
      <c r="A2918">
        <v>2917</v>
      </c>
      <c r="B2918" s="119">
        <v>0.33394299649443682</v>
      </c>
    </row>
    <row r="2919" spans="1:2">
      <c r="A2919">
        <v>2918</v>
      </c>
      <c r="B2919" s="119">
        <v>0.66727632982777019</v>
      </c>
    </row>
    <row r="2920" spans="1:2">
      <c r="A2920">
        <v>2919</v>
      </c>
      <c r="B2920" s="119">
        <v>0.11172077427221459</v>
      </c>
    </row>
    <row r="2921" spans="1:2">
      <c r="A2921">
        <v>2920</v>
      </c>
      <c r="B2921" s="119">
        <v>0.44505410760554792</v>
      </c>
    </row>
    <row r="2922" spans="1:2">
      <c r="A2922">
        <v>2921</v>
      </c>
      <c r="B2922" s="119">
        <v>0.77838744093888124</v>
      </c>
    </row>
    <row r="2923" spans="1:2">
      <c r="A2923">
        <v>2922</v>
      </c>
      <c r="B2923" s="119">
        <v>0.22283188538332568</v>
      </c>
    </row>
    <row r="2924" spans="1:2">
      <c r="A2924">
        <v>2923</v>
      </c>
      <c r="B2924" s="119">
        <v>0.55616521871665914</v>
      </c>
    </row>
    <row r="2925" spans="1:2">
      <c r="A2925">
        <v>2924</v>
      </c>
      <c r="B2925" s="119">
        <v>0.8894985520499924</v>
      </c>
    </row>
    <row r="2926" spans="1:2">
      <c r="A2926">
        <v>2925</v>
      </c>
      <c r="B2926" s="119">
        <v>3.764670019814053E-2</v>
      </c>
    </row>
    <row r="2927" spans="1:2">
      <c r="A2927">
        <v>2926</v>
      </c>
      <c r="B2927" s="119">
        <v>0.37098003353147385</v>
      </c>
    </row>
    <row r="2928" spans="1:2">
      <c r="A2928">
        <v>2927</v>
      </c>
      <c r="B2928" s="119">
        <v>0.70431336686480728</v>
      </c>
    </row>
    <row r="2929" spans="1:2">
      <c r="A2929">
        <v>2928</v>
      </c>
      <c r="B2929" s="119">
        <v>0.14875781130925161</v>
      </c>
    </row>
    <row r="2930" spans="1:2">
      <c r="A2930">
        <v>2929</v>
      </c>
      <c r="B2930" s="119">
        <v>0.48209114464258496</v>
      </c>
    </row>
    <row r="2931" spans="1:2">
      <c r="A2931">
        <v>2930</v>
      </c>
      <c r="B2931" s="119">
        <v>0.81542447797591822</v>
      </c>
    </row>
    <row r="2932" spans="1:2">
      <c r="A2932">
        <v>2931</v>
      </c>
      <c r="B2932" s="119">
        <v>0.25986892242036275</v>
      </c>
    </row>
    <row r="2933" spans="1:2">
      <c r="A2933">
        <v>2932</v>
      </c>
      <c r="B2933" s="119">
        <v>0.59320225575369612</v>
      </c>
    </row>
    <row r="2934" spans="1:2">
      <c r="A2934">
        <v>2933</v>
      </c>
      <c r="B2934" s="119">
        <v>0.92653558908702938</v>
      </c>
    </row>
    <row r="2935" spans="1:2">
      <c r="A2935">
        <v>2934</v>
      </c>
      <c r="B2935" s="119">
        <v>7.4683737235177558E-2</v>
      </c>
    </row>
    <row r="2936" spans="1:2">
      <c r="A2936">
        <v>2935</v>
      </c>
      <c r="B2936" s="119">
        <v>0.40801707056851089</v>
      </c>
    </row>
    <row r="2937" spans="1:2">
      <c r="A2937">
        <v>2936</v>
      </c>
      <c r="B2937" s="119">
        <v>0.74135040390184426</v>
      </c>
    </row>
    <row r="2938" spans="1:2">
      <c r="A2938">
        <v>2937</v>
      </c>
      <c r="B2938" s="119">
        <v>0.18579484834628865</v>
      </c>
    </row>
    <row r="2939" spans="1:2">
      <c r="A2939">
        <v>2938</v>
      </c>
      <c r="B2939" s="119">
        <v>0.51912818167962205</v>
      </c>
    </row>
    <row r="2940" spans="1:2">
      <c r="A2940">
        <v>2939</v>
      </c>
      <c r="B2940" s="119">
        <v>0.85246151501295531</v>
      </c>
    </row>
    <row r="2941" spans="1:2">
      <c r="A2941">
        <v>2940</v>
      </c>
      <c r="B2941" s="119">
        <v>0.29690595945739978</v>
      </c>
    </row>
    <row r="2942" spans="1:2">
      <c r="A2942">
        <v>2941</v>
      </c>
      <c r="B2942" s="119">
        <v>0.63023929279073321</v>
      </c>
    </row>
    <row r="2943" spans="1:2">
      <c r="A2943">
        <v>2942</v>
      </c>
      <c r="B2943" s="119">
        <v>0.96357262612406647</v>
      </c>
    </row>
    <row r="2944" spans="1:2">
      <c r="A2944">
        <v>2943</v>
      </c>
      <c r="B2944" s="119">
        <v>1.2955342173449168E-2</v>
      </c>
    </row>
    <row r="2945" spans="1:2">
      <c r="A2945">
        <v>2944</v>
      </c>
      <c r="B2945" s="119">
        <v>0.3462886755067825</v>
      </c>
    </row>
    <row r="2946" spans="1:2">
      <c r="A2946">
        <v>2945</v>
      </c>
      <c r="B2946" s="119">
        <v>0.67962200884011581</v>
      </c>
    </row>
    <row r="2947" spans="1:2">
      <c r="A2947">
        <v>2946</v>
      </c>
      <c r="B2947" s="119">
        <v>0.12406645328456027</v>
      </c>
    </row>
    <row r="2948" spans="1:2">
      <c r="A2948">
        <v>2947</v>
      </c>
      <c r="B2948" s="119">
        <v>0.4573997866178936</v>
      </c>
    </row>
    <row r="2949" spans="1:2">
      <c r="A2949">
        <v>2948</v>
      </c>
      <c r="B2949" s="119">
        <v>0.79073311995122697</v>
      </c>
    </row>
    <row r="2950" spans="1:2">
      <c r="A2950">
        <v>2949</v>
      </c>
      <c r="B2950" s="119">
        <v>0.23517756439567136</v>
      </c>
    </row>
    <row r="2951" spans="1:2">
      <c r="A2951">
        <v>2950</v>
      </c>
      <c r="B2951" s="119">
        <v>0.56851089772900487</v>
      </c>
    </row>
    <row r="2952" spans="1:2">
      <c r="A2952">
        <v>2951</v>
      </c>
      <c r="B2952" s="119">
        <v>0.90184423106233813</v>
      </c>
    </row>
    <row r="2953" spans="1:2">
      <c r="A2953">
        <v>2952</v>
      </c>
      <c r="B2953" s="119">
        <v>4.9992379210486208E-2</v>
      </c>
    </row>
    <row r="2954" spans="1:2">
      <c r="A2954">
        <v>2953</v>
      </c>
      <c r="B2954" s="119">
        <v>0.38332571254381953</v>
      </c>
    </row>
    <row r="2955" spans="1:2">
      <c r="A2955">
        <v>2954</v>
      </c>
      <c r="B2955" s="119">
        <v>0.71665904587715301</v>
      </c>
    </row>
    <row r="2956" spans="1:2">
      <c r="A2956">
        <v>2955</v>
      </c>
      <c r="B2956" s="119">
        <v>0.16110349032159729</v>
      </c>
    </row>
    <row r="2957" spans="1:2">
      <c r="A2957">
        <v>2956</v>
      </c>
      <c r="B2957" s="119">
        <v>0.49443682365493064</v>
      </c>
    </row>
    <row r="2958" spans="1:2">
      <c r="A2958">
        <v>2957</v>
      </c>
      <c r="B2958" s="119">
        <v>0.82777015698826395</v>
      </c>
    </row>
    <row r="2959" spans="1:2">
      <c r="A2959">
        <v>2958</v>
      </c>
      <c r="B2959" s="119">
        <v>0.27221460143270843</v>
      </c>
    </row>
    <row r="2960" spans="1:2">
      <c r="A2960">
        <v>2959</v>
      </c>
      <c r="B2960" s="119">
        <v>0.60554793476604185</v>
      </c>
    </row>
    <row r="2961" spans="1:2">
      <c r="A2961">
        <v>2960</v>
      </c>
      <c r="B2961" s="119">
        <v>0.93888126809937511</v>
      </c>
    </row>
    <row r="2962" spans="1:2">
      <c r="A2962">
        <v>2961</v>
      </c>
      <c r="B2962" s="119">
        <v>8.7029416247523236E-2</v>
      </c>
    </row>
    <row r="2963" spans="1:2">
      <c r="A2963">
        <v>2962</v>
      </c>
      <c r="B2963" s="119">
        <v>0.42036274958085657</v>
      </c>
    </row>
    <row r="2964" spans="1:2">
      <c r="A2964">
        <v>2963</v>
      </c>
      <c r="B2964" s="119">
        <v>0.75369608291418999</v>
      </c>
    </row>
    <row r="2965" spans="1:2">
      <c r="A2965">
        <v>2964</v>
      </c>
      <c r="B2965" s="119">
        <v>0.19814052735863433</v>
      </c>
    </row>
    <row r="2966" spans="1:2">
      <c r="A2966">
        <v>2965</v>
      </c>
      <c r="B2966" s="119">
        <v>0.53147386069196767</v>
      </c>
    </row>
    <row r="2967" spans="1:2">
      <c r="A2967">
        <v>2966</v>
      </c>
      <c r="B2967" s="119">
        <v>0.86480719402530093</v>
      </c>
    </row>
    <row r="2968" spans="1:2">
      <c r="A2968">
        <v>2967</v>
      </c>
      <c r="B2968" s="119">
        <v>0.30925163846974546</v>
      </c>
    </row>
    <row r="2969" spans="1:2">
      <c r="A2969">
        <v>2968</v>
      </c>
      <c r="B2969" s="119">
        <v>0.64258497180307883</v>
      </c>
    </row>
    <row r="2970" spans="1:2">
      <c r="A2970">
        <v>2969</v>
      </c>
      <c r="B2970" s="119">
        <v>0.97591830513641209</v>
      </c>
    </row>
    <row r="2971" spans="1:2">
      <c r="A2971">
        <v>2970</v>
      </c>
      <c r="B2971" s="119">
        <v>2.5301021185794845E-2</v>
      </c>
    </row>
    <row r="2972" spans="1:2">
      <c r="A2972">
        <v>2971</v>
      </c>
      <c r="B2972" s="119">
        <v>0.35863435451912817</v>
      </c>
    </row>
    <row r="2973" spans="1:2">
      <c r="A2973">
        <v>2972</v>
      </c>
      <c r="B2973" s="119">
        <v>0.69196768785246154</v>
      </c>
    </row>
    <row r="2974" spans="1:2">
      <c r="A2974">
        <v>2973</v>
      </c>
      <c r="B2974" s="119">
        <v>0.13641213229690594</v>
      </c>
    </row>
    <row r="2975" spans="1:2">
      <c r="A2975">
        <v>2974</v>
      </c>
      <c r="B2975" s="119">
        <v>0.46974546563023928</v>
      </c>
    </row>
    <row r="2976" spans="1:2">
      <c r="A2976">
        <v>2975</v>
      </c>
      <c r="B2976" s="119">
        <v>0.80307879896357259</v>
      </c>
    </row>
    <row r="2977" spans="1:2">
      <c r="A2977">
        <v>2976</v>
      </c>
      <c r="B2977" s="119">
        <v>0.24752324340801704</v>
      </c>
    </row>
    <row r="2978" spans="1:2">
      <c r="A2978">
        <v>2977</v>
      </c>
      <c r="B2978" s="119">
        <v>0.58085657674135049</v>
      </c>
    </row>
    <row r="2979" spans="1:2">
      <c r="A2979">
        <v>2978</v>
      </c>
      <c r="B2979" s="119">
        <v>0.91418991007468375</v>
      </c>
    </row>
    <row r="2980" spans="1:2">
      <c r="A2980">
        <v>2979</v>
      </c>
      <c r="B2980" s="119">
        <v>6.2338058222831887E-2</v>
      </c>
    </row>
    <row r="2981" spans="1:2">
      <c r="A2981">
        <v>2980</v>
      </c>
      <c r="B2981" s="119">
        <v>0.39567139155616521</v>
      </c>
    </row>
    <row r="2982" spans="1:2">
      <c r="A2982">
        <v>2981</v>
      </c>
      <c r="B2982" s="119">
        <v>0.72900472488949863</v>
      </c>
    </row>
    <row r="2983" spans="1:2">
      <c r="A2983">
        <v>2982</v>
      </c>
      <c r="B2983" s="119">
        <v>0.17344916933394297</v>
      </c>
    </row>
    <row r="2984" spans="1:2">
      <c r="A2984">
        <v>2983</v>
      </c>
      <c r="B2984" s="119">
        <v>0.50678250266727642</v>
      </c>
    </row>
    <row r="2985" spans="1:2">
      <c r="A2985">
        <v>2984</v>
      </c>
      <c r="B2985" s="119">
        <v>0.84011583600060957</v>
      </c>
    </row>
    <row r="2986" spans="1:2">
      <c r="A2986">
        <v>2985</v>
      </c>
      <c r="B2986" s="119">
        <v>0.2845602804450541</v>
      </c>
    </row>
    <row r="2987" spans="1:2">
      <c r="A2987">
        <v>2986</v>
      </c>
      <c r="B2987" s="119">
        <v>0.61789361377838747</v>
      </c>
    </row>
    <row r="2988" spans="1:2">
      <c r="A2988">
        <v>2987</v>
      </c>
      <c r="B2988" s="119">
        <v>0.95122694711172073</v>
      </c>
    </row>
    <row r="2989" spans="1:2">
      <c r="A2989">
        <v>2988</v>
      </c>
      <c r="B2989" s="119">
        <v>9.9375095259868915E-2</v>
      </c>
    </row>
    <row r="2990" spans="1:2">
      <c r="A2990">
        <v>2989</v>
      </c>
      <c r="B2990" s="119">
        <v>0.43270842859320224</v>
      </c>
    </row>
    <row r="2991" spans="1:2">
      <c r="A2991">
        <v>2990</v>
      </c>
      <c r="B2991" s="119">
        <v>0.76604176192653561</v>
      </c>
    </row>
    <row r="2992" spans="1:2">
      <c r="A2992">
        <v>2991</v>
      </c>
      <c r="B2992" s="119">
        <v>0.21048620637098001</v>
      </c>
    </row>
    <row r="2993" spans="1:2">
      <c r="A2993">
        <v>2992</v>
      </c>
      <c r="B2993" s="119">
        <v>0.5438195397043134</v>
      </c>
    </row>
    <row r="2994" spans="1:2">
      <c r="A2994">
        <v>2993</v>
      </c>
      <c r="B2994" s="119">
        <v>0.87715287303764666</v>
      </c>
    </row>
    <row r="2995" spans="1:2">
      <c r="A2995">
        <v>2994</v>
      </c>
      <c r="B2995" s="119">
        <v>0.32159731748209114</v>
      </c>
    </row>
    <row r="2996" spans="1:2">
      <c r="A2996">
        <v>2995</v>
      </c>
      <c r="B2996" s="119">
        <v>0.65493065081542456</v>
      </c>
    </row>
    <row r="2997" spans="1:2">
      <c r="A2997">
        <v>2996</v>
      </c>
      <c r="B2997" s="119">
        <v>0.98826398414875782</v>
      </c>
    </row>
    <row r="2998" spans="1:2">
      <c r="A2998">
        <v>2997</v>
      </c>
      <c r="B2998" s="119">
        <v>4.7248894985520507E-3</v>
      </c>
    </row>
    <row r="2999" spans="1:2">
      <c r="A2999">
        <v>2998</v>
      </c>
      <c r="B2999" s="119">
        <v>0.33805822283188536</v>
      </c>
    </row>
    <row r="3000" spans="1:2">
      <c r="A3000">
        <v>2999</v>
      </c>
      <c r="B3000" s="119">
        <v>0.67139155616521873</v>
      </c>
    </row>
    <row r="3001" spans="1:2">
      <c r="A3001">
        <v>3000</v>
      </c>
      <c r="B3001" s="119">
        <v>0.11583600060966315</v>
      </c>
    </row>
    <row r="3002" spans="1:2">
      <c r="A3002">
        <v>3001</v>
      </c>
      <c r="B3002" s="119">
        <v>0.44916933394299646</v>
      </c>
    </row>
    <row r="3003" spans="1:2">
      <c r="A3003">
        <v>3002</v>
      </c>
      <c r="B3003" s="119">
        <v>0.78250266727632978</v>
      </c>
    </row>
    <row r="3004" spans="1:2">
      <c r="A3004">
        <v>3003</v>
      </c>
      <c r="B3004" s="119">
        <v>0.22694711172077425</v>
      </c>
    </row>
    <row r="3005" spans="1:2">
      <c r="A3005">
        <v>3004</v>
      </c>
      <c r="B3005" s="119">
        <v>0.56028044505410768</v>
      </c>
    </row>
    <row r="3006" spans="1:2">
      <c r="A3006">
        <v>3005</v>
      </c>
      <c r="B3006" s="119">
        <v>0.89361377838744094</v>
      </c>
    </row>
    <row r="3007" spans="1:2">
      <c r="A3007">
        <v>3006</v>
      </c>
      <c r="B3007" s="119">
        <v>4.1761926535589092E-2</v>
      </c>
    </row>
    <row r="3008" spans="1:2">
      <c r="A3008">
        <v>3007</v>
      </c>
      <c r="B3008" s="119">
        <v>0.37509525986892239</v>
      </c>
    </row>
    <row r="3009" spans="1:2">
      <c r="A3009">
        <v>3008</v>
      </c>
      <c r="B3009" s="119">
        <v>0.70842859320225582</v>
      </c>
    </row>
    <row r="3010" spans="1:2">
      <c r="A3010">
        <v>3009</v>
      </c>
      <c r="B3010" s="119">
        <v>0.15287303764670018</v>
      </c>
    </row>
    <row r="3011" spans="1:2">
      <c r="A3011">
        <v>3010</v>
      </c>
      <c r="B3011" s="119">
        <v>0.4862063709800335</v>
      </c>
    </row>
    <row r="3012" spans="1:2">
      <c r="A3012">
        <v>3011</v>
      </c>
      <c r="B3012" s="119">
        <v>0.81953970431336676</v>
      </c>
    </row>
    <row r="3013" spans="1:2">
      <c r="A3013">
        <v>3012</v>
      </c>
      <c r="B3013" s="119">
        <v>0.26398414875781129</v>
      </c>
    </row>
    <row r="3014" spans="1:2">
      <c r="A3014">
        <v>3013</v>
      </c>
      <c r="B3014" s="119">
        <v>0.59731748209114466</v>
      </c>
    </row>
    <row r="3015" spans="1:2">
      <c r="A3015">
        <v>3014</v>
      </c>
      <c r="B3015" s="119">
        <v>0.93065081542447792</v>
      </c>
    </row>
    <row r="3016" spans="1:2">
      <c r="A3016">
        <v>3015</v>
      </c>
      <c r="B3016" s="119">
        <v>7.8798963572626113E-2</v>
      </c>
    </row>
    <row r="3017" spans="1:2">
      <c r="A3017">
        <v>3016</v>
      </c>
      <c r="B3017" s="119">
        <v>0.41213229690595943</v>
      </c>
    </row>
    <row r="3018" spans="1:2">
      <c r="A3018">
        <v>3017</v>
      </c>
      <c r="B3018" s="119">
        <v>0.7454656302392928</v>
      </c>
    </row>
    <row r="3019" spans="1:2">
      <c r="A3019">
        <v>3018</v>
      </c>
      <c r="B3019" s="119">
        <v>0.18991007468373722</v>
      </c>
    </row>
    <row r="3020" spans="1:2">
      <c r="A3020">
        <v>3019</v>
      </c>
      <c r="B3020" s="119">
        <v>0.52324340801707059</v>
      </c>
    </row>
    <row r="3021" spans="1:2">
      <c r="A3021">
        <v>3020</v>
      </c>
      <c r="B3021" s="119">
        <v>0.85657674135040385</v>
      </c>
    </row>
    <row r="3022" spans="1:2">
      <c r="A3022">
        <v>3021</v>
      </c>
      <c r="B3022" s="119">
        <v>0.30102118579484832</v>
      </c>
    </row>
    <row r="3023" spans="1:2">
      <c r="A3023">
        <v>3022</v>
      </c>
      <c r="B3023" s="119">
        <v>0.63435451912818175</v>
      </c>
    </row>
    <row r="3024" spans="1:2">
      <c r="A3024">
        <v>3023</v>
      </c>
      <c r="B3024" s="119">
        <v>0.96768785246151501</v>
      </c>
    </row>
    <row r="3025" spans="1:2">
      <c r="A3025">
        <v>3024</v>
      </c>
      <c r="B3025" s="119">
        <v>1.7070568510897728E-2</v>
      </c>
    </row>
    <row r="3026" spans="1:2">
      <c r="A3026">
        <v>3025</v>
      </c>
      <c r="B3026" s="119">
        <v>0.35040390184423104</v>
      </c>
    </row>
    <row r="3027" spans="1:2">
      <c r="A3027">
        <v>3026</v>
      </c>
      <c r="B3027" s="119">
        <v>0.68373723517756435</v>
      </c>
    </row>
    <row r="3028" spans="1:2">
      <c r="A3028">
        <v>3027</v>
      </c>
      <c r="B3028" s="119">
        <v>0.12818167962200883</v>
      </c>
    </row>
    <row r="3029" spans="1:2">
      <c r="A3029">
        <v>3028</v>
      </c>
      <c r="B3029" s="119">
        <v>0.46151501295534214</v>
      </c>
    </row>
    <row r="3030" spans="1:2">
      <c r="A3030">
        <v>3029</v>
      </c>
      <c r="B3030" s="119">
        <v>0.79484834628867551</v>
      </c>
    </row>
    <row r="3031" spans="1:2">
      <c r="A3031">
        <v>3030</v>
      </c>
      <c r="B3031" s="119">
        <v>0.23929279073311993</v>
      </c>
    </row>
    <row r="3032" spans="1:2">
      <c r="A3032">
        <v>3031</v>
      </c>
      <c r="B3032" s="119">
        <v>0.57262612406645341</v>
      </c>
    </row>
    <row r="3033" spans="1:2">
      <c r="A3033">
        <v>3032</v>
      </c>
      <c r="B3033" s="119">
        <v>0.90595945739978667</v>
      </c>
    </row>
    <row r="3034" spans="1:2">
      <c r="A3034">
        <v>3033</v>
      </c>
      <c r="B3034" s="119">
        <v>5.410760554793477E-2</v>
      </c>
    </row>
    <row r="3035" spans="1:2">
      <c r="A3035">
        <v>3034</v>
      </c>
      <c r="B3035" s="119">
        <v>0.38744093888126807</v>
      </c>
    </row>
    <row r="3036" spans="1:2">
      <c r="A3036">
        <v>3035</v>
      </c>
      <c r="B3036" s="119">
        <v>0.72077427221460155</v>
      </c>
    </row>
    <row r="3037" spans="1:2">
      <c r="A3037">
        <v>3036</v>
      </c>
      <c r="B3037" s="119">
        <v>0.16521871665904586</v>
      </c>
    </row>
    <row r="3038" spans="1:2">
      <c r="A3038">
        <v>3037</v>
      </c>
      <c r="B3038" s="119">
        <v>0.49855204999237918</v>
      </c>
    </row>
    <row r="3039" spans="1:2">
      <c r="A3039">
        <v>3038</v>
      </c>
      <c r="B3039" s="119">
        <v>0.83188538332571249</v>
      </c>
    </row>
    <row r="3040" spans="1:2">
      <c r="A3040">
        <v>3039</v>
      </c>
      <c r="B3040" s="119">
        <v>0.27632982777015697</v>
      </c>
    </row>
    <row r="3041" spans="1:2">
      <c r="A3041">
        <v>3040</v>
      </c>
      <c r="B3041" s="119">
        <v>0.60966316110349039</v>
      </c>
    </row>
    <row r="3042" spans="1:2">
      <c r="A3042">
        <v>3041</v>
      </c>
      <c r="B3042" s="119">
        <v>0.94299649443682365</v>
      </c>
    </row>
    <row r="3043" spans="1:2">
      <c r="A3043">
        <v>3042</v>
      </c>
      <c r="B3043" s="119">
        <v>9.1144642584971791E-2</v>
      </c>
    </row>
    <row r="3044" spans="1:2">
      <c r="A3044">
        <v>3043</v>
      </c>
      <c r="B3044" s="119">
        <v>0.42447797591830511</v>
      </c>
    </row>
    <row r="3045" spans="1:2">
      <c r="A3045">
        <v>3044</v>
      </c>
      <c r="B3045" s="119">
        <v>0.75781130925163853</v>
      </c>
    </row>
    <row r="3046" spans="1:2">
      <c r="A3046">
        <v>3045</v>
      </c>
      <c r="B3046" s="119">
        <v>0.2022557536960829</v>
      </c>
    </row>
    <row r="3047" spans="1:2">
      <c r="A3047">
        <v>3046</v>
      </c>
      <c r="B3047" s="119">
        <v>0.53558908702941621</v>
      </c>
    </row>
    <row r="3048" spans="1:2">
      <c r="A3048">
        <v>3047</v>
      </c>
      <c r="B3048" s="119">
        <v>0.86892242036274947</v>
      </c>
    </row>
    <row r="3049" spans="1:2">
      <c r="A3049">
        <v>3048</v>
      </c>
      <c r="B3049" s="119">
        <v>0.313366864807194</v>
      </c>
    </row>
    <row r="3050" spans="1:2">
      <c r="A3050">
        <v>3049</v>
      </c>
      <c r="B3050" s="119">
        <v>0.64670019814052737</v>
      </c>
    </row>
    <row r="3051" spans="1:2">
      <c r="A3051">
        <v>3050</v>
      </c>
      <c r="B3051" s="119">
        <v>0.98003353147386063</v>
      </c>
    </row>
    <row r="3052" spans="1:2">
      <c r="A3052">
        <v>3051</v>
      </c>
      <c r="B3052" s="119">
        <v>2.9416247523243406E-2</v>
      </c>
    </row>
    <row r="3053" spans="1:2">
      <c r="A3053">
        <v>3052</v>
      </c>
      <c r="B3053" s="119">
        <v>0.36274958085657671</v>
      </c>
    </row>
    <row r="3054" spans="1:2">
      <c r="A3054">
        <v>3053</v>
      </c>
      <c r="B3054" s="119">
        <v>0.69608291418991008</v>
      </c>
    </row>
    <row r="3055" spans="1:2">
      <c r="A3055">
        <v>3054</v>
      </c>
      <c r="B3055" s="119">
        <v>0.1405273586343545</v>
      </c>
    </row>
    <row r="3056" spans="1:2">
      <c r="A3056">
        <v>3055</v>
      </c>
      <c r="B3056" s="119">
        <v>0.47386069196768782</v>
      </c>
    </row>
    <row r="3057" spans="1:2">
      <c r="A3057">
        <v>3056</v>
      </c>
      <c r="B3057" s="119">
        <v>0.80719402530102113</v>
      </c>
    </row>
    <row r="3058" spans="1:2">
      <c r="A3058">
        <v>3057</v>
      </c>
      <c r="B3058" s="119">
        <v>0.25163846974546561</v>
      </c>
    </row>
    <row r="3059" spans="1:2">
      <c r="A3059">
        <v>3058</v>
      </c>
      <c r="B3059" s="119">
        <v>0.58497180307879904</v>
      </c>
    </row>
    <row r="3060" spans="1:2">
      <c r="A3060">
        <v>3059</v>
      </c>
      <c r="B3060" s="119">
        <v>0.91830513641213229</v>
      </c>
    </row>
    <row r="3061" spans="1:2">
      <c r="A3061">
        <v>3060</v>
      </c>
      <c r="B3061" s="119">
        <v>6.6453284560280435E-2</v>
      </c>
    </row>
    <row r="3062" spans="1:2">
      <c r="A3062">
        <v>3061</v>
      </c>
      <c r="B3062" s="119">
        <v>0.39978661789361375</v>
      </c>
    </row>
    <row r="3063" spans="1:2">
      <c r="A3063">
        <v>3062</v>
      </c>
      <c r="B3063" s="119">
        <v>0.73311995122694718</v>
      </c>
    </row>
    <row r="3064" spans="1:2">
      <c r="A3064">
        <v>3063</v>
      </c>
      <c r="B3064" s="119">
        <v>0.17756439567139154</v>
      </c>
    </row>
    <row r="3065" spans="1:2">
      <c r="A3065">
        <v>3064</v>
      </c>
      <c r="B3065" s="119">
        <v>0.51089772900472497</v>
      </c>
    </row>
    <row r="3066" spans="1:2">
      <c r="A3066">
        <v>3065</v>
      </c>
      <c r="B3066" s="119">
        <v>0.84423106233805811</v>
      </c>
    </row>
    <row r="3067" spans="1:2">
      <c r="A3067">
        <v>3066</v>
      </c>
      <c r="B3067" s="119">
        <v>0.28867550678250264</v>
      </c>
    </row>
    <row r="3068" spans="1:2">
      <c r="A3068">
        <v>3067</v>
      </c>
      <c r="B3068" s="119">
        <v>0.62200884011583601</v>
      </c>
    </row>
    <row r="3069" spans="1:2">
      <c r="A3069">
        <v>3068</v>
      </c>
      <c r="B3069" s="119">
        <v>0.95534217344916927</v>
      </c>
    </row>
    <row r="3070" spans="1:2">
      <c r="A3070">
        <v>3069</v>
      </c>
      <c r="B3070" s="119">
        <v>0.10349032159731747</v>
      </c>
    </row>
    <row r="3071" spans="1:2">
      <c r="A3071">
        <v>3070</v>
      </c>
      <c r="B3071" s="119">
        <v>0.43682365493065078</v>
      </c>
    </row>
    <row r="3072" spans="1:2">
      <c r="A3072">
        <v>3071</v>
      </c>
      <c r="B3072" s="119">
        <v>0.77015698826398415</v>
      </c>
    </row>
    <row r="3073" spans="1:2">
      <c r="A3073">
        <v>3072</v>
      </c>
      <c r="B3073" s="119">
        <v>0.21460143270842857</v>
      </c>
    </row>
    <row r="3074" spans="1:2">
      <c r="A3074">
        <v>3073</v>
      </c>
      <c r="B3074" s="119">
        <v>0.54793476604176194</v>
      </c>
    </row>
    <row r="3075" spans="1:2">
      <c r="A3075">
        <v>3074</v>
      </c>
      <c r="B3075" s="119">
        <v>0.8812680993750952</v>
      </c>
    </row>
    <row r="3076" spans="1:2">
      <c r="A3076">
        <v>3075</v>
      </c>
      <c r="B3076" s="119">
        <v>0.32571254381953968</v>
      </c>
    </row>
    <row r="3077" spans="1:2">
      <c r="A3077">
        <v>3076</v>
      </c>
      <c r="B3077" s="119">
        <v>0.65904587715287311</v>
      </c>
    </row>
    <row r="3078" spans="1:2">
      <c r="A3078">
        <v>3077</v>
      </c>
      <c r="B3078" s="119">
        <v>0.99237921048620636</v>
      </c>
    </row>
    <row r="3079" spans="1:2">
      <c r="A3079">
        <v>3078</v>
      </c>
      <c r="B3079" s="119">
        <v>8.8401158360006098E-3</v>
      </c>
    </row>
    <row r="3080" spans="1:2">
      <c r="A3080">
        <v>3079</v>
      </c>
      <c r="B3080" s="119">
        <v>0.34217344916933395</v>
      </c>
    </row>
    <row r="3081" spans="1:2">
      <c r="A3081">
        <v>3080</v>
      </c>
      <c r="B3081" s="119">
        <v>0.67550678250266727</v>
      </c>
    </row>
    <row r="3082" spans="1:2">
      <c r="A3082">
        <v>3081</v>
      </c>
      <c r="B3082" s="119">
        <v>0.11995122694711172</v>
      </c>
    </row>
    <row r="3083" spans="1:2">
      <c r="A3083">
        <v>3082</v>
      </c>
      <c r="B3083" s="119">
        <v>0.45328456028044506</v>
      </c>
    </row>
    <row r="3084" spans="1:2">
      <c r="A3084">
        <v>3083</v>
      </c>
      <c r="B3084" s="119">
        <v>0.78661789361377832</v>
      </c>
    </row>
    <row r="3085" spans="1:2">
      <c r="A3085">
        <v>3084</v>
      </c>
      <c r="B3085" s="119">
        <v>0.23106233805822279</v>
      </c>
    </row>
    <row r="3086" spans="1:2">
      <c r="A3086">
        <v>3085</v>
      </c>
      <c r="B3086" s="119">
        <v>0.56439567139155622</v>
      </c>
    </row>
    <row r="3087" spans="1:2">
      <c r="A3087">
        <v>3086</v>
      </c>
      <c r="B3087" s="119">
        <v>0.89772900472488948</v>
      </c>
    </row>
    <row r="3088" spans="1:2">
      <c r="A3088">
        <v>3087</v>
      </c>
      <c r="B3088" s="119">
        <v>4.5877152873037653E-2</v>
      </c>
    </row>
    <row r="3089" spans="1:2">
      <c r="A3089">
        <v>3088</v>
      </c>
      <c r="B3089" s="119">
        <v>0.37921048620637099</v>
      </c>
    </row>
    <row r="3090" spans="1:2">
      <c r="A3090">
        <v>3089</v>
      </c>
      <c r="B3090" s="119">
        <v>0.71254381953970436</v>
      </c>
    </row>
    <row r="3091" spans="1:2">
      <c r="A3091">
        <v>3090</v>
      </c>
      <c r="B3091" s="119">
        <v>0.15698826398414872</v>
      </c>
    </row>
    <row r="3092" spans="1:2">
      <c r="A3092">
        <v>3091</v>
      </c>
      <c r="B3092" s="119">
        <v>0.49032159731748209</v>
      </c>
    </row>
    <row r="3093" spans="1:2">
      <c r="A3093">
        <v>3092</v>
      </c>
      <c r="B3093" s="119">
        <v>0.8236549306508153</v>
      </c>
    </row>
    <row r="3094" spans="1:2">
      <c r="A3094">
        <v>3093</v>
      </c>
      <c r="B3094" s="119">
        <v>0.26809937509525988</v>
      </c>
    </row>
    <row r="3095" spans="1:2">
      <c r="A3095">
        <v>3094</v>
      </c>
      <c r="B3095" s="119">
        <v>0.6014327084285932</v>
      </c>
    </row>
    <row r="3096" spans="1:2">
      <c r="A3096">
        <v>3095</v>
      </c>
      <c r="B3096" s="119">
        <v>0.93476604176192646</v>
      </c>
    </row>
    <row r="3097" spans="1:2">
      <c r="A3097">
        <v>3096</v>
      </c>
      <c r="B3097" s="119">
        <v>8.2914189910074682E-2</v>
      </c>
    </row>
    <row r="3098" spans="1:2">
      <c r="A3098">
        <v>3097</v>
      </c>
      <c r="B3098" s="119">
        <v>0.41624752324340802</v>
      </c>
    </row>
    <row r="3099" spans="1:2">
      <c r="A3099">
        <v>3098</v>
      </c>
      <c r="B3099" s="119">
        <v>0.74958085657674134</v>
      </c>
    </row>
    <row r="3100" spans="1:2">
      <c r="A3100">
        <v>3099</v>
      </c>
      <c r="B3100" s="119">
        <v>0.19402530102118576</v>
      </c>
    </row>
    <row r="3101" spans="1:2">
      <c r="A3101">
        <v>3100</v>
      </c>
      <c r="B3101" s="119">
        <v>0.52735863435451913</v>
      </c>
    </row>
    <row r="3102" spans="1:2">
      <c r="A3102">
        <v>3101</v>
      </c>
      <c r="B3102" s="119">
        <v>0.86069196768785239</v>
      </c>
    </row>
    <row r="3103" spans="1:2">
      <c r="A3103">
        <v>3102</v>
      </c>
      <c r="B3103" s="119">
        <v>0.30513641213229692</v>
      </c>
    </row>
    <row r="3104" spans="1:2">
      <c r="A3104">
        <v>3103</v>
      </c>
      <c r="B3104" s="119">
        <v>0.63846974546563029</v>
      </c>
    </row>
    <row r="3105" spans="1:2">
      <c r="A3105">
        <v>3104</v>
      </c>
      <c r="B3105" s="119">
        <v>0.97180307879896355</v>
      </c>
    </row>
    <row r="3106" spans="1:2">
      <c r="A3106">
        <v>3105</v>
      </c>
      <c r="B3106" s="119">
        <v>2.1185794848346286E-2</v>
      </c>
    </row>
    <row r="3107" spans="1:2">
      <c r="A3107">
        <v>3106</v>
      </c>
      <c r="B3107" s="119">
        <v>0.35451912818167963</v>
      </c>
    </row>
    <row r="3108" spans="1:2">
      <c r="A3108">
        <v>3107</v>
      </c>
      <c r="B3108" s="119">
        <v>0.68785246151501289</v>
      </c>
    </row>
    <row r="3109" spans="1:2">
      <c r="A3109">
        <v>3108</v>
      </c>
      <c r="B3109" s="119">
        <v>0.13229690595945737</v>
      </c>
    </row>
    <row r="3110" spans="1:2">
      <c r="A3110">
        <v>3109</v>
      </c>
      <c r="B3110" s="119">
        <v>0.46563023929279074</v>
      </c>
    </row>
    <row r="3111" spans="1:2">
      <c r="A3111">
        <v>3110</v>
      </c>
      <c r="B3111" s="119">
        <v>0.79896357262612405</v>
      </c>
    </row>
    <row r="3112" spans="1:2">
      <c r="A3112">
        <v>3111</v>
      </c>
      <c r="B3112" s="119">
        <v>0.24340801707056847</v>
      </c>
    </row>
    <row r="3113" spans="1:2">
      <c r="A3113">
        <v>3112</v>
      </c>
      <c r="B3113" s="119">
        <v>0.57674135040390195</v>
      </c>
    </row>
    <row r="3114" spans="1:2">
      <c r="A3114">
        <v>3113</v>
      </c>
      <c r="B3114" s="119">
        <v>0.91007468373723521</v>
      </c>
    </row>
    <row r="3115" spans="1:2">
      <c r="A3115">
        <v>3114</v>
      </c>
      <c r="B3115" s="119">
        <v>5.8222831885383332E-2</v>
      </c>
    </row>
    <row r="3116" spans="1:2">
      <c r="A3116">
        <v>3115</v>
      </c>
      <c r="B3116" s="119">
        <v>0.39155616521871667</v>
      </c>
    </row>
    <row r="3117" spans="1:2">
      <c r="A3117">
        <v>3116</v>
      </c>
      <c r="B3117" s="119">
        <v>0.72488949855205009</v>
      </c>
    </row>
    <row r="3118" spans="1:2">
      <c r="A3118">
        <v>3117</v>
      </c>
      <c r="B3118" s="119">
        <v>0.1693339429964944</v>
      </c>
    </row>
    <row r="3119" spans="1:2">
      <c r="A3119">
        <v>3118</v>
      </c>
      <c r="B3119" s="119">
        <v>0.50266727632982777</v>
      </c>
    </row>
    <row r="3120" spans="1:2">
      <c r="A3120">
        <v>3119</v>
      </c>
      <c r="B3120" s="119">
        <v>0.83600060966316103</v>
      </c>
    </row>
    <row r="3121" spans="1:2">
      <c r="A3121">
        <v>3120</v>
      </c>
      <c r="B3121" s="119">
        <v>0.28044505410760556</v>
      </c>
    </row>
    <row r="3122" spans="1:2">
      <c r="A3122">
        <v>3121</v>
      </c>
      <c r="B3122" s="119">
        <v>0.61377838744093893</v>
      </c>
    </row>
    <row r="3123" spans="1:2">
      <c r="A3123">
        <v>3122</v>
      </c>
      <c r="B3123" s="119">
        <v>0.94711172077427219</v>
      </c>
    </row>
    <row r="3124" spans="1:2">
      <c r="A3124">
        <v>3123</v>
      </c>
      <c r="B3124" s="119">
        <v>9.525986892242036E-2</v>
      </c>
    </row>
    <row r="3125" spans="1:2">
      <c r="A3125">
        <v>3124</v>
      </c>
      <c r="B3125" s="119">
        <v>0.4285932022557537</v>
      </c>
    </row>
    <row r="3126" spans="1:2">
      <c r="A3126">
        <v>3125</v>
      </c>
      <c r="B3126" s="119">
        <v>0.76192653558908707</v>
      </c>
    </row>
    <row r="3127" spans="1:2">
      <c r="A3127">
        <v>3126</v>
      </c>
      <c r="B3127" s="119">
        <v>0.20637098003353144</v>
      </c>
    </row>
    <row r="3128" spans="1:2">
      <c r="A3128">
        <v>3127</v>
      </c>
      <c r="B3128" s="119">
        <v>0.53970431336686475</v>
      </c>
    </row>
    <row r="3129" spans="1:2">
      <c r="A3129">
        <v>3128</v>
      </c>
      <c r="B3129" s="119">
        <v>0.87303764670019801</v>
      </c>
    </row>
    <row r="3130" spans="1:2">
      <c r="A3130">
        <v>3129</v>
      </c>
      <c r="B3130" s="119">
        <v>0.3174820911446426</v>
      </c>
    </row>
    <row r="3131" spans="1:2">
      <c r="A3131">
        <v>3130</v>
      </c>
      <c r="B3131" s="119">
        <v>0.65081542447797591</v>
      </c>
    </row>
    <row r="3132" spans="1:2">
      <c r="A3132">
        <v>3131</v>
      </c>
      <c r="B3132" s="119">
        <v>0.98414875781130917</v>
      </c>
    </row>
    <row r="3133" spans="1:2">
      <c r="A3133">
        <v>3132</v>
      </c>
      <c r="B3133" s="119">
        <v>3.3531473860691975E-2</v>
      </c>
    </row>
    <row r="3134" spans="1:2">
      <c r="A3134">
        <v>3133</v>
      </c>
      <c r="B3134" s="119">
        <v>0.36686480719402531</v>
      </c>
    </row>
    <row r="3135" spans="1:2">
      <c r="A3135">
        <v>3134</v>
      </c>
      <c r="B3135" s="119">
        <v>0.70019814052735863</v>
      </c>
    </row>
    <row r="3136" spans="1:2">
      <c r="A3136">
        <v>3135</v>
      </c>
      <c r="B3136" s="119">
        <v>0.14464258497180305</v>
      </c>
    </row>
    <row r="3137" spans="1:2">
      <c r="A3137">
        <v>3136</v>
      </c>
      <c r="B3137" s="119">
        <v>0.47797591830513642</v>
      </c>
    </row>
    <row r="3138" spans="1:2">
      <c r="A3138">
        <v>3137</v>
      </c>
      <c r="B3138" s="119">
        <v>0.81130925163846968</v>
      </c>
    </row>
    <row r="3139" spans="1:2">
      <c r="A3139">
        <v>3138</v>
      </c>
      <c r="B3139" s="119">
        <v>0.25575369608291421</v>
      </c>
    </row>
    <row r="3140" spans="1:2">
      <c r="A3140">
        <v>3139</v>
      </c>
      <c r="B3140" s="119">
        <v>0.58908702941624758</v>
      </c>
    </row>
    <row r="3141" spans="1:2">
      <c r="A3141">
        <v>3140</v>
      </c>
      <c r="B3141" s="119">
        <v>0.92242036274958084</v>
      </c>
    </row>
    <row r="3142" spans="1:2">
      <c r="A3142">
        <v>3141</v>
      </c>
      <c r="B3142" s="119">
        <v>7.0568510897729003E-2</v>
      </c>
    </row>
    <row r="3143" spans="1:2">
      <c r="A3143">
        <v>3142</v>
      </c>
      <c r="B3143" s="119">
        <v>0.40390184423106235</v>
      </c>
    </row>
    <row r="3144" spans="1:2">
      <c r="A3144">
        <v>3143</v>
      </c>
      <c r="B3144" s="119">
        <v>0.73723517756439572</v>
      </c>
    </row>
    <row r="3145" spans="1:2">
      <c r="A3145">
        <v>3144</v>
      </c>
      <c r="B3145" s="119">
        <v>0.18167962200884008</v>
      </c>
    </row>
    <row r="3146" spans="1:2">
      <c r="A3146">
        <v>3145</v>
      </c>
      <c r="B3146" s="119">
        <v>0.51501295534217351</v>
      </c>
    </row>
    <row r="3147" spans="1:2">
      <c r="A3147">
        <v>3146</v>
      </c>
      <c r="B3147" s="119">
        <v>0.84834628867550665</v>
      </c>
    </row>
    <row r="3148" spans="1:2">
      <c r="A3148">
        <v>3147</v>
      </c>
      <c r="B3148" s="119">
        <v>0.29279073311995124</v>
      </c>
    </row>
    <row r="3149" spans="1:2">
      <c r="A3149">
        <v>3148</v>
      </c>
      <c r="B3149" s="119">
        <v>0.62612406645328456</v>
      </c>
    </row>
    <row r="3150" spans="1:2">
      <c r="A3150">
        <v>3149</v>
      </c>
      <c r="B3150" s="119">
        <v>0.95945739978661781</v>
      </c>
    </row>
    <row r="3151" spans="1:2">
      <c r="A3151">
        <v>3150</v>
      </c>
      <c r="B3151" s="119">
        <v>0.10760554793476604</v>
      </c>
    </row>
    <row r="3152" spans="1:2">
      <c r="A3152">
        <v>3151</v>
      </c>
      <c r="B3152" s="119">
        <v>0.44093888126809938</v>
      </c>
    </row>
    <row r="3153" spans="1:2">
      <c r="A3153">
        <v>3152</v>
      </c>
      <c r="B3153" s="119">
        <v>0.7742722146014327</v>
      </c>
    </row>
    <row r="3154" spans="1:2">
      <c r="A3154">
        <v>3153</v>
      </c>
      <c r="B3154" s="119">
        <v>0.21871665904587712</v>
      </c>
    </row>
    <row r="3155" spans="1:2">
      <c r="A3155">
        <v>3154</v>
      </c>
      <c r="B3155" s="119">
        <v>0.55204999237921049</v>
      </c>
    </row>
    <row r="3156" spans="1:2">
      <c r="A3156">
        <v>3155</v>
      </c>
      <c r="B3156" s="119">
        <v>0.88538332571254375</v>
      </c>
    </row>
    <row r="3157" spans="1:2">
      <c r="A3157">
        <v>3156</v>
      </c>
      <c r="B3157" s="119">
        <v>0.32982777015698828</v>
      </c>
    </row>
    <row r="3158" spans="1:2">
      <c r="A3158">
        <v>3157</v>
      </c>
      <c r="B3158" s="119">
        <v>0.66316110349032165</v>
      </c>
    </row>
    <row r="3159" spans="1:2">
      <c r="A3159">
        <v>3158</v>
      </c>
      <c r="B3159" s="119">
        <v>0.99649443682365491</v>
      </c>
    </row>
    <row r="3160" spans="1:2">
      <c r="A3160">
        <v>3159</v>
      </c>
      <c r="B3160" s="119">
        <v>1.9814052735863436E-3</v>
      </c>
    </row>
    <row r="3161" spans="1:2">
      <c r="A3161">
        <v>3160</v>
      </c>
      <c r="B3161" s="119">
        <v>0.33531473860691968</v>
      </c>
    </row>
    <row r="3162" spans="1:2">
      <c r="A3162">
        <v>3161</v>
      </c>
      <c r="B3162" s="119">
        <v>0.668648071940253</v>
      </c>
    </row>
    <row r="3163" spans="1:2">
      <c r="A3163">
        <v>3162</v>
      </c>
      <c r="B3163" s="119">
        <v>0.11309251638469744</v>
      </c>
    </row>
    <row r="3164" spans="1:2">
      <c r="A3164">
        <v>3163</v>
      </c>
      <c r="B3164" s="119">
        <v>0.44642584971803079</v>
      </c>
    </row>
    <row r="3165" spans="1:2">
      <c r="A3165">
        <v>3164</v>
      </c>
      <c r="B3165" s="119">
        <v>0.77975918305136405</v>
      </c>
    </row>
    <row r="3166" spans="1:2">
      <c r="A3166">
        <v>3165</v>
      </c>
      <c r="B3166" s="119">
        <v>0.22420362749580855</v>
      </c>
    </row>
    <row r="3167" spans="1:2">
      <c r="A3167">
        <v>3166</v>
      </c>
      <c r="B3167" s="119">
        <v>0.55753696082914195</v>
      </c>
    </row>
    <row r="3168" spans="1:2">
      <c r="A3168">
        <v>3167</v>
      </c>
      <c r="B3168" s="119">
        <v>0.89087029416247521</v>
      </c>
    </row>
    <row r="3169" spans="1:2">
      <c r="A3169">
        <v>3168</v>
      </c>
      <c r="B3169" s="119">
        <v>3.9018442310623382E-2</v>
      </c>
    </row>
    <row r="3170" spans="1:2">
      <c r="A3170">
        <v>3169</v>
      </c>
      <c r="B3170" s="119">
        <v>0.37235177564395672</v>
      </c>
    </row>
    <row r="3171" spans="1:2">
      <c r="A3171">
        <v>3170</v>
      </c>
      <c r="B3171" s="119">
        <v>0.70568510897729009</v>
      </c>
    </row>
    <row r="3172" spans="1:2">
      <c r="A3172">
        <v>3171</v>
      </c>
      <c r="B3172" s="119">
        <v>0.15012955342173448</v>
      </c>
    </row>
    <row r="3173" spans="1:2">
      <c r="A3173">
        <v>3172</v>
      </c>
      <c r="B3173" s="119">
        <v>0.48346288675506782</v>
      </c>
    </row>
    <row r="3174" spans="1:2">
      <c r="A3174">
        <v>3173</v>
      </c>
      <c r="B3174" s="119">
        <v>0.81679622008840103</v>
      </c>
    </row>
    <row r="3175" spans="1:2">
      <c r="A3175">
        <v>3174</v>
      </c>
      <c r="B3175" s="119">
        <v>0.26124066453284561</v>
      </c>
    </row>
    <row r="3176" spans="1:2">
      <c r="A3176">
        <v>3175</v>
      </c>
      <c r="B3176" s="119">
        <v>0.59457399786617893</v>
      </c>
    </row>
    <row r="3177" spans="1:2">
      <c r="A3177">
        <v>3176</v>
      </c>
      <c r="B3177" s="119">
        <v>0.92790733119951219</v>
      </c>
    </row>
    <row r="3178" spans="1:2">
      <c r="A3178">
        <v>3177</v>
      </c>
      <c r="B3178" s="119">
        <v>7.605547934766041E-2</v>
      </c>
    </row>
    <row r="3179" spans="1:2">
      <c r="A3179">
        <v>3178</v>
      </c>
      <c r="B3179" s="119">
        <v>0.40938881268099375</v>
      </c>
    </row>
    <row r="3180" spans="1:2">
      <c r="A3180">
        <v>3179</v>
      </c>
      <c r="B3180" s="119">
        <v>0.74272214601432707</v>
      </c>
    </row>
    <row r="3181" spans="1:2">
      <c r="A3181">
        <v>3180</v>
      </c>
      <c r="B3181" s="119">
        <v>0.18716659045877151</v>
      </c>
    </row>
    <row r="3182" spans="1:2">
      <c r="A3182">
        <v>3181</v>
      </c>
      <c r="B3182" s="119">
        <v>0.52049992379210486</v>
      </c>
    </row>
    <row r="3183" spans="1:2">
      <c r="A3183">
        <v>3182</v>
      </c>
      <c r="B3183" s="119">
        <v>0.85383325712543812</v>
      </c>
    </row>
    <row r="3184" spans="1:2">
      <c r="A3184">
        <v>3183</v>
      </c>
      <c r="B3184" s="119">
        <v>0.29827770156988265</v>
      </c>
    </row>
    <row r="3185" spans="1:2">
      <c r="A3185">
        <v>3184</v>
      </c>
      <c r="B3185" s="119">
        <v>0.63161103490321602</v>
      </c>
    </row>
    <row r="3186" spans="1:2">
      <c r="A3186">
        <v>3185</v>
      </c>
      <c r="B3186" s="119">
        <v>0.96494436823654928</v>
      </c>
    </row>
    <row r="3187" spans="1:2">
      <c r="A3187">
        <v>3186</v>
      </c>
      <c r="B3187" s="119">
        <v>1.4327084285932021E-2</v>
      </c>
    </row>
    <row r="3188" spans="1:2">
      <c r="A3188">
        <v>3187</v>
      </c>
      <c r="B3188" s="119">
        <v>0.34766041761926536</v>
      </c>
    </row>
    <row r="3189" spans="1:2">
      <c r="A3189">
        <v>3188</v>
      </c>
      <c r="B3189" s="119">
        <v>0.68099375095259862</v>
      </c>
    </row>
    <row r="3190" spans="1:2">
      <c r="A3190">
        <v>3189</v>
      </c>
      <c r="B3190" s="119">
        <v>0.12543819539704312</v>
      </c>
    </row>
    <row r="3191" spans="1:2">
      <c r="A3191">
        <v>3190</v>
      </c>
      <c r="B3191" s="119">
        <v>0.45877152873037647</v>
      </c>
    </row>
    <row r="3192" spans="1:2">
      <c r="A3192">
        <v>3191</v>
      </c>
      <c r="B3192" s="119">
        <v>0.79210486206370978</v>
      </c>
    </row>
    <row r="3193" spans="1:2">
      <c r="A3193">
        <v>3192</v>
      </c>
      <c r="B3193" s="119">
        <v>0.23654930650815423</v>
      </c>
    </row>
    <row r="3194" spans="1:2">
      <c r="A3194">
        <v>3193</v>
      </c>
      <c r="B3194" s="119">
        <v>0.56988263984148768</v>
      </c>
    </row>
    <row r="3195" spans="1:2">
      <c r="A3195">
        <v>3194</v>
      </c>
      <c r="B3195" s="119">
        <v>0.90321597317482094</v>
      </c>
    </row>
    <row r="3196" spans="1:2">
      <c r="A3196">
        <v>3195</v>
      </c>
      <c r="B3196" s="119">
        <v>5.136412132296906E-2</v>
      </c>
    </row>
    <row r="3197" spans="1:2">
      <c r="A3197">
        <v>3196</v>
      </c>
      <c r="B3197" s="119">
        <v>0.3846974546563024</v>
      </c>
    </row>
    <row r="3198" spans="1:2">
      <c r="A3198">
        <v>3197</v>
      </c>
      <c r="B3198" s="119">
        <v>0.71803078798963582</v>
      </c>
    </row>
    <row r="3199" spans="1:2">
      <c r="A3199">
        <v>3198</v>
      </c>
      <c r="B3199" s="119">
        <v>0.16247523243408016</v>
      </c>
    </row>
    <row r="3200" spans="1:2">
      <c r="A3200">
        <v>3199</v>
      </c>
      <c r="B3200" s="119">
        <v>0.4958085657674135</v>
      </c>
    </row>
    <row r="3201" spans="1:2">
      <c r="A3201">
        <v>3200</v>
      </c>
      <c r="B3201" s="119">
        <v>0.82914189910074676</v>
      </c>
    </row>
    <row r="3202" spans="1:2">
      <c r="A3202">
        <v>3201</v>
      </c>
      <c r="B3202" s="119">
        <v>0.27358634354519129</v>
      </c>
    </row>
    <row r="3203" spans="1:2">
      <c r="A3203">
        <v>3202</v>
      </c>
      <c r="B3203" s="119">
        <v>0.60691967687852466</v>
      </c>
    </row>
    <row r="3204" spans="1:2">
      <c r="A3204">
        <v>3203</v>
      </c>
      <c r="B3204" s="119">
        <v>0.94025301021185792</v>
      </c>
    </row>
    <row r="3205" spans="1:2">
      <c r="A3205">
        <v>3204</v>
      </c>
      <c r="B3205" s="119">
        <v>8.8401158360006088E-2</v>
      </c>
    </row>
    <row r="3206" spans="1:2">
      <c r="A3206">
        <v>3205</v>
      </c>
      <c r="B3206" s="119">
        <v>0.42173449169333943</v>
      </c>
    </row>
    <row r="3207" spans="1:2">
      <c r="A3207">
        <v>3206</v>
      </c>
      <c r="B3207" s="119">
        <v>0.7550678250266728</v>
      </c>
    </row>
    <row r="3208" spans="1:2">
      <c r="A3208">
        <v>3207</v>
      </c>
      <c r="B3208" s="119">
        <v>0.19951226947111719</v>
      </c>
    </row>
    <row r="3209" spans="1:2">
      <c r="A3209">
        <v>3208</v>
      </c>
      <c r="B3209" s="119">
        <v>0.53284560280445048</v>
      </c>
    </row>
    <row r="3210" spans="1:2">
      <c r="A3210">
        <v>3209</v>
      </c>
      <c r="B3210" s="119">
        <v>0.86617893613778374</v>
      </c>
    </row>
    <row r="3211" spans="1:2">
      <c r="A3211">
        <v>3210</v>
      </c>
      <c r="B3211" s="119">
        <v>0.31062338058222833</v>
      </c>
    </row>
    <row r="3212" spans="1:2">
      <c r="A3212">
        <v>3211</v>
      </c>
      <c r="B3212" s="119">
        <v>0.64395671391556164</v>
      </c>
    </row>
    <row r="3213" spans="1:2">
      <c r="A3213">
        <v>3212</v>
      </c>
      <c r="B3213" s="119">
        <v>0.9772900472488949</v>
      </c>
    </row>
    <row r="3214" spans="1:2">
      <c r="A3214">
        <v>3213</v>
      </c>
      <c r="B3214" s="119">
        <v>2.6672763298277696E-2</v>
      </c>
    </row>
    <row r="3215" spans="1:2">
      <c r="A3215">
        <v>3214</v>
      </c>
      <c r="B3215" s="119">
        <v>0.36000609663161104</v>
      </c>
    </row>
    <row r="3216" spans="1:2">
      <c r="A3216">
        <v>3215</v>
      </c>
      <c r="B3216" s="119">
        <v>0.69333942996494435</v>
      </c>
    </row>
    <row r="3217" spans="1:2">
      <c r="A3217">
        <v>3216</v>
      </c>
      <c r="B3217" s="119">
        <v>0.1377838744093888</v>
      </c>
    </row>
    <row r="3218" spans="1:2">
      <c r="A3218">
        <v>3217</v>
      </c>
      <c r="B3218" s="119">
        <v>0.47111720774272214</v>
      </c>
    </row>
    <row r="3219" spans="1:2">
      <c r="A3219">
        <v>3218</v>
      </c>
      <c r="B3219" s="119">
        <v>0.8044505410760554</v>
      </c>
    </row>
    <row r="3220" spans="1:2">
      <c r="A3220">
        <v>3219</v>
      </c>
      <c r="B3220" s="119">
        <v>0.24889498552049991</v>
      </c>
    </row>
    <row r="3221" spans="1:2">
      <c r="A3221">
        <v>3220</v>
      </c>
      <c r="B3221" s="119">
        <v>0.5822283188538333</v>
      </c>
    </row>
    <row r="3222" spans="1:2">
      <c r="A3222">
        <v>3221</v>
      </c>
      <c r="B3222" s="119">
        <v>0.91556165218716656</v>
      </c>
    </row>
    <row r="3223" spans="1:2">
      <c r="A3223">
        <v>3222</v>
      </c>
      <c r="B3223" s="119">
        <v>6.3709800335314731E-2</v>
      </c>
    </row>
    <row r="3224" spans="1:2">
      <c r="A3224">
        <v>3223</v>
      </c>
      <c r="B3224" s="119">
        <v>0.39704313366864807</v>
      </c>
    </row>
    <row r="3225" spans="1:2">
      <c r="A3225">
        <v>3224</v>
      </c>
      <c r="B3225" s="119">
        <v>0.73037646700198144</v>
      </c>
    </row>
    <row r="3226" spans="1:2">
      <c r="A3226">
        <v>3225</v>
      </c>
      <c r="B3226" s="119">
        <v>0.17482091144642584</v>
      </c>
    </row>
    <row r="3227" spans="1:2">
      <c r="A3227">
        <v>3226</v>
      </c>
      <c r="B3227" s="119">
        <v>0.50815424477975923</v>
      </c>
    </row>
    <row r="3228" spans="1:2">
      <c r="A3228">
        <v>3227</v>
      </c>
      <c r="B3228" s="119">
        <v>0.84148757811309238</v>
      </c>
    </row>
    <row r="3229" spans="1:2">
      <c r="A3229">
        <v>3228</v>
      </c>
      <c r="B3229" s="119">
        <v>0.28593202255753697</v>
      </c>
    </row>
    <row r="3230" spans="1:2">
      <c r="A3230">
        <v>3229</v>
      </c>
      <c r="B3230" s="119">
        <v>0.61926535589087028</v>
      </c>
    </row>
    <row r="3231" spans="1:2">
      <c r="A3231">
        <v>3230</v>
      </c>
      <c r="B3231" s="119">
        <v>0.95259868922420354</v>
      </c>
    </row>
    <row r="3232" spans="1:2">
      <c r="A3232">
        <v>3231</v>
      </c>
      <c r="B3232" s="119">
        <v>0.10074683737235177</v>
      </c>
    </row>
    <row r="3233" spans="1:2">
      <c r="A3233">
        <v>3232</v>
      </c>
      <c r="B3233" s="119">
        <v>0.43408017070568511</v>
      </c>
    </row>
    <row r="3234" spans="1:2">
      <c r="A3234">
        <v>3233</v>
      </c>
      <c r="B3234" s="119">
        <v>0.76741350403901842</v>
      </c>
    </row>
    <row r="3235" spans="1:2">
      <c r="A3235">
        <v>3234</v>
      </c>
      <c r="B3235" s="119">
        <v>0.21185794848346287</v>
      </c>
    </row>
    <row r="3236" spans="1:2">
      <c r="A3236">
        <v>3235</v>
      </c>
      <c r="B3236" s="119">
        <v>0.54519128181679621</v>
      </c>
    </row>
    <row r="3237" spans="1:2">
      <c r="A3237">
        <v>3236</v>
      </c>
      <c r="B3237" s="119">
        <v>0.87852461515012947</v>
      </c>
    </row>
    <row r="3238" spans="1:2">
      <c r="A3238">
        <v>3237</v>
      </c>
      <c r="B3238" s="119">
        <v>0.322969059594574</v>
      </c>
    </row>
    <row r="3239" spans="1:2">
      <c r="A3239">
        <v>3238</v>
      </c>
      <c r="B3239" s="119">
        <v>0.65630239292790737</v>
      </c>
    </row>
    <row r="3240" spans="1:2">
      <c r="A3240">
        <v>3239</v>
      </c>
      <c r="B3240" s="119">
        <v>0.98963572626124063</v>
      </c>
    </row>
    <row r="3241" spans="1:2">
      <c r="A3241">
        <v>3240</v>
      </c>
      <c r="B3241" s="119">
        <v>6.096631611034904E-3</v>
      </c>
    </row>
    <row r="3242" spans="1:2">
      <c r="A3242">
        <v>3241</v>
      </c>
      <c r="B3242" s="119">
        <v>0.33942996494436822</v>
      </c>
    </row>
    <row r="3243" spans="1:2">
      <c r="A3243">
        <v>3242</v>
      </c>
      <c r="B3243" s="119">
        <v>0.67276329827770154</v>
      </c>
    </row>
    <row r="3244" spans="1:2">
      <c r="A3244">
        <v>3243</v>
      </c>
      <c r="B3244" s="119">
        <v>0.117207742722146</v>
      </c>
    </row>
    <row r="3245" spans="1:2">
      <c r="A3245">
        <v>3244</v>
      </c>
      <c r="B3245" s="119">
        <v>0.45054107605547933</v>
      </c>
    </row>
    <row r="3246" spans="1:2">
      <c r="A3246">
        <v>3245</v>
      </c>
      <c r="B3246" s="119">
        <v>0.78387440938881259</v>
      </c>
    </row>
    <row r="3247" spans="1:2">
      <c r="A3247">
        <v>3246</v>
      </c>
      <c r="B3247" s="119">
        <v>0.22831885383325712</v>
      </c>
    </row>
    <row r="3248" spans="1:2">
      <c r="A3248">
        <v>3247</v>
      </c>
      <c r="B3248" s="119">
        <v>0.56165218716659049</v>
      </c>
    </row>
    <row r="3249" spans="1:2">
      <c r="A3249">
        <v>3248</v>
      </c>
      <c r="B3249" s="119">
        <v>0.89498552049992375</v>
      </c>
    </row>
    <row r="3250" spans="1:2">
      <c r="A3250">
        <v>3249</v>
      </c>
      <c r="B3250" s="119">
        <v>4.3133668648071943E-2</v>
      </c>
    </row>
    <row r="3251" spans="1:2">
      <c r="A3251">
        <v>3250</v>
      </c>
      <c r="B3251" s="119">
        <v>0.37646700198140526</v>
      </c>
    </row>
    <row r="3252" spans="1:2">
      <c r="A3252">
        <v>3251</v>
      </c>
      <c r="B3252" s="119">
        <v>0.70980033531473863</v>
      </c>
    </row>
    <row r="3253" spans="1:2">
      <c r="A3253">
        <v>3252</v>
      </c>
      <c r="B3253" s="119">
        <v>0.15424477975918305</v>
      </c>
    </row>
    <row r="3254" spans="1:2">
      <c r="A3254">
        <v>3253</v>
      </c>
      <c r="B3254" s="119">
        <v>0.48757811309251636</v>
      </c>
    </row>
    <row r="3255" spans="1:2">
      <c r="A3255">
        <v>3254</v>
      </c>
      <c r="B3255" s="119">
        <v>0.82091144642584957</v>
      </c>
    </row>
    <row r="3256" spans="1:2">
      <c r="A3256">
        <v>3255</v>
      </c>
      <c r="B3256" s="119">
        <v>0.26535589087029415</v>
      </c>
    </row>
    <row r="3257" spans="1:2">
      <c r="A3257">
        <v>3256</v>
      </c>
      <c r="B3257" s="119">
        <v>0.59868922420362747</v>
      </c>
    </row>
    <row r="3258" spans="1:2">
      <c r="A3258">
        <v>3257</v>
      </c>
      <c r="B3258" s="119">
        <v>0.93202255753696073</v>
      </c>
    </row>
    <row r="3259" spans="1:2">
      <c r="A3259">
        <v>3258</v>
      </c>
      <c r="B3259" s="119">
        <v>8.0170705685108964E-2</v>
      </c>
    </row>
    <row r="3260" spans="1:2">
      <c r="A3260">
        <v>3259</v>
      </c>
      <c r="B3260" s="119">
        <v>0.41350403901844229</v>
      </c>
    </row>
    <row r="3261" spans="1:2">
      <c r="A3261">
        <v>3260</v>
      </c>
      <c r="B3261" s="119">
        <v>0.74683737235177561</v>
      </c>
    </row>
    <row r="3262" spans="1:2">
      <c r="A3262">
        <v>3261</v>
      </c>
      <c r="B3262" s="119">
        <v>0.19128181679622008</v>
      </c>
    </row>
    <row r="3263" spans="1:2">
      <c r="A3263">
        <v>3262</v>
      </c>
      <c r="B3263" s="119">
        <v>0.5246151501295534</v>
      </c>
    </row>
    <row r="3264" spans="1:2">
      <c r="A3264">
        <v>3263</v>
      </c>
      <c r="B3264" s="119">
        <v>0.85794848346288666</v>
      </c>
    </row>
    <row r="3265" spans="1:2">
      <c r="A3265">
        <v>3264</v>
      </c>
      <c r="B3265" s="119">
        <v>0.30239292790733119</v>
      </c>
    </row>
    <row r="3266" spans="1:2">
      <c r="A3266">
        <v>3265</v>
      </c>
      <c r="B3266" s="119">
        <v>0.63572626124066456</v>
      </c>
    </row>
    <row r="3267" spans="1:2">
      <c r="A3267">
        <v>3266</v>
      </c>
      <c r="B3267" s="119">
        <v>0.96905959457399782</v>
      </c>
    </row>
    <row r="3268" spans="1:2">
      <c r="A3268">
        <v>3267</v>
      </c>
      <c r="B3268" s="119">
        <v>1.844231062338058E-2</v>
      </c>
    </row>
    <row r="3269" spans="1:2">
      <c r="A3269">
        <v>3268</v>
      </c>
      <c r="B3269" s="119">
        <v>0.3517756439567139</v>
      </c>
    </row>
    <row r="3270" spans="1:2">
      <c r="A3270">
        <v>3269</v>
      </c>
      <c r="B3270" s="119">
        <v>0.68510897729004716</v>
      </c>
    </row>
    <row r="3271" spans="1:2">
      <c r="A3271">
        <v>3270</v>
      </c>
      <c r="B3271" s="119">
        <v>0.12955342173449169</v>
      </c>
    </row>
    <row r="3272" spans="1:2">
      <c r="A3272">
        <v>3271</v>
      </c>
      <c r="B3272" s="119">
        <v>0.46288675506782501</v>
      </c>
    </row>
    <row r="3273" spans="1:2">
      <c r="A3273">
        <v>3272</v>
      </c>
      <c r="B3273" s="119">
        <v>0.79622008840115832</v>
      </c>
    </row>
    <row r="3274" spans="1:2">
      <c r="A3274">
        <v>3273</v>
      </c>
      <c r="B3274" s="119">
        <v>0.2406645328456028</v>
      </c>
    </row>
    <row r="3275" spans="1:2">
      <c r="A3275">
        <v>3274</v>
      </c>
      <c r="B3275" s="119">
        <v>0.57399786617893622</v>
      </c>
    </row>
    <row r="3276" spans="1:2">
      <c r="A3276">
        <v>3275</v>
      </c>
      <c r="B3276" s="119">
        <v>0.90733119951226948</v>
      </c>
    </row>
    <row r="3277" spans="1:2">
      <c r="A3277">
        <v>3276</v>
      </c>
      <c r="B3277" s="119">
        <v>5.5479347660417622E-2</v>
      </c>
    </row>
    <row r="3278" spans="1:2">
      <c r="A3278">
        <v>3277</v>
      </c>
      <c r="B3278" s="119">
        <v>0.38881268099375094</v>
      </c>
    </row>
    <row r="3279" spans="1:2">
      <c r="A3279">
        <v>3278</v>
      </c>
      <c r="B3279" s="119">
        <v>0.72214601432708436</v>
      </c>
    </row>
    <row r="3280" spans="1:2">
      <c r="A3280">
        <v>3279</v>
      </c>
      <c r="B3280" s="119">
        <v>0.16659045877152873</v>
      </c>
    </row>
    <row r="3281" spans="1:2">
      <c r="A3281">
        <v>3280</v>
      </c>
      <c r="B3281" s="119">
        <v>0.49992379210486204</v>
      </c>
    </row>
    <row r="3282" spans="1:2">
      <c r="A3282">
        <v>3281</v>
      </c>
      <c r="B3282" s="119">
        <v>0.8332571254381953</v>
      </c>
    </row>
    <row r="3283" spans="1:2">
      <c r="A3283">
        <v>3282</v>
      </c>
      <c r="B3283" s="119">
        <v>0.27770156988263983</v>
      </c>
    </row>
    <row r="3284" spans="1:2">
      <c r="A3284">
        <v>3283</v>
      </c>
      <c r="B3284" s="119">
        <v>0.6110349032159732</v>
      </c>
    </row>
    <row r="3285" spans="1:2">
      <c r="A3285">
        <v>3284</v>
      </c>
      <c r="B3285" s="119">
        <v>0.94436823654930646</v>
      </c>
    </row>
    <row r="3286" spans="1:2">
      <c r="A3286">
        <v>3285</v>
      </c>
      <c r="B3286" s="119">
        <v>9.2516384697454643E-2</v>
      </c>
    </row>
    <row r="3287" spans="1:2">
      <c r="A3287">
        <v>3286</v>
      </c>
      <c r="B3287" s="119">
        <v>0.42584971803078797</v>
      </c>
    </row>
    <row r="3288" spans="1:2">
      <c r="A3288">
        <v>3287</v>
      </c>
      <c r="B3288" s="119">
        <v>0.75918305136412134</v>
      </c>
    </row>
    <row r="3289" spans="1:2">
      <c r="A3289">
        <v>3288</v>
      </c>
      <c r="B3289" s="119">
        <v>0.20362749580856576</v>
      </c>
    </row>
    <row r="3290" spans="1:2">
      <c r="A3290">
        <v>3289</v>
      </c>
      <c r="B3290" s="119">
        <v>0.53696082914189902</v>
      </c>
    </row>
    <row r="3291" spans="1:2">
      <c r="A3291">
        <v>3290</v>
      </c>
      <c r="B3291" s="119">
        <v>0.87029416247523228</v>
      </c>
    </row>
    <row r="3292" spans="1:2">
      <c r="A3292">
        <v>3291</v>
      </c>
      <c r="B3292" s="119">
        <v>0.31473860691967687</v>
      </c>
    </row>
    <row r="3293" spans="1:2">
      <c r="A3293">
        <v>3292</v>
      </c>
      <c r="B3293" s="119">
        <v>0.64807194025301018</v>
      </c>
    </row>
    <row r="3294" spans="1:2">
      <c r="A3294">
        <v>3293</v>
      </c>
      <c r="B3294" s="119">
        <v>0.98140527358634344</v>
      </c>
    </row>
    <row r="3295" spans="1:2">
      <c r="A3295">
        <v>3294</v>
      </c>
      <c r="B3295" s="119">
        <v>3.0787989635726258E-2</v>
      </c>
    </row>
    <row r="3296" spans="1:2">
      <c r="A3296">
        <v>3295</v>
      </c>
      <c r="B3296" s="119">
        <v>0.36412132296905958</v>
      </c>
    </row>
    <row r="3297" spans="1:2">
      <c r="A3297">
        <v>3296</v>
      </c>
      <c r="B3297" s="119">
        <v>0.69745465630239289</v>
      </c>
    </row>
    <row r="3298" spans="1:2">
      <c r="A3298">
        <v>3297</v>
      </c>
      <c r="B3298" s="119">
        <v>0.14189910074683737</v>
      </c>
    </row>
    <row r="3299" spans="1:2">
      <c r="A3299">
        <v>3298</v>
      </c>
      <c r="B3299" s="119">
        <v>0.47523243408017068</v>
      </c>
    </row>
    <row r="3300" spans="1:2">
      <c r="A3300">
        <v>3299</v>
      </c>
      <c r="B3300" s="119">
        <v>0.80856576741350394</v>
      </c>
    </row>
    <row r="3301" spans="1:2">
      <c r="A3301">
        <v>3300</v>
      </c>
      <c r="B3301" s="119">
        <v>0.25301021185794847</v>
      </c>
    </row>
    <row r="3302" spans="1:2">
      <c r="A3302">
        <v>3301</v>
      </c>
      <c r="B3302" s="119">
        <v>0.58634354519128185</v>
      </c>
    </row>
    <row r="3303" spans="1:2">
      <c r="A3303">
        <v>3302</v>
      </c>
      <c r="B3303" s="119">
        <v>0.9196768785246151</v>
      </c>
    </row>
    <row r="3304" spans="1:2">
      <c r="A3304">
        <v>3303</v>
      </c>
      <c r="B3304" s="119">
        <v>6.7825026672763286E-2</v>
      </c>
    </row>
    <row r="3305" spans="1:2">
      <c r="A3305">
        <v>3304</v>
      </c>
      <c r="B3305" s="119">
        <v>0.40115836000609661</v>
      </c>
    </row>
    <row r="3306" spans="1:2">
      <c r="A3306">
        <v>3305</v>
      </c>
      <c r="B3306" s="119">
        <v>0.73449169333942999</v>
      </c>
    </row>
    <row r="3307" spans="1:2">
      <c r="A3307">
        <v>3306</v>
      </c>
      <c r="B3307" s="119">
        <v>0.1789361377838744</v>
      </c>
    </row>
    <row r="3308" spans="1:2">
      <c r="A3308">
        <v>3307</v>
      </c>
      <c r="B3308" s="119">
        <v>0.51226947111720778</v>
      </c>
    </row>
    <row r="3309" spans="1:2">
      <c r="A3309">
        <v>3308</v>
      </c>
      <c r="B3309" s="119">
        <v>0.84560280445054092</v>
      </c>
    </row>
    <row r="3310" spans="1:2">
      <c r="A3310">
        <v>3309</v>
      </c>
      <c r="B3310" s="119">
        <v>0.29004724889498551</v>
      </c>
    </row>
    <row r="3311" spans="1:2">
      <c r="A3311">
        <v>3310</v>
      </c>
      <c r="B3311" s="119">
        <v>0.62338058222831882</v>
      </c>
    </row>
    <row r="3312" spans="1:2">
      <c r="A3312">
        <v>3311</v>
      </c>
      <c r="B3312" s="119">
        <v>0.95671391556165208</v>
      </c>
    </row>
    <row r="3313" spans="1:2">
      <c r="A3313">
        <v>3312</v>
      </c>
      <c r="B3313" s="119">
        <v>0.10486206370980032</v>
      </c>
    </row>
    <row r="3314" spans="1:2">
      <c r="A3314">
        <v>3313</v>
      </c>
      <c r="B3314" s="119">
        <v>0.43819539704313365</v>
      </c>
    </row>
    <row r="3315" spans="1:2">
      <c r="A3315">
        <v>3314</v>
      </c>
      <c r="B3315" s="119">
        <v>0.77152873037646696</v>
      </c>
    </row>
    <row r="3316" spans="1:2">
      <c r="A3316">
        <v>3315</v>
      </c>
      <c r="B3316" s="119">
        <v>0.21597317482091144</v>
      </c>
    </row>
    <row r="3317" spans="1:2">
      <c r="A3317">
        <v>3316</v>
      </c>
      <c r="B3317" s="119">
        <v>0.54930650815424475</v>
      </c>
    </row>
    <row r="3318" spans="1:2">
      <c r="A3318">
        <v>3317</v>
      </c>
      <c r="B3318" s="119">
        <v>0.88263984148757801</v>
      </c>
    </row>
    <row r="3319" spans="1:2">
      <c r="A3319">
        <v>3318</v>
      </c>
      <c r="B3319" s="119">
        <v>0.32708428593202254</v>
      </c>
    </row>
    <row r="3320" spans="1:2">
      <c r="A3320">
        <v>3319</v>
      </c>
      <c r="B3320" s="119">
        <v>0.66041761926535592</v>
      </c>
    </row>
    <row r="3321" spans="1:2">
      <c r="A3321">
        <v>3320</v>
      </c>
      <c r="B3321" s="119">
        <v>0.99375095259868917</v>
      </c>
    </row>
    <row r="3322" spans="1:2">
      <c r="A3322">
        <v>3321</v>
      </c>
      <c r="B3322" s="119">
        <v>1.0211857948483463E-2</v>
      </c>
    </row>
    <row r="3323" spans="1:2">
      <c r="A3323">
        <v>3322</v>
      </c>
      <c r="B3323" s="119">
        <v>0.34354519128181682</v>
      </c>
    </row>
    <row r="3324" spans="1:2">
      <c r="A3324">
        <v>3323</v>
      </c>
      <c r="B3324" s="119">
        <v>0.67687852461515008</v>
      </c>
    </row>
    <row r="3325" spans="1:2">
      <c r="A3325">
        <v>3324</v>
      </c>
      <c r="B3325" s="119">
        <v>0.12132296905959457</v>
      </c>
    </row>
    <row r="3326" spans="1:2">
      <c r="A3326">
        <v>3325</v>
      </c>
      <c r="B3326" s="119">
        <v>0.45465630239292792</v>
      </c>
    </row>
    <row r="3327" spans="1:2">
      <c r="A3327">
        <v>3326</v>
      </c>
      <c r="B3327" s="119">
        <v>0.78798963572626113</v>
      </c>
    </row>
    <row r="3328" spans="1:2">
      <c r="A3328">
        <v>3327</v>
      </c>
      <c r="B3328" s="119">
        <v>0.23243408017070566</v>
      </c>
    </row>
    <row r="3329" spans="1:2">
      <c r="A3329">
        <v>3328</v>
      </c>
      <c r="B3329" s="119">
        <v>0.56576741350403903</v>
      </c>
    </row>
    <row r="3330" spans="1:2">
      <c r="A3330">
        <v>3329</v>
      </c>
      <c r="B3330" s="119">
        <v>0.89910074683737229</v>
      </c>
    </row>
    <row r="3331" spans="1:2">
      <c r="A3331">
        <v>3330</v>
      </c>
      <c r="B3331" s="119">
        <v>4.7248894985520505E-2</v>
      </c>
    </row>
    <row r="3332" spans="1:2">
      <c r="A3332">
        <v>3331</v>
      </c>
      <c r="B3332" s="119">
        <v>0.38058222831885385</v>
      </c>
    </row>
    <row r="3333" spans="1:2">
      <c r="A3333">
        <v>3332</v>
      </c>
      <c r="B3333" s="119">
        <v>0.71391556165218717</v>
      </c>
    </row>
    <row r="3334" spans="1:2">
      <c r="A3334">
        <v>3333</v>
      </c>
      <c r="B3334" s="119">
        <v>0.15836000609663159</v>
      </c>
    </row>
    <row r="3335" spans="1:2">
      <c r="A3335">
        <v>3334</v>
      </c>
      <c r="B3335" s="119">
        <v>0.49169333942996496</v>
      </c>
    </row>
    <row r="3336" spans="1:2">
      <c r="A3336">
        <v>3335</v>
      </c>
      <c r="B3336" s="119">
        <v>0.82502667276329811</v>
      </c>
    </row>
    <row r="3337" spans="1:2">
      <c r="A3337">
        <v>3336</v>
      </c>
      <c r="B3337" s="119">
        <v>0.26947111720774275</v>
      </c>
    </row>
    <row r="3338" spans="1:2">
      <c r="A3338">
        <v>3337</v>
      </c>
      <c r="B3338" s="119">
        <v>0.60280445054107601</v>
      </c>
    </row>
    <row r="3339" spans="1:2">
      <c r="A3339">
        <v>3338</v>
      </c>
      <c r="B3339" s="119">
        <v>0.93613778387440927</v>
      </c>
    </row>
    <row r="3340" spans="1:2">
      <c r="A3340">
        <v>3339</v>
      </c>
      <c r="B3340" s="119">
        <v>8.4285932022557533E-2</v>
      </c>
    </row>
    <row r="3341" spans="1:2">
      <c r="A3341">
        <v>3340</v>
      </c>
      <c r="B3341" s="119">
        <v>0.41761926535589089</v>
      </c>
    </row>
    <row r="3342" spans="1:2">
      <c r="A3342">
        <v>3341</v>
      </c>
      <c r="B3342" s="119">
        <v>0.75095259868922415</v>
      </c>
    </row>
    <row r="3343" spans="1:2">
      <c r="A3343">
        <v>3342</v>
      </c>
      <c r="B3343" s="119">
        <v>0.19539704313366862</v>
      </c>
    </row>
    <row r="3344" spans="1:2">
      <c r="A3344">
        <v>3343</v>
      </c>
      <c r="B3344" s="119">
        <v>0.52873037646700194</v>
      </c>
    </row>
    <row r="3345" spans="1:2">
      <c r="A3345">
        <v>3344</v>
      </c>
      <c r="B3345" s="119">
        <v>0.8620637098003352</v>
      </c>
    </row>
    <row r="3346" spans="1:2">
      <c r="A3346">
        <v>3345</v>
      </c>
      <c r="B3346" s="119">
        <v>0.30650815424477978</v>
      </c>
    </row>
    <row r="3347" spans="1:2">
      <c r="A3347">
        <v>3346</v>
      </c>
      <c r="B3347" s="119">
        <v>0.6398414875781131</v>
      </c>
    </row>
    <row r="3348" spans="1:2">
      <c r="A3348">
        <v>3347</v>
      </c>
      <c r="B3348" s="119">
        <v>0.97317482091144636</v>
      </c>
    </row>
    <row r="3349" spans="1:2">
      <c r="A3349">
        <v>3348</v>
      </c>
      <c r="B3349" s="119">
        <v>2.2557536960829138E-2</v>
      </c>
    </row>
    <row r="3350" spans="1:2">
      <c r="A3350">
        <v>3349</v>
      </c>
      <c r="B3350" s="119">
        <v>0.3558908702941625</v>
      </c>
    </row>
    <row r="3351" spans="1:2">
      <c r="A3351">
        <v>3350</v>
      </c>
      <c r="B3351" s="119">
        <v>0.6892242036274957</v>
      </c>
    </row>
    <row r="3352" spans="1:2">
      <c r="A3352">
        <v>3351</v>
      </c>
      <c r="B3352" s="119">
        <v>0.13366864807194023</v>
      </c>
    </row>
    <row r="3353" spans="1:2">
      <c r="A3353">
        <v>3352</v>
      </c>
      <c r="B3353" s="119">
        <v>0.4670019814052736</v>
      </c>
    </row>
    <row r="3354" spans="1:2">
      <c r="A3354">
        <v>3353</v>
      </c>
      <c r="B3354" s="119">
        <v>0.80033531473860686</v>
      </c>
    </row>
    <row r="3355" spans="1:2">
      <c r="A3355">
        <v>3354</v>
      </c>
      <c r="B3355" s="119">
        <v>0.24477975918305134</v>
      </c>
    </row>
    <row r="3356" spans="1:2">
      <c r="A3356">
        <v>3355</v>
      </c>
      <c r="B3356" s="119">
        <v>0.57811309251638476</v>
      </c>
    </row>
    <row r="3357" spans="1:2">
      <c r="A3357">
        <v>3356</v>
      </c>
      <c r="B3357" s="119">
        <v>0.91144642584971802</v>
      </c>
    </row>
    <row r="3358" spans="1:2">
      <c r="A3358">
        <v>3357</v>
      </c>
      <c r="B3358" s="119">
        <v>5.9594573997866183E-2</v>
      </c>
    </row>
    <row r="3359" spans="1:2">
      <c r="A3359">
        <v>3358</v>
      </c>
      <c r="B3359" s="119">
        <v>0.39292790733119953</v>
      </c>
    </row>
    <row r="3360" spans="1:2">
      <c r="A3360">
        <v>3359</v>
      </c>
      <c r="B3360" s="119">
        <v>0.7262612406645329</v>
      </c>
    </row>
    <row r="3361" spans="1:2">
      <c r="A3361">
        <v>3360</v>
      </c>
      <c r="B3361" s="119">
        <v>0.17070568510897727</v>
      </c>
    </row>
    <row r="3362" spans="1:2">
      <c r="A3362">
        <v>3361</v>
      </c>
      <c r="B3362" s="119">
        <v>0.50403901844231058</v>
      </c>
    </row>
    <row r="3363" spans="1:2">
      <c r="A3363">
        <v>3362</v>
      </c>
      <c r="B3363" s="119">
        <v>0.83737235177564384</v>
      </c>
    </row>
    <row r="3364" spans="1:2">
      <c r="A3364">
        <v>3363</v>
      </c>
      <c r="B3364" s="119">
        <v>0.28181679622008843</v>
      </c>
    </row>
    <row r="3365" spans="1:2">
      <c r="A3365">
        <v>3364</v>
      </c>
      <c r="B3365" s="119">
        <v>0.61515012955342174</v>
      </c>
    </row>
    <row r="3366" spans="1:2">
      <c r="A3366">
        <v>3365</v>
      </c>
      <c r="B3366" s="119">
        <v>0.948483462886755</v>
      </c>
    </row>
    <row r="3367" spans="1:2">
      <c r="A3367">
        <v>3366</v>
      </c>
      <c r="B3367" s="119">
        <v>9.6631611034903211E-2</v>
      </c>
    </row>
    <row r="3368" spans="1:2">
      <c r="A3368">
        <v>3367</v>
      </c>
      <c r="B3368" s="119">
        <v>0.42996494436823657</v>
      </c>
    </row>
    <row r="3369" spans="1:2">
      <c r="A3369">
        <v>3368</v>
      </c>
      <c r="B3369" s="119">
        <v>0.76329827770156988</v>
      </c>
    </row>
    <row r="3370" spans="1:2">
      <c r="A3370">
        <v>3369</v>
      </c>
      <c r="B3370" s="119">
        <v>0.2077427221460143</v>
      </c>
    </row>
    <row r="3371" spans="1:2">
      <c r="A3371">
        <v>3370</v>
      </c>
      <c r="B3371" s="119">
        <v>0.54107605547934756</v>
      </c>
    </row>
    <row r="3372" spans="1:2">
      <c r="A3372">
        <v>3371</v>
      </c>
      <c r="B3372" s="119">
        <v>0.87440938881268082</v>
      </c>
    </row>
    <row r="3373" spans="1:2">
      <c r="A3373">
        <v>3372</v>
      </c>
      <c r="B3373" s="119">
        <v>0.31885383325712546</v>
      </c>
    </row>
    <row r="3374" spans="1:2">
      <c r="A3374">
        <v>3373</v>
      </c>
      <c r="B3374" s="119">
        <v>0.65218716659045872</v>
      </c>
    </row>
    <row r="3375" spans="1:2">
      <c r="A3375">
        <v>3374</v>
      </c>
      <c r="B3375" s="119">
        <v>0.98552049992379198</v>
      </c>
    </row>
    <row r="3376" spans="1:2">
      <c r="A3376">
        <v>3375</v>
      </c>
      <c r="B3376" s="119">
        <v>3.4903215973174827E-2</v>
      </c>
    </row>
    <row r="3377" spans="1:2">
      <c r="A3377">
        <v>3376</v>
      </c>
      <c r="B3377" s="119">
        <v>0.36823654930650818</v>
      </c>
    </row>
    <row r="3378" spans="1:2">
      <c r="A3378">
        <v>3377</v>
      </c>
      <c r="B3378" s="119">
        <v>0.70156988263984144</v>
      </c>
    </row>
    <row r="3379" spans="1:2">
      <c r="A3379">
        <v>3378</v>
      </c>
      <c r="B3379" s="119">
        <v>0.14601432708428591</v>
      </c>
    </row>
    <row r="3380" spans="1:2">
      <c r="A3380">
        <v>3379</v>
      </c>
      <c r="B3380" s="119">
        <v>0.47934766041761928</v>
      </c>
    </row>
    <row r="3381" spans="1:2">
      <c r="A3381">
        <v>3380</v>
      </c>
      <c r="B3381" s="119">
        <v>0.81268099375095249</v>
      </c>
    </row>
    <row r="3382" spans="1:2">
      <c r="A3382">
        <v>3381</v>
      </c>
      <c r="B3382" s="119">
        <v>0.25712543819539707</v>
      </c>
    </row>
    <row r="3383" spans="1:2">
      <c r="A3383">
        <v>3382</v>
      </c>
      <c r="B3383" s="119">
        <v>0.59045877152873039</v>
      </c>
    </row>
    <row r="3384" spans="1:2">
      <c r="A3384">
        <v>3383</v>
      </c>
      <c r="B3384" s="119">
        <v>0.92379210486206365</v>
      </c>
    </row>
    <row r="3385" spans="1:2">
      <c r="A3385">
        <v>3384</v>
      </c>
      <c r="B3385" s="119">
        <v>7.1940253010211855E-2</v>
      </c>
    </row>
    <row r="3386" spans="1:2">
      <c r="A3386">
        <v>3385</v>
      </c>
      <c r="B3386" s="119">
        <v>0.40527358634354521</v>
      </c>
    </row>
    <row r="3387" spans="1:2">
      <c r="A3387">
        <v>3386</v>
      </c>
      <c r="B3387" s="119">
        <v>0.73860691967687853</v>
      </c>
    </row>
    <row r="3388" spans="1:2">
      <c r="A3388">
        <v>3387</v>
      </c>
      <c r="B3388" s="119">
        <v>0.18305136412132295</v>
      </c>
    </row>
    <row r="3389" spans="1:2">
      <c r="A3389">
        <v>3388</v>
      </c>
      <c r="B3389" s="119">
        <v>0.51638469745465632</v>
      </c>
    </row>
    <row r="3390" spans="1:2">
      <c r="A3390">
        <v>3389</v>
      </c>
      <c r="B3390" s="119">
        <v>0.84971803078798946</v>
      </c>
    </row>
    <row r="3391" spans="1:2">
      <c r="A3391">
        <v>3390</v>
      </c>
      <c r="B3391" s="119">
        <v>0.29416247523243411</v>
      </c>
    </row>
    <row r="3392" spans="1:2">
      <c r="A3392">
        <v>3391</v>
      </c>
      <c r="B3392" s="119">
        <v>0.62749580856576737</v>
      </c>
    </row>
    <row r="3393" spans="1:2">
      <c r="A3393">
        <v>3392</v>
      </c>
      <c r="B3393" s="119">
        <v>0.96082914189910062</v>
      </c>
    </row>
    <row r="3394" spans="1:2">
      <c r="A3394">
        <v>3393</v>
      </c>
      <c r="B3394" s="119">
        <v>0.10897729004724889</v>
      </c>
    </row>
    <row r="3395" spans="1:2">
      <c r="A3395">
        <v>3394</v>
      </c>
      <c r="B3395" s="119">
        <v>0.44231062338058225</v>
      </c>
    </row>
    <row r="3396" spans="1:2">
      <c r="A3396">
        <v>3395</v>
      </c>
      <c r="B3396" s="119">
        <v>0.77564395671391551</v>
      </c>
    </row>
    <row r="3397" spans="1:2">
      <c r="A3397">
        <v>3396</v>
      </c>
      <c r="B3397" s="119">
        <v>0.22008840115835998</v>
      </c>
    </row>
    <row r="3398" spans="1:2">
      <c r="A3398">
        <v>3397</v>
      </c>
      <c r="B3398" s="119">
        <v>0.5534217344916933</v>
      </c>
    </row>
    <row r="3399" spans="1:2">
      <c r="A3399">
        <v>3398</v>
      </c>
      <c r="B3399" s="119">
        <v>0.88675506782502656</v>
      </c>
    </row>
    <row r="3400" spans="1:2">
      <c r="A3400">
        <v>3399</v>
      </c>
      <c r="B3400" s="119">
        <v>0.33119951226947114</v>
      </c>
    </row>
    <row r="3401" spans="1:2">
      <c r="A3401">
        <v>3400</v>
      </c>
      <c r="B3401" s="119">
        <v>0.66453284560280446</v>
      </c>
    </row>
    <row r="3402" spans="1:2">
      <c r="A3402">
        <v>3401</v>
      </c>
      <c r="B3402" s="119">
        <v>0.99786617893613772</v>
      </c>
    </row>
    <row r="3403" spans="1:2">
      <c r="A3403">
        <v>3402</v>
      </c>
      <c r="B3403" s="119">
        <v>3.3531473860691965E-3</v>
      </c>
    </row>
    <row r="3404" spans="1:2">
      <c r="A3404">
        <v>3403</v>
      </c>
      <c r="B3404" s="119">
        <v>0.33668648071940255</v>
      </c>
    </row>
    <row r="3405" spans="1:2">
      <c r="A3405">
        <v>3404</v>
      </c>
      <c r="B3405" s="119">
        <v>0.67001981405273592</v>
      </c>
    </row>
    <row r="3406" spans="1:2">
      <c r="A3406">
        <v>3405</v>
      </c>
      <c r="B3406" s="119">
        <v>0.1144642584971803</v>
      </c>
    </row>
    <row r="3407" spans="1:2">
      <c r="A3407">
        <v>3406</v>
      </c>
      <c r="B3407" s="119">
        <v>0.44779759183051365</v>
      </c>
    </row>
    <row r="3408" spans="1:2">
      <c r="A3408">
        <v>3407</v>
      </c>
      <c r="B3408" s="119">
        <v>0.78113092516384697</v>
      </c>
    </row>
    <row r="3409" spans="1:2">
      <c r="A3409">
        <v>3408</v>
      </c>
      <c r="B3409" s="119">
        <v>0.22557536960829139</v>
      </c>
    </row>
    <row r="3410" spans="1:2">
      <c r="A3410">
        <v>3409</v>
      </c>
      <c r="B3410" s="119">
        <v>0.55890870294162487</v>
      </c>
    </row>
    <row r="3411" spans="1:2">
      <c r="A3411">
        <v>3410</v>
      </c>
      <c r="B3411" s="119">
        <v>0.89224203627495813</v>
      </c>
    </row>
    <row r="3412" spans="1:2">
      <c r="A3412">
        <v>3411</v>
      </c>
      <c r="B3412" s="119">
        <v>4.0390184423106233E-2</v>
      </c>
    </row>
    <row r="3413" spans="1:2">
      <c r="A3413">
        <v>3412</v>
      </c>
      <c r="B3413" s="119">
        <v>0.37372351775643958</v>
      </c>
    </row>
    <row r="3414" spans="1:2">
      <c r="A3414">
        <v>3413</v>
      </c>
      <c r="B3414" s="119">
        <v>0.70705685108977301</v>
      </c>
    </row>
    <row r="3415" spans="1:2">
      <c r="A3415">
        <v>3414</v>
      </c>
      <c r="B3415" s="119">
        <v>0.15150129553421732</v>
      </c>
    </row>
    <row r="3416" spans="1:2">
      <c r="A3416">
        <v>3415</v>
      </c>
      <c r="B3416" s="119">
        <v>0.48483462886755069</v>
      </c>
    </row>
    <row r="3417" spans="1:2">
      <c r="A3417">
        <v>3416</v>
      </c>
      <c r="B3417" s="119">
        <v>0.81816796220088395</v>
      </c>
    </row>
    <row r="3418" spans="1:2">
      <c r="A3418">
        <v>3417</v>
      </c>
      <c r="B3418" s="119">
        <v>0.26261240664532848</v>
      </c>
    </row>
    <row r="3419" spans="1:2">
      <c r="A3419">
        <v>3418</v>
      </c>
      <c r="B3419" s="119">
        <v>0.59594573997866185</v>
      </c>
    </row>
    <row r="3420" spans="1:2">
      <c r="A3420">
        <v>3419</v>
      </c>
      <c r="B3420" s="119">
        <v>0.92927907331199511</v>
      </c>
    </row>
    <row r="3421" spans="1:2">
      <c r="A3421">
        <v>3420</v>
      </c>
      <c r="B3421" s="119">
        <v>7.7427221460143261E-2</v>
      </c>
    </row>
    <row r="3422" spans="1:2">
      <c r="A3422">
        <v>3421</v>
      </c>
      <c r="B3422" s="119">
        <v>0.41076055479347662</v>
      </c>
    </row>
    <row r="3423" spans="1:2">
      <c r="A3423">
        <v>3422</v>
      </c>
      <c r="B3423" s="119">
        <v>0.74409388812680999</v>
      </c>
    </row>
    <row r="3424" spans="1:2">
      <c r="A3424">
        <v>3423</v>
      </c>
      <c r="B3424" s="119">
        <v>0.18853833257125435</v>
      </c>
    </row>
    <row r="3425" spans="1:2">
      <c r="A3425">
        <v>3424</v>
      </c>
      <c r="B3425" s="119">
        <v>0.52187166590458778</v>
      </c>
    </row>
    <row r="3426" spans="1:2">
      <c r="A3426">
        <v>3425</v>
      </c>
      <c r="B3426" s="119">
        <v>0.85520499923792104</v>
      </c>
    </row>
    <row r="3427" spans="1:2">
      <c r="A3427">
        <v>3426</v>
      </c>
      <c r="B3427" s="119">
        <v>0.29964944368236551</v>
      </c>
    </row>
    <row r="3428" spans="1:2">
      <c r="A3428">
        <v>3427</v>
      </c>
      <c r="B3428" s="119">
        <v>0.63298277701569894</v>
      </c>
    </row>
    <row r="3429" spans="1:2">
      <c r="A3429">
        <v>3428</v>
      </c>
      <c r="B3429" s="119">
        <v>0.9663161103490322</v>
      </c>
    </row>
    <row r="3430" spans="1:2">
      <c r="A3430">
        <v>3429</v>
      </c>
      <c r="B3430" s="119">
        <v>1.5698826398414877E-2</v>
      </c>
    </row>
    <row r="3431" spans="1:2">
      <c r="A3431">
        <v>3430</v>
      </c>
      <c r="B3431" s="119">
        <v>0.34903215973174823</v>
      </c>
    </row>
    <row r="3432" spans="1:2">
      <c r="A3432">
        <v>3431</v>
      </c>
      <c r="B3432" s="119">
        <v>0.68236549306508154</v>
      </c>
    </row>
    <row r="3433" spans="1:2">
      <c r="A3433">
        <v>3432</v>
      </c>
      <c r="B3433" s="119">
        <v>0.12680993750952596</v>
      </c>
    </row>
    <row r="3434" spans="1:2">
      <c r="A3434">
        <v>3433</v>
      </c>
      <c r="B3434" s="119">
        <v>0.46014327084285933</v>
      </c>
    </row>
    <row r="3435" spans="1:2">
      <c r="A3435">
        <v>3434</v>
      </c>
      <c r="B3435" s="119">
        <v>0.7934766041761927</v>
      </c>
    </row>
    <row r="3436" spans="1:2">
      <c r="A3436">
        <v>3435</v>
      </c>
      <c r="B3436" s="119">
        <v>0.23792104862063707</v>
      </c>
    </row>
    <row r="3437" spans="1:2">
      <c r="A3437">
        <v>3436</v>
      </c>
      <c r="B3437" s="119">
        <v>0.5712543819539706</v>
      </c>
    </row>
    <row r="3438" spans="1:2">
      <c r="A3438">
        <v>3437</v>
      </c>
      <c r="B3438" s="119">
        <v>0.90458771528730386</v>
      </c>
    </row>
    <row r="3439" spans="1:2">
      <c r="A3439">
        <v>3438</v>
      </c>
      <c r="B3439" s="119">
        <v>5.2735863435451912E-2</v>
      </c>
    </row>
    <row r="3440" spans="1:2">
      <c r="A3440">
        <v>3439</v>
      </c>
      <c r="B3440" s="119">
        <v>0.38606919676878526</v>
      </c>
    </row>
    <row r="3441" spans="1:2">
      <c r="A3441">
        <v>3440</v>
      </c>
      <c r="B3441" s="119">
        <v>0.71940253010211874</v>
      </c>
    </row>
    <row r="3442" spans="1:2">
      <c r="A3442">
        <v>3441</v>
      </c>
      <c r="B3442" s="119">
        <v>0.163846974546563</v>
      </c>
    </row>
    <row r="3443" spans="1:2">
      <c r="A3443">
        <v>3442</v>
      </c>
      <c r="B3443" s="119">
        <v>0.49718030787989637</v>
      </c>
    </row>
    <row r="3444" spans="1:2">
      <c r="A3444">
        <v>3443</v>
      </c>
      <c r="B3444" s="119">
        <v>0.83051364121322968</v>
      </c>
    </row>
    <row r="3445" spans="1:2">
      <c r="A3445">
        <v>3444</v>
      </c>
      <c r="B3445" s="119">
        <v>0.27495808565767416</v>
      </c>
    </row>
    <row r="3446" spans="1:2">
      <c r="A3446">
        <v>3445</v>
      </c>
      <c r="B3446" s="119">
        <v>0.60829141899100758</v>
      </c>
    </row>
    <row r="3447" spans="1:2">
      <c r="A3447">
        <v>3446</v>
      </c>
      <c r="B3447" s="119">
        <v>0.94162475232434084</v>
      </c>
    </row>
    <row r="3448" spans="1:2">
      <c r="A3448">
        <v>3447</v>
      </c>
      <c r="B3448" s="119">
        <v>8.977290047248894E-2</v>
      </c>
    </row>
    <row r="3449" spans="1:2">
      <c r="A3449">
        <v>3448</v>
      </c>
      <c r="B3449" s="119">
        <v>0.4231062338058223</v>
      </c>
    </row>
    <row r="3450" spans="1:2">
      <c r="A3450">
        <v>3449</v>
      </c>
      <c r="B3450" s="119">
        <v>0.75643956713915572</v>
      </c>
    </row>
    <row r="3451" spans="1:2">
      <c r="A3451">
        <v>3450</v>
      </c>
      <c r="B3451" s="119">
        <v>0.20088401158360003</v>
      </c>
    </row>
    <row r="3452" spans="1:2">
      <c r="A3452">
        <v>3451</v>
      </c>
      <c r="B3452" s="119">
        <v>0.5342173449169334</v>
      </c>
    </row>
    <row r="3453" spans="1:2">
      <c r="A3453">
        <v>3452</v>
      </c>
      <c r="B3453" s="119">
        <v>0.86755067825026666</v>
      </c>
    </row>
    <row r="3454" spans="1:2">
      <c r="A3454">
        <v>3453</v>
      </c>
      <c r="B3454" s="119">
        <v>0.31199512269471119</v>
      </c>
    </row>
    <row r="3455" spans="1:2">
      <c r="A3455">
        <v>3454</v>
      </c>
      <c r="B3455" s="119">
        <v>0.64532845602804456</v>
      </c>
    </row>
    <row r="3456" spans="1:2">
      <c r="A3456">
        <v>3455</v>
      </c>
      <c r="B3456" s="119">
        <v>0.97866178936137782</v>
      </c>
    </row>
    <row r="3457" spans="1:2">
      <c r="A3457">
        <v>3456</v>
      </c>
      <c r="B3457" s="119">
        <v>2.8044505410760551E-2</v>
      </c>
    </row>
    <row r="3458" spans="1:2">
      <c r="A3458">
        <v>3457</v>
      </c>
      <c r="B3458" s="119">
        <v>0.3613778387440939</v>
      </c>
    </row>
    <row r="3459" spans="1:2">
      <c r="A3459">
        <v>3458</v>
      </c>
      <c r="B3459" s="119">
        <v>0.69471117207742727</v>
      </c>
    </row>
    <row r="3460" spans="1:2">
      <c r="A3460">
        <v>3459</v>
      </c>
      <c r="B3460" s="119">
        <v>0.13915561652187164</v>
      </c>
    </row>
    <row r="3461" spans="1:2">
      <c r="A3461">
        <v>3460</v>
      </c>
      <c r="B3461" s="119">
        <v>0.47248894985520501</v>
      </c>
    </row>
    <row r="3462" spans="1:2">
      <c r="A3462">
        <v>3461</v>
      </c>
      <c r="B3462" s="119">
        <v>0.80582228318853832</v>
      </c>
    </row>
    <row r="3463" spans="1:2">
      <c r="A3463">
        <v>3462</v>
      </c>
      <c r="B3463" s="119">
        <v>0.25026672763298274</v>
      </c>
    </row>
    <row r="3464" spans="1:2">
      <c r="A3464">
        <v>3463</v>
      </c>
      <c r="B3464" s="119">
        <v>0.58360006096631623</v>
      </c>
    </row>
    <row r="3465" spans="1:2">
      <c r="A3465">
        <v>3464</v>
      </c>
      <c r="B3465" s="119">
        <v>0.91693339429964948</v>
      </c>
    </row>
    <row r="3466" spans="1:2">
      <c r="A3466">
        <v>3465</v>
      </c>
      <c r="B3466" s="119">
        <v>6.5081542447797583E-2</v>
      </c>
    </row>
    <row r="3467" spans="1:2">
      <c r="A3467">
        <v>3466</v>
      </c>
      <c r="B3467" s="119">
        <v>0.39841487578113094</v>
      </c>
    </row>
    <row r="3468" spans="1:2">
      <c r="A3468">
        <v>3467</v>
      </c>
      <c r="B3468" s="119">
        <v>0.73174820911446437</v>
      </c>
    </row>
    <row r="3469" spans="1:2">
      <c r="A3469">
        <v>3468</v>
      </c>
      <c r="B3469" s="119">
        <v>0.17619265355890867</v>
      </c>
    </row>
    <row r="3470" spans="1:2">
      <c r="A3470">
        <v>3469</v>
      </c>
      <c r="B3470" s="119">
        <v>0.50952598689224216</v>
      </c>
    </row>
    <row r="3471" spans="1:2">
      <c r="A3471">
        <v>3470</v>
      </c>
      <c r="B3471" s="119">
        <v>0.8428593202255753</v>
      </c>
    </row>
    <row r="3472" spans="1:2">
      <c r="A3472">
        <v>3471</v>
      </c>
      <c r="B3472" s="119">
        <v>0.28730376467001983</v>
      </c>
    </row>
    <row r="3473" spans="1:2">
      <c r="A3473">
        <v>3472</v>
      </c>
      <c r="B3473" s="119">
        <v>0.6206370980033532</v>
      </c>
    </row>
    <row r="3474" spans="1:2">
      <c r="A3474">
        <v>3473</v>
      </c>
      <c r="B3474" s="119">
        <v>0.95397043133668646</v>
      </c>
    </row>
    <row r="3475" spans="1:2">
      <c r="A3475">
        <v>3474</v>
      </c>
      <c r="B3475" s="119">
        <v>0.10211857948483462</v>
      </c>
    </row>
    <row r="3476" spans="1:2">
      <c r="A3476">
        <v>3475</v>
      </c>
      <c r="B3476" s="119">
        <v>0.43545191281816797</v>
      </c>
    </row>
    <row r="3477" spans="1:2">
      <c r="A3477">
        <v>3476</v>
      </c>
      <c r="B3477" s="119">
        <v>0.76878524615150134</v>
      </c>
    </row>
    <row r="3478" spans="1:2">
      <c r="A3478">
        <v>3477</v>
      </c>
      <c r="B3478" s="119">
        <v>0.21322969059594571</v>
      </c>
    </row>
    <row r="3479" spans="1:2">
      <c r="A3479">
        <v>3478</v>
      </c>
      <c r="B3479" s="119">
        <v>0.54656302392927913</v>
      </c>
    </row>
    <row r="3480" spans="1:2">
      <c r="A3480">
        <v>3479</v>
      </c>
      <c r="B3480" s="119">
        <v>0.87989635726261239</v>
      </c>
    </row>
    <row r="3481" spans="1:2">
      <c r="A3481">
        <v>3480</v>
      </c>
      <c r="B3481" s="119">
        <v>0.32434080170705687</v>
      </c>
    </row>
    <row r="3482" spans="1:2">
      <c r="A3482">
        <v>3481</v>
      </c>
      <c r="B3482" s="119">
        <v>0.6576741350403903</v>
      </c>
    </row>
    <row r="3483" spans="1:2">
      <c r="A3483">
        <v>3482</v>
      </c>
      <c r="B3483" s="119">
        <v>0.99100746837372355</v>
      </c>
    </row>
    <row r="3484" spans="1:2">
      <c r="A3484">
        <v>3483</v>
      </c>
      <c r="B3484" s="119">
        <v>7.4683737235177574E-3</v>
      </c>
    </row>
    <row r="3485" spans="1:2">
      <c r="A3485">
        <v>3484</v>
      </c>
      <c r="B3485" s="119">
        <v>0.34080170705685109</v>
      </c>
    </row>
    <row r="3486" spans="1:2">
      <c r="A3486">
        <v>3485</v>
      </c>
      <c r="B3486" s="119">
        <v>0.67413504039018446</v>
      </c>
    </row>
    <row r="3487" spans="1:2">
      <c r="A3487">
        <v>3486</v>
      </c>
      <c r="B3487" s="119">
        <v>0.11857948483462885</v>
      </c>
    </row>
    <row r="3488" spans="1:2">
      <c r="A3488">
        <v>3487</v>
      </c>
      <c r="B3488" s="119">
        <v>0.45191281816796219</v>
      </c>
    </row>
    <row r="3489" spans="1:2">
      <c r="A3489">
        <v>3488</v>
      </c>
      <c r="B3489" s="119">
        <v>0.78524615150129551</v>
      </c>
    </row>
    <row r="3490" spans="1:2">
      <c r="A3490">
        <v>3489</v>
      </c>
      <c r="B3490" s="119">
        <v>0.22969059594573996</v>
      </c>
    </row>
    <row r="3491" spans="1:2">
      <c r="A3491">
        <v>3490</v>
      </c>
      <c r="B3491" s="119">
        <v>0.56302392927907341</v>
      </c>
    </row>
    <row r="3492" spans="1:2">
      <c r="A3492">
        <v>3491</v>
      </c>
      <c r="B3492" s="119">
        <v>0.89635726261240667</v>
      </c>
    </row>
    <row r="3493" spans="1:2">
      <c r="A3493">
        <v>3492</v>
      </c>
      <c r="B3493" s="119">
        <v>4.4505410760554795E-2</v>
      </c>
    </row>
    <row r="3494" spans="1:2">
      <c r="A3494">
        <v>3493</v>
      </c>
      <c r="B3494" s="119">
        <v>0.37783874409388812</v>
      </c>
    </row>
    <row r="3495" spans="1:2">
      <c r="A3495">
        <v>3494</v>
      </c>
      <c r="B3495" s="119">
        <v>0.71117207742722155</v>
      </c>
    </row>
    <row r="3496" spans="1:2">
      <c r="A3496">
        <v>3495</v>
      </c>
      <c r="B3496" s="119">
        <v>0.15561652187166589</v>
      </c>
    </row>
    <row r="3497" spans="1:2">
      <c r="A3497">
        <v>3496</v>
      </c>
      <c r="B3497" s="119">
        <v>0.48894985520499923</v>
      </c>
    </row>
    <row r="3498" spans="1:2">
      <c r="A3498">
        <v>3497</v>
      </c>
      <c r="B3498" s="119">
        <v>0.82228318853833249</v>
      </c>
    </row>
    <row r="3499" spans="1:2">
      <c r="A3499">
        <v>3498</v>
      </c>
      <c r="B3499" s="119">
        <v>0.26672763298277702</v>
      </c>
    </row>
    <row r="3500" spans="1:2">
      <c r="A3500">
        <v>3499</v>
      </c>
      <c r="B3500" s="119">
        <v>0.60006096631611039</v>
      </c>
    </row>
    <row r="3501" spans="1:2">
      <c r="A3501">
        <v>3500</v>
      </c>
      <c r="B3501" s="119">
        <v>0.93339429964944365</v>
      </c>
    </row>
    <row r="3502" spans="1:2">
      <c r="A3502">
        <v>3501</v>
      </c>
      <c r="B3502" s="119">
        <v>8.1542447797591816E-2</v>
      </c>
    </row>
    <row r="3503" spans="1:2">
      <c r="A3503">
        <v>3502</v>
      </c>
      <c r="B3503" s="119">
        <v>0.41487578113092516</v>
      </c>
    </row>
    <row r="3504" spans="1:2">
      <c r="A3504">
        <v>3503</v>
      </c>
      <c r="B3504" s="119">
        <v>0.74820911446425853</v>
      </c>
    </row>
    <row r="3505" spans="1:2">
      <c r="A3505">
        <v>3504</v>
      </c>
      <c r="B3505" s="119">
        <v>0.19265355890870292</v>
      </c>
    </row>
    <row r="3506" spans="1:2">
      <c r="A3506">
        <v>3505</v>
      </c>
      <c r="B3506" s="119">
        <v>0.52598689224203632</v>
      </c>
    </row>
    <row r="3507" spans="1:2">
      <c r="A3507">
        <v>3506</v>
      </c>
      <c r="B3507" s="119">
        <v>0.85932022557536958</v>
      </c>
    </row>
    <row r="3508" spans="1:2">
      <c r="A3508">
        <v>3507</v>
      </c>
      <c r="B3508" s="119">
        <v>0.30376467001981405</v>
      </c>
    </row>
    <row r="3509" spans="1:2">
      <c r="A3509">
        <v>3508</v>
      </c>
      <c r="B3509" s="119">
        <v>0.63709800335314748</v>
      </c>
    </row>
    <row r="3510" spans="1:2">
      <c r="A3510">
        <v>3509</v>
      </c>
      <c r="B3510" s="119">
        <v>0.97043133668648074</v>
      </c>
    </row>
    <row r="3511" spans="1:2">
      <c r="A3511">
        <v>3510</v>
      </c>
      <c r="B3511" s="119">
        <v>1.9814052735863435E-2</v>
      </c>
    </row>
    <row r="3512" spans="1:2">
      <c r="A3512">
        <v>3511</v>
      </c>
      <c r="B3512" s="119">
        <v>0.35314738606919677</v>
      </c>
    </row>
    <row r="3513" spans="1:2">
      <c r="A3513">
        <v>3512</v>
      </c>
      <c r="B3513" s="119">
        <v>0.68648071940253008</v>
      </c>
    </row>
    <row r="3514" spans="1:2">
      <c r="A3514">
        <v>3513</v>
      </c>
      <c r="B3514" s="119">
        <v>0.13092516384697453</v>
      </c>
    </row>
    <row r="3515" spans="1:2">
      <c r="A3515">
        <v>3514</v>
      </c>
      <c r="B3515" s="119">
        <v>0.46425849718030787</v>
      </c>
    </row>
    <row r="3516" spans="1:2">
      <c r="A3516">
        <v>3515</v>
      </c>
      <c r="B3516" s="119">
        <v>0.79759183051364124</v>
      </c>
    </row>
    <row r="3517" spans="1:2">
      <c r="A3517">
        <v>3516</v>
      </c>
      <c r="B3517" s="119">
        <v>0.24203627495808563</v>
      </c>
    </row>
    <row r="3518" spans="1:2">
      <c r="A3518">
        <v>3517</v>
      </c>
      <c r="B3518" s="119">
        <v>0.57536960829141914</v>
      </c>
    </row>
    <row r="3519" spans="1:2">
      <c r="A3519">
        <v>3518</v>
      </c>
      <c r="B3519" s="119">
        <v>0.9087029416247524</v>
      </c>
    </row>
    <row r="3520" spans="1:2">
      <c r="A3520">
        <v>3519</v>
      </c>
      <c r="B3520" s="119">
        <v>5.6851089772900473E-2</v>
      </c>
    </row>
    <row r="3521" spans="1:2">
      <c r="A3521">
        <v>3520</v>
      </c>
      <c r="B3521" s="119">
        <v>0.3901844231062338</v>
      </c>
    </row>
    <row r="3522" spans="1:2">
      <c r="A3522">
        <v>3521</v>
      </c>
      <c r="B3522" s="119">
        <v>0.72351775643956728</v>
      </c>
    </row>
    <row r="3523" spans="1:2">
      <c r="A3523">
        <v>3522</v>
      </c>
      <c r="B3523" s="119">
        <v>0.16796220088401156</v>
      </c>
    </row>
    <row r="3524" spans="1:2">
      <c r="A3524">
        <v>3523</v>
      </c>
      <c r="B3524" s="119">
        <v>0.50129553421734496</v>
      </c>
    </row>
    <row r="3525" spans="1:2">
      <c r="A3525">
        <v>3524</v>
      </c>
      <c r="B3525" s="119">
        <v>0.83462886755067822</v>
      </c>
    </row>
    <row r="3526" spans="1:2">
      <c r="A3526">
        <v>3525</v>
      </c>
      <c r="B3526" s="119">
        <v>0.2790733119951227</v>
      </c>
    </row>
    <row r="3527" spans="1:2">
      <c r="A3527">
        <v>3526</v>
      </c>
      <c r="B3527" s="119">
        <v>0.61240664532845612</v>
      </c>
    </row>
    <row r="3528" spans="1:2">
      <c r="A3528">
        <v>3527</v>
      </c>
      <c r="B3528" s="119">
        <v>0.94573997866178938</v>
      </c>
    </row>
    <row r="3529" spans="1:2">
      <c r="A3529">
        <v>3528</v>
      </c>
      <c r="B3529" s="119">
        <v>9.3888126809937494E-2</v>
      </c>
    </row>
    <row r="3530" spans="1:2">
      <c r="A3530">
        <v>3529</v>
      </c>
      <c r="B3530" s="119">
        <v>0.42722146014327084</v>
      </c>
    </row>
    <row r="3531" spans="1:2">
      <c r="A3531">
        <v>3530</v>
      </c>
      <c r="B3531" s="119">
        <v>0.76055479347660426</v>
      </c>
    </row>
    <row r="3532" spans="1:2">
      <c r="A3532">
        <v>3531</v>
      </c>
      <c r="B3532" s="119">
        <v>0.2049992379210486</v>
      </c>
    </row>
    <row r="3533" spans="1:2">
      <c r="A3533">
        <v>3532</v>
      </c>
      <c r="B3533" s="119">
        <v>0.53833257125438194</v>
      </c>
    </row>
    <row r="3534" spans="1:2">
      <c r="A3534">
        <v>3533</v>
      </c>
      <c r="B3534" s="119">
        <v>0.8716659045877152</v>
      </c>
    </row>
    <row r="3535" spans="1:2">
      <c r="A3535">
        <v>3534</v>
      </c>
      <c r="B3535" s="119">
        <v>0.31611034903215973</v>
      </c>
    </row>
    <row r="3536" spans="1:2">
      <c r="A3536">
        <v>3535</v>
      </c>
      <c r="B3536" s="119">
        <v>0.6494436823654931</v>
      </c>
    </row>
    <row r="3537" spans="1:2">
      <c r="A3537">
        <v>3536</v>
      </c>
      <c r="B3537" s="119">
        <v>0.98277701569882636</v>
      </c>
    </row>
    <row r="3538" spans="1:2">
      <c r="A3538">
        <v>3537</v>
      </c>
      <c r="B3538" s="119">
        <v>3.2159731748209117E-2</v>
      </c>
    </row>
    <row r="3539" spans="1:2">
      <c r="A3539">
        <v>3538</v>
      </c>
      <c r="B3539" s="119">
        <v>0.36549306508154245</v>
      </c>
    </row>
    <row r="3540" spans="1:2">
      <c r="A3540">
        <v>3539</v>
      </c>
      <c r="B3540" s="119">
        <v>0.69882639841487582</v>
      </c>
    </row>
    <row r="3541" spans="1:2">
      <c r="A3541">
        <v>3540</v>
      </c>
      <c r="B3541" s="119">
        <v>0.14327084285932021</v>
      </c>
    </row>
    <row r="3542" spans="1:2">
      <c r="A3542">
        <v>3541</v>
      </c>
      <c r="B3542" s="119">
        <v>0.47660417619265355</v>
      </c>
    </row>
    <row r="3543" spans="1:2">
      <c r="A3543">
        <v>3542</v>
      </c>
      <c r="B3543" s="119">
        <v>0.80993750952598687</v>
      </c>
    </row>
    <row r="3544" spans="1:2">
      <c r="A3544">
        <v>3543</v>
      </c>
      <c r="B3544" s="119">
        <v>0.25438195397043134</v>
      </c>
    </row>
    <row r="3545" spans="1:2">
      <c r="A3545">
        <v>3544</v>
      </c>
      <c r="B3545" s="119">
        <v>0.58771528730376477</v>
      </c>
    </row>
    <row r="3546" spans="1:2">
      <c r="A3546">
        <v>3545</v>
      </c>
      <c r="B3546" s="119">
        <v>0.92104862063709803</v>
      </c>
    </row>
    <row r="3547" spans="1:2">
      <c r="A3547">
        <v>3546</v>
      </c>
      <c r="B3547" s="119">
        <v>6.9196768785246138E-2</v>
      </c>
    </row>
    <row r="3548" spans="1:2">
      <c r="A3548">
        <v>3547</v>
      </c>
      <c r="B3548" s="119">
        <v>0.40253010211857948</v>
      </c>
    </row>
    <row r="3549" spans="1:2">
      <c r="A3549">
        <v>3548</v>
      </c>
      <c r="B3549" s="119">
        <v>0.73586343545191291</v>
      </c>
    </row>
    <row r="3550" spans="1:2">
      <c r="A3550">
        <v>3549</v>
      </c>
      <c r="B3550" s="119">
        <v>0.18030787989635724</v>
      </c>
    </row>
    <row r="3551" spans="1:2">
      <c r="A3551">
        <v>3550</v>
      </c>
      <c r="B3551" s="119">
        <v>0.5136412132296907</v>
      </c>
    </row>
    <row r="3552" spans="1:2">
      <c r="A3552">
        <v>3551</v>
      </c>
      <c r="B3552" s="119">
        <v>0.84697454656302384</v>
      </c>
    </row>
    <row r="3553" spans="1:2">
      <c r="A3553">
        <v>3552</v>
      </c>
      <c r="B3553" s="119">
        <v>0.29141899100746838</v>
      </c>
    </row>
    <row r="3554" spans="1:2">
      <c r="A3554">
        <v>3553</v>
      </c>
      <c r="B3554" s="119">
        <v>0.62475232434080175</v>
      </c>
    </row>
    <row r="3555" spans="1:2">
      <c r="A3555">
        <v>3554</v>
      </c>
      <c r="B3555" s="119">
        <v>0.95808565767413501</v>
      </c>
    </row>
    <row r="3556" spans="1:2">
      <c r="A3556">
        <v>3555</v>
      </c>
      <c r="B3556" s="119">
        <v>0.10623380582228317</v>
      </c>
    </row>
    <row r="3557" spans="1:2">
      <c r="A3557">
        <v>3556</v>
      </c>
      <c r="B3557" s="119">
        <v>0.43956713915561652</v>
      </c>
    </row>
    <row r="3558" spans="1:2">
      <c r="A3558">
        <v>3557</v>
      </c>
      <c r="B3558" s="119">
        <v>0.77290047248894989</v>
      </c>
    </row>
    <row r="3559" spans="1:2">
      <c r="A3559">
        <v>3558</v>
      </c>
      <c r="B3559" s="119">
        <v>0.21734491693339428</v>
      </c>
    </row>
    <row r="3560" spans="1:2">
      <c r="A3560">
        <v>3559</v>
      </c>
      <c r="B3560" s="119">
        <v>0.55067825026672768</v>
      </c>
    </row>
    <row r="3561" spans="1:2">
      <c r="A3561">
        <v>3560</v>
      </c>
      <c r="B3561" s="119">
        <v>0.88401158360006094</v>
      </c>
    </row>
    <row r="3562" spans="1:2">
      <c r="A3562">
        <v>3561</v>
      </c>
      <c r="B3562" s="119">
        <v>0.32845602804450541</v>
      </c>
    </row>
    <row r="3563" spans="1:2">
      <c r="A3563">
        <v>3562</v>
      </c>
      <c r="B3563" s="119">
        <v>0.66178936137783884</v>
      </c>
    </row>
    <row r="3564" spans="1:2">
      <c r="A3564">
        <v>3563</v>
      </c>
      <c r="B3564" s="119">
        <v>0.9951226947111721</v>
      </c>
    </row>
    <row r="3565" spans="1:2">
      <c r="A3565">
        <v>3564</v>
      </c>
      <c r="B3565" s="119">
        <v>1.1583600060966317E-2</v>
      </c>
    </row>
    <row r="3566" spans="1:2">
      <c r="A3566">
        <v>3565</v>
      </c>
      <c r="B3566" s="119">
        <v>0.34491693339429969</v>
      </c>
    </row>
    <row r="3567" spans="1:2">
      <c r="A3567">
        <v>3566</v>
      </c>
      <c r="B3567" s="119">
        <v>0.678250266727633</v>
      </c>
    </row>
    <row r="3568" spans="1:2">
      <c r="A3568">
        <v>3567</v>
      </c>
      <c r="B3568" s="119">
        <v>0.12269471117207742</v>
      </c>
    </row>
    <row r="3569" spans="1:2">
      <c r="A3569">
        <v>3568</v>
      </c>
      <c r="B3569" s="119">
        <v>0.45602804450541079</v>
      </c>
    </row>
    <row r="3570" spans="1:2">
      <c r="A3570">
        <v>3569</v>
      </c>
      <c r="B3570" s="119">
        <v>0.78936137783874405</v>
      </c>
    </row>
    <row r="3571" spans="1:2">
      <c r="A3571">
        <v>3570</v>
      </c>
      <c r="B3571" s="119">
        <v>0.2338058222831885</v>
      </c>
    </row>
    <row r="3572" spans="1:2">
      <c r="A3572">
        <v>3571</v>
      </c>
      <c r="B3572" s="119">
        <v>0.56713915561652195</v>
      </c>
    </row>
    <row r="3573" spans="1:2">
      <c r="A3573">
        <v>3572</v>
      </c>
      <c r="B3573" s="119">
        <v>0.90047248894985521</v>
      </c>
    </row>
    <row r="3574" spans="1:2">
      <c r="A3574">
        <v>3573</v>
      </c>
      <c r="B3574" s="119">
        <v>4.8620637098003357E-2</v>
      </c>
    </row>
    <row r="3575" spans="1:2">
      <c r="A3575">
        <v>3574</v>
      </c>
      <c r="B3575" s="119">
        <v>0.38195397043133672</v>
      </c>
    </row>
    <row r="3576" spans="1:2">
      <c r="A3576">
        <v>3575</v>
      </c>
      <c r="B3576" s="119">
        <v>0.71528730376467009</v>
      </c>
    </row>
    <row r="3577" spans="1:2">
      <c r="A3577">
        <v>3576</v>
      </c>
      <c r="B3577" s="119">
        <v>0.15973174820911443</v>
      </c>
    </row>
    <row r="3578" spans="1:2">
      <c r="A3578">
        <v>3577</v>
      </c>
      <c r="B3578" s="119">
        <v>0.49306508154244783</v>
      </c>
    </row>
    <row r="3579" spans="1:2">
      <c r="A3579">
        <v>3578</v>
      </c>
      <c r="B3579" s="119">
        <v>0.82639841487578103</v>
      </c>
    </row>
    <row r="3580" spans="1:2">
      <c r="A3580">
        <v>3579</v>
      </c>
      <c r="B3580" s="119">
        <v>0.27084285932022562</v>
      </c>
    </row>
    <row r="3581" spans="1:2">
      <c r="A3581">
        <v>3580</v>
      </c>
      <c r="B3581" s="119">
        <v>0.60417619265355893</v>
      </c>
    </row>
    <row r="3582" spans="1:2">
      <c r="A3582">
        <v>3581</v>
      </c>
      <c r="B3582" s="119">
        <v>0.93750952598689219</v>
      </c>
    </row>
    <row r="3583" spans="1:2">
      <c r="A3583">
        <v>3582</v>
      </c>
      <c r="B3583" s="119">
        <v>8.5657674135040385E-2</v>
      </c>
    </row>
    <row r="3584" spans="1:2">
      <c r="A3584">
        <v>3583</v>
      </c>
      <c r="B3584" s="119">
        <v>0.41899100746837376</v>
      </c>
    </row>
    <row r="3585" spans="1:2">
      <c r="A3585">
        <v>3584</v>
      </c>
      <c r="B3585" s="119">
        <v>0.75232434080170707</v>
      </c>
    </row>
    <row r="3586" spans="1:2">
      <c r="A3586">
        <v>3585</v>
      </c>
      <c r="B3586" s="119">
        <v>0.19676878524615146</v>
      </c>
    </row>
    <row r="3587" spans="1:2">
      <c r="A3587">
        <v>3586</v>
      </c>
      <c r="B3587" s="119">
        <v>0.53010211857948486</v>
      </c>
    </row>
    <row r="3588" spans="1:2">
      <c r="A3588">
        <v>3587</v>
      </c>
      <c r="B3588" s="119">
        <v>0.86343545191281812</v>
      </c>
    </row>
    <row r="3589" spans="1:2">
      <c r="A3589">
        <v>3588</v>
      </c>
      <c r="B3589" s="119">
        <v>0.30787989635726265</v>
      </c>
    </row>
    <row r="3590" spans="1:2">
      <c r="A3590">
        <v>3589</v>
      </c>
      <c r="B3590" s="119">
        <v>0.64121322969059602</v>
      </c>
    </row>
    <row r="3591" spans="1:2">
      <c r="A3591">
        <v>3590</v>
      </c>
      <c r="B3591" s="119">
        <v>0.97454656302392928</v>
      </c>
    </row>
    <row r="3592" spans="1:2">
      <c r="A3592">
        <v>3591</v>
      </c>
      <c r="B3592" s="119">
        <v>2.3929279073311993E-2</v>
      </c>
    </row>
    <row r="3593" spans="1:2">
      <c r="A3593">
        <v>3592</v>
      </c>
      <c r="B3593" s="119">
        <v>0.35726261240664536</v>
      </c>
    </row>
    <row r="3594" spans="1:2">
      <c r="A3594">
        <v>3593</v>
      </c>
      <c r="B3594" s="119">
        <v>0.69059594573997862</v>
      </c>
    </row>
    <row r="3595" spans="1:2">
      <c r="A3595">
        <v>3594</v>
      </c>
      <c r="B3595" s="119">
        <v>0.13504039018442307</v>
      </c>
    </row>
    <row r="3596" spans="1:2">
      <c r="A3596">
        <v>3595</v>
      </c>
      <c r="B3596" s="119">
        <v>0.46837372351775647</v>
      </c>
    </row>
    <row r="3597" spans="1:2">
      <c r="A3597">
        <v>3596</v>
      </c>
      <c r="B3597" s="119">
        <v>0.80170705685108978</v>
      </c>
    </row>
    <row r="3598" spans="1:2">
      <c r="A3598">
        <v>3597</v>
      </c>
      <c r="B3598" s="119">
        <v>0.24615150129553418</v>
      </c>
    </row>
    <row r="3599" spans="1:2">
      <c r="A3599">
        <v>3598</v>
      </c>
      <c r="B3599" s="119">
        <v>0.57948483462886768</v>
      </c>
    </row>
    <row r="3600" spans="1:2">
      <c r="A3600">
        <v>3599</v>
      </c>
      <c r="B3600" s="119">
        <v>0.91281816796220094</v>
      </c>
    </row>
    <row r="3601" spans="1:2">
      <c r="A3601">
        <v>3600</v>
      </c>
      <c r="B3601" s="119">
        <v>6.0966316110349035E-2</v>
      </c>
    </row>
    <row r="3602" spans="1:2">
      <c r="A3602">
        <v>3601</v>
      </c>
      <c r="B3602" s="119">
        <v>0.3942996494436824</v>
      </c>
    </row>
    <row r="3603" spans="1:2">
      <c r="A3603">
        <v>3602</v>
      </c>
      <c r="B3603" s="119">
        <v>0.72763298277701582</v>
      </c>
    </row>
    <row r="3604" spans="1:2">
      <c r="A3604">
        <v>3603</v>
      </c>
      <c r="B3604" s="119">
        <v>0.17207742722146011</v>
      </c>
    </row>
    <row r="3605" spans="1:2">
      <c r="A3605">
        <v>3604</v>
      </c>
      <c r="B3605" s="119">
        <v>0.5054107605547935</v>
      </c>
    </row>
    <row r="3606" spans="1:2">
      <c r="A3606">
        <v>3605</v>
      </c>
      <c r="B3606" s="119">
        <v>0.83874409388812676</v>
      </c>
    </row>
    <row r="3607" spans="1:2">
      <c r="A3607">
        <v>3606</v>
      </c>
      <c r="B3607" s="119">
        <v>0.28318853833257129</v>
      </c>
    </row>
    <row r="3608" spans="1:2">
      <c r="A3608">
        <v>3607</v>
      </c>
      <c r="B3608" s="119">
        <v>0.61652187166590466</v>
      </c>
    </row>
    <row r="3609" spans="1:2">
      <c r="A3609">
        <v>3608</v>
      </c>
      <c r="B3609" s="119">
        <v>0.94985520499923792</v>
      </c>
    </row>
    <row r="3610" spans="1:2">
      <c r="A3610">
        <v>3609</v>
      </c>
      <c r="B3610" s="119">
        <v>9.8003353147386063E-2</v>
      </c>
    </row>
    <row r="3611" spans="1:2">
      <c r="A3611">
        <v>3610</v>
      </c>
      <c r="B3611" s="119">
        <v>0.43133668648071943</v>
      </c>
    </row>
    <row r="3612" spans="1:2">
      <c r="A3612">
        <v>3611</v>
      </c>
      <c r="B3612" s="119">
        <v>0.7646700198140528</v>
      </c>
    </row>
    <row r="3613" spans="1:2">
      <c r="A3613">
        <v>3612</v>
      </c>
      <c r="B3613" s="119">
        <v>0.20911446425849714</v>
      </c>
    </row>
    <row r="3614" spans="1:2">
      <c r="A3614">
        <v>3613</v>
      </c>
      <c r="B3614" s="119">
        <v>0.54244779759183048</v>
      </c>
    </row>
    <row r="3615" spans="1:2">
      <c r="A3615">
        <v>3614</v>
      </c>
      <c r="B3615" s="119">
        <v>0.87578113092516374</v>
      </c>
    </row>
    <row r="3616" spans="1:2">
      <c r="A3616">
        <v>3615</v>
      </c>
      <c r="B3616" s="119">
        <v>0.32022557536960833</v>
      </c>
    </row>
    <row r="3617" spans="1:2">
      <c r="A3617">
        <v>3616</v>
      </c>
      <c r="B3617" s="119">
        <v>0.65355890870294164</v>
      </c>
    </row>
    <row r="3618" spans="1:2">
      <c r="A3618">
        <v>3617</v>
      </c>
      <c r="B3618" s="119">
        <v>0.9868922420362749</v>
      </c>
    </row>
    <row r="3619" spans="1:2">
      <c r="A3619">
        <v>3618</v>
      </c>
      <c r="B3619" s="119">
        <v>3.6274958085657678E-2</v>
      </c>
    </row>
    <row r="3620" spans="1:2">
      <c r="A3620">
        <v>3619</v>
      </c>
      <c r="B3620" s="119">
        <v>0.36960829141899104</v>
      </c>
    </row>
    <row r="3621" spans="1:2">
      <c r="A3621">
        <v>3620</v>
      </c>
      <c r="B3621" s="119">
        <v>0.70294162475232436</v>
      </c>
    </row>
    <row r="3622" spans="1:2">
      <c r="A3622">
        <v>3621</v>
      </c>
      <c r="B3622" s="119">
        <v>0.14738606919676875</v>
      </c>
    </row>
    <row r="3623" spans="1:2">
      <c r="A3623">
        <v>3622</v>
      </c>
      <c r="B3623" s="119">
        <v>0.48071940253010215</v>
      </c>
    </row>
    <row r="3624" spans="1:2">
      <c r="A3624">
        <v>3623</v>
      </c>
      <c r="B3624" s="119">
        <v>0.81405273586343541</v>
      </c>
    </row>
    <row r="3625" spans="1:2">
      <c r="A3625">
        <v>3624</v>
      </c>
      <c r="B3625" s="119">
        <v>0.25849718030787994</v>
      </c>
    </row>
    <row r="3626" spans="1:2">
      <c r="A3626">
        <v>3625</v>
      </c>
      <c r="B3626" s="119">
        <v>0.59183051364121331</v>
      </c>
    </row>
    <row r="3627" spans="1:2">
      <c r="A3627">
        <v>3626</v>
      </c>
      <c r="B3627" s="119">
        <v>0.92516384697454657</v>
      </c>
    </row>
    <row r="3628" spans="1:2">
      <c r="A3628">
        <v>3627</v>
      </c>
      <c r="B3628" s="119">
        <v>7.3311995122694706E-2</v>
      </c>
    </row>
    <row r="3629" spans="1:2">
      <c r="A3629">
        <v>3628</v>
      </c>
      <c r="B3629" s="119">
        <v>0.40664532845602808</v>
      </c>
    </row>
    <row r="3630" spans="1:2">
      <c r="A3630">
        <v>3629</v>
      </c>
      <c r="B3630" s="119">
        <v>0.73997866178936145</v>
      </c>
    </row>
    <row r="3631" spans="1:2">
      <c r="A3631">
        <v>3630</v>
      </c>
      <c r="B3631" s="119">
        <v>0.18442310623380578</v>
      </c>
    </row>
    <row r="3632" spans="1:2">
      <c r="A3632">
        <v>3631</v>
      </c>
      <c r="B3632" s="119">
        <v>0.51775643956713924</v>
      </c>
    </row>
    <row r="3633" spans="1:2">
      <c r="A3633">
        <v>3632</v>
      </c>
      <c r="B3633" s="119">
        <v>0.85108977290047239</v>
      </c>
    </row>
    <row r="3634" spans="1:2">
      <c r="A3634">
        <v>3633</v>
      </c>
      <c r="B3634" s="119">
        <v>0.29553421734491697</v>
      </c>
    </row>
    <row r="3635" spans="1:2">
      <c r="A3635">
        <v>3634</v>
      </c>
      <c r="B3635" s="119">
        <v>0.62886755067825029</v>
      </c>
    </row>
    <row r="3636" spans="1:2">
      <c r="A3636">
        <v>3635</v>
      </c>
      <c r="B3636" s="119">
        <v>0.96220088401158355</v>
      </c>
    </row>
    <row r="3637" spans="1:2">
      <c r="A3637">
        <v>3636</v>
      </c>
      <c r="B3637" s="119">
        <v>0.11034903215973174</v>
      </c>
    </row>
    <row r="3638" spans="1:2">
      <c r="A3638">
        <v>3637</v>
      </c>
      <c r="B3638" s="119">
        <v>0.44368236549306511</v>
      </c>
    </row>
    <row r="3639" spans="1:2">
      <c r="A3639">
        <v>3638</v>
      </c>
      <c r="B3639" s="119">
        <v>0.77701569882639843</v>
      </c>
    </row>
    <row r="3640" spans="1:2">
      <c r="A3640">
        <v>3639</v>
      </c>
      <c r="B3640" s="119">
        <v>0.22146014327084282</v>
      </c>
    </row>
    <row r="3641" spans="1:2">
      <c r="A3641">
        <v>3640</v>
      </c>
      <c r="B3641" s="119">
        <v>0.55479347660417622</v>
      </c>
    </row>
    <row r="3642" spans="1:2">
      <c r="A3642">
        <v>3641</v>
      </c>
      <c r="B3642" s="119">
        <v>0.88812680993750948</v>
      </c>
    </row>
    <row r="3643" spans="1:2">
      <c r="A3643">
        <v>3642</v>
      </c>
      <c r="B3643" s="119">
        <v>0.33257125438195401</v>
      </c>
    </row>
    <row r="3644" spans="1:2">
      <c r="A3644">
        <v>3643</v>
      </c>
      <c r="B3644" s="119">
        <v>0.66590458771528738</v>
      </c>
    </row>
    <row r="3645" spans="1:2">
      <c r="A3645">
        <v>3644</v>
      </c>
      <c r="B3645" s="119">
        <v>0.99923792104862064</v>
      </c>
    </row>
    <row r="3646" spans="1:2">
      <c r="A3646">
        <v>3645</v>
      </c>
      <c r="B3646" s="119">
        <v>1.066910531931108E-3</v>
      </c>
    </row>
    <row r="3647" spans="1:2">
      <c r="A3647">
        <v>3646</v>
      </c>
      <c r="B3647" s="119">
        <v>0.3344002438652644</v>
      </c>
    </row>
    <row r="3648" spans="1:2">
      <c r="A3648">
        <v>3647</v>
      </c>
      <c r="B3648" s="119">
        <v>0.66773357719859783</v>
      </c>
    </row>
    <row r="3649" spans="1:2">
      <c r="A3649">
        <v>3648</v>
      </c>
      <c r="B3649" s="119">
        <v>0.11217802164304222</v>
      </c>
    </row>
    <row r="3650" spans="1:2">
      <c r="A3650">
        <v>3649</v>
      </c>
      <c r="B3650" s="119">
        <v>0.44551135497637551</v>
      </c>
    </row>
    <row r="3651" spans="1:2">
      <c r="A3651">
        <v>3650</v>
      </c>
      <c r="B3651" s="119">
        <v>0.77884468830970888</v>
      </c>
    </row>
    <row r="3652" spans="1:2">
      <c r="A3652">
        <v>3651</v>
      </c>
      <c r="B3652" s="119">
        <v>0.2232891327541533</v>
      </c>
    </row>
    <row r="3653" spans="1:2">
      <c r="A3653">
        <v>3652</v>
      </c>
      <c r="B3653" s="119">
        <v>0.55662246608748678</v>
      </c>
    </row>
    <row r="3654" spans="1:2">
      <c r="A3654">
        <v>3653</v>
      </c>
      <c r="B3654" s="119">
        <v>0.88995579942082004</v>
      </c>
    </row>
    <row r="3655" spans="1:2">
      <c r="A3655">
        <v>3654</v>
      </c>
      <c r="B3655" s="119">
        <v>3.8103947568968143E-2</v>
      </c>
    </row>
    <row r="3656" spans="1:2">
      <c r="A3656">
        <v>3655</v>
      </c>
      <c r="B3656" s="119">
        <v>0.37143728090230144</v>
      </c>
    </row>
    <row r="3657" spans="1:2">
      <c r="A3657">
        <v>3656</v>
      </c>
      <c r="B3657" s="119">
        <v>0.70477061423563492</v>
      </c>
    </row>
    <row r="3658" spans="1:2">
      <c r="A3658">
        <v>3657</v>
      </c>
      <c r="B3658" s="119">
        <v>0.14921505868007923</v>
      </c>
    </row>
    <row r="3659" spans="1:2">
      <c r="A3659">
        <v>3658</v>
      </c>
      <c r="B3659" s="119">
        <v>0.48254839201341254</v>
      </c>
    </row>
    <row r="3660" spans="1:2">
      <c r="A3660">
        <v>3659</v>
      </c>
      <c r="B3660" s="119">
        <v>0.81588172534674586</v>
      </c>
    </row>
    <row r="3661" spans="1:2">
      <c r="A3661">
        <v>3660</v>
      </c>
      <c r="B3661" s="119">
        <v>0.26032616979119033</v>
      </c>
    </row>
    <row r="3662" spans="1:2">
      <c r="A3662">
        <v>3661</v>
      </c>
      <c r="B3662" s="119">
        <v>0.59365950312452376</v>
      </c>
    </row>
    <row r="3663" spans="1:2">
      <c r="A3663">
        <v>3662</v>
      </c>
      <c r="B3663" s="119">
        <v>0.92699283645785702</v>
      </c>
    </row>
    <row r="3664" spans="1:2">
      <c r="A3664">
        <v>3663</v>
      </c>
      <c r="B3664" s="119">
        <v>7.5140984606005184E-2</v>
      </c>
    </row>
    <row r="3665" spans="1:2">
      <c r="A3665">
        <v>3664</v>
      </c>
      <c r="B3665" s="119">
        <v>0.40847431793933847</v>
      </c>
    </row>
    <row r="3666" spans="1:2">
      <c r="A3666">
        <v>3665</v>
      </c>
      <c r="B3666" s="119">
        <v>0.7418076512726719</v>
      </c>
    </row>
    <row r="3667" spans="1:2">
      <c r="A3667">
        <v>3666</v>
      </c>
      <c r="B3667" s="119">
        <v>0.18625209571711626</v>
      </c>
    </row>
    <row r="3668" spans="1:2">
      <c r="A3668">
        <v>3667</v>
      </c>
      <c r="B3668" s="119">
        <v>0.51958542905044969</v>
      </c>
    </row>
    <row r="3669" spans="1:2">
      <c r="A3669">
        <v>3668</v>
      </c>
      <c r="B3669" s="119">
        <v>0.85291876238378295</v>
      </c>
    </row>
    <row r="3670" spans="1:2">
      <c r="A3670">
        <v>3669</v>
      </c>
      <c r="B3670" s="119">
        <v>0.29736320682822737</v>
      </c>
    </row>
    <row r="3671" spans="1:2">
      <c r="A3671">
        <v>3670</v>
      </c>
      <c r="B3671" s="119">
        <v>0.63069654016156085</v>
      </c>
    </row>
    <row r="3672" spans="1:2">
      <c r="A3672">
        <v>3671</v>
      </c>
      <c r="B3672" s="119">
        <v>0.96402987349489411</v>
      </c>
    </row>
    <row r="3673" spans="1:2">
      <c r="A3673">
        <v>3672</v>
      </c>
      <c r="B3673" s="119">
        <v>1.3412589544276786E-2</v>
      </c>
    </row>
    <row r="3674" spans="1:2">
      <c r="A3674">
        <v>3673</v>
      </c>
      <c r="B3674" s="119">
        <v>0.34674592287761008</v>
      </c>
    </row>
    <row r="3675" spans="1:2">
      <c r="A3675">
        <v>3674</v>
      </c>
      <c r="B3675" s="119">
        <v>0.68007925621094345</v>
      </c>
    </row>
    <row r="3676" spans="1:2">
      <c r="A3676">
        <v>3675</v>
      </c>
      <c r="B3676" s="119">
        <v>0.1245237006553879</v>
      </c>
    </row>
    <row r="3677" spans="1:2">
      <c r="A3677">
        <v>3676</v>
      </c>
      <c r="B3677" s="119">
        <v>0.45785703398872118</v>
      </c>
    </row>
    <row r="3678" spans="1:2">
      <c r="A3678">
        <v>3677</v>
      </c>
      <c r="B3678" s="119">
        <v>0.79119036732205461</v>
      </c>
    </row>
    <row r="3679" spans="1:2">
      <c r="A3679">
        <v>3678</v>
      </c>
      <c r="B3679" s="119">
        <v>0.23563481176649897</v>
      </c>
    </row>
    <row r="3680" spans="1:2">
      <c r="A3680">
        <v>3679</v>
      </c>
      <c r="B3680" s="119">
        <v>0.56896814509983251</v>
      </c>
    </row>
    <row r="3681" spans="1:2">
      <c r="A3681">
        <v>3680</v>
      </c>
      <c r="B3681" s="119">
        <v>0.90230147843316577</v>
      </c>
    </row>
    <row r="3682" spans="1:2">
      <c r="A3682">
        <v>3681</v>
      </c>
      <c r="B3682" s="119">
        <v>5.0449626581313821E-2</v>
      </c>
    </row>
    <row r="3683" spans="1:2">
      <c r="A3683">
        <v>3682</v>
      </c>
      <c r="B3683" s="119">
        <v>0.38378295991464711</v>
      </c>
    </row>
    <row r="3684" spans="1:2">
      <c r="A3684">
        <v>3683</v>
      </c>
      <c r="B3684" s="119">
        <v>0.71711629324798065</v>
      </c>
    </row>
    <row r="3685" spans="1:2">
      <c r="A3685">
        <v>3684</v>
      </c>
      <c r="B3685" s="119">
        <v>0.16156073769242491</v>
      </c>
    </row>
    <row r="3686" spans="1:2">
      <c r="A3686">
        <v>3685</v>
      </c>
      <c r="B3686" s="119">
        <v>0.49489407102575822</v>
      </c>
    </row>
    <row r="3687" spans="1:2">
      <c r="A3687">
        <v>3686</v>
      </c>
      <c r="B3687" s="119">
        <v>0.82822740435909159</v>
      </c>
    </row>
    <row r="3688" spans="1:2">
      <c r="A3688">
        <v>3687</v>
      </c>
      <c r="B3688" s="119">
        <v>0.27267184880353601</v>
      </c>
    </row>
    <row r="3689" spans="1:2">
      <c r="A3689">
        <v>3688</v>
      </c>
      <c r="B3689" s="119">
        <v>0.60600518213686949</v>
      </c>
    </row>
    <row r="3690" spans="1:2">
      <c r="A3690">
        <v>3689</v>
      </c>
      <c r="B3690" s="119">
        <v>0.93933851547020275</v>
      </c>
    </row>
    <row r="3691" spans="1:2">
      <c r="A3691">
        <v>3690</v>
      </c>
      <c r="B3691" s="119">
        <v>8.7486663618350863E-2</v>
      </c>
    </row>
    <row r="3692" spans="1:2">
      <c r="A3692">
        <v>3691</v>
      </c>
      <c r="B3692" s="119">
        <v>0.42081999695168415</v>
      </c>
    </row>
    <row r="3693" spans="1:2">
      <c r="A3693">
        <v>3692</v>
      </c>
      <c r="B3693" s="119">
        <v>0.75415333028501763</v>
      </c>
    </row>
    <row r="3694" spans="1:2">
      <c r="A3694">
        <v>3693</v>
      </c>
      <c r="B3694" s="119">
        <v>0.19859777472946194</v>
      </c>
    </row>
    <row r="3695" spans="1:2">
      <c r="A3695">
        <v>3694</v>
      </c>
      <c r="B3695" s="119">
        <v>0.53193110806279531</v>
      </c>
    </row>
    <row r="3696" spans="1:2">
      <c r="A3696">
        <v>3695</v>
      </c>
      <c r="B3696" s="119">
        <v>0.86526444139612857</v>
      </c>
    </row>
    <row r="3697" spans="1:2">
      <c r="A3697">
        <v>3696</v>
      </c>
      <c r="B3697" s="119">
        <v>0.30970888584057304</v>
      </c>
    </row>
    <row r="3698" spans="1:2">
      <c r="A3698">
        <v>3697</v>
      </c>
      <c r="B3698" s="119">
        <v>0.64304221917390647</v>
      </c>
    </row>
    <row r="3699" spans="1:2">
      <c r="A3699">
        <v>3698</v>
      </c>
      <c r="B3699" s="119">
        <v>0.97637555250723973</v>
      </c>
    </row>
    <row r="3700" spans="1:2">
      <c r="A3700">
        <v>3699</v>
      </c>
      <c r="B3700" s="119">
        <v>2.5758268556622464E-2</v>
      </c>
    </row>
    <row r="3701" spans="1:2">
      <c r="A3701">
        <v>3700</v>
      </c>
      <c r="B3701" s="119">
        <v>0.35909160188995576</v>
      </c>
    </row>
    <row r="3702" spans="1:2">
      <c r="A3702">
        <v>3701</v>
      </c>
      <c r="B3702" s="119">
        <v>0.69242493522328918</v>
      </c>
    </row>
    <row r="3703" spans="1:2">
      <c r="A3703">
        <v>3702</v>
      </c>
      <c r="B3703" s="119">
        <v>0.13686937966773355</v>
      </c>
    </row>
    <row r="3704" spans="1:2">
      <c r="A3704">
        <v>3703</v>
      </c>
      <c r="B3704" s="119">
        <v>0.47020271300106686</v>
      </c>
    </row>
    <row r="3705" spans="1:2">
      <c r="A3705">
        <v>3704</v>
      </c>
      <c r="B3705" s="119">
        <v>0.80353604633440023</v>
      </c>
    </row>
    <row r="3706" spans="1:2">
      <c r="A3706">
        <v>3705</v>
      </c>
      <c r="B3706" s="119">
        <v>0.24798049077884465</v>
      </c>
    </row>
    <row r="3707" spans="1:2">
      <c r="A3707">
        <v>3706</v>
      </c>
      <c r="B3707" s="119">
        <v>0.58131382411217813</v>
      </c>
    </row>
    <row r="3708" spans="1:2">
      <c r="A3708">
        <v>3707</v>
      </c>
      <c r="B3708" s="119">
        <v>0.91464715744551139</v>
      </c>
    </row>
    <row r="3709" spans="1:2">
      <c r="A3709">
        <v>3708</v>
      </c>
      <c r="B3709" s="119">
        <v>6.2795305593659506E-2</v>
      </c>
    </row>
    <row r="3710" spans="1:2">
      <c r="A3710">
        <v>3709</v>
      </c>
      <c r="B3710" s="119">
        <v>0.39612863892699279</v>
      </c>
    </row>
    <row r="3711" spans="1:2">
      <c r="A3711">
        <v>3710</v>
      </c>
      <c r="B3711" s="119">
        <v>0.72946197226032627</v>
      </c>
    </row>
    <row r="3712" spans="1:2">
      <c r="A3712">
        <v>3711</v>
      </c>
      <c r="B3712" s="119">
        <v>0.17390641670477058</v>
      </c>
    </row>
    <row r="3713" spans="1:2">
      <c r="A3713">
        <v>3712</v>
      </c>
      <c r="B3713" s="119">
        <v>0.50723975003810406</v>
      </c>
    </row>
    <row r="3714" spans="1:2">
      <c r="A3714">
        <v>3713</v>
      </c>
      <c r="B3714" s="119">
        <v>0.84057308337143721</v>
      </c>
    </row>
    <row r="3715" spans="1:2">
      <c r="A3715">
        <v>3714</v>
      </c>
      <c r="B3715" s="119">
        <v>0.28501752781588169</v>
      </c>
    </row>
    <row r="3716" spans="1:2">
      <c r="A3716">
        <v>3715</v>
      </c>
      <c r="B3716" s="119">
        <v>0.61835086114921511</v>
      </c>
    </row>
    <row r="3717" spans="1:2">
      <c r="A3717">
        <v>3716</v>
      </c>
      <c r="B3717" s="119">
        <v>0.95168419448254837</v>
      </c>
    </row>
    <row r="3718" spans="1:2">
      <c r="A3718">
        <v>3717</v>
      </c>
      <c r="B3718" s="119">
        <v>9.9832342630696541E-2</v>
      </c>
    </row>
    <row r="3719" spans="1:2">
      <c r="A3719">
        <v>3718</v>
      </c>
      <c r="B3719" s="119">
        <v>0.43316567596402983</v>
      </c>
    </row>
    <row r="3720" spans="1:2">
      <c r="A3720">
        <v>3719</v>
      </c>
      <c r="B3720" s="119">
        <v>0.76649900929736325</v>
      </c>
    </row>
    <row r="3721" spans="1:2">
      <c r="A3721">
        <v>3720</v>
      </c>
      <c r="B3721" s="119">
        <v>0.21094345374180762</v>
      </c>
    </row>
    <row r="3722" spans="1:2">
      <c r="A3722">
        <v>3721</v>
      </c>
      <c r="B3722" s="119">
        <v>0.54427678707514104</v>
      </c>
    </row>
    <row r="3723" spans="1:2">
      <c r="A3723">
        <v>3722</v>
      </c>
      <c r="B3723" s="119">
        <v>0.8776101204084743</v>
      </c>
    </row>
    <row r="3724" spans="1:2">
      <c r="A3724">
        <v>3723</v>
      </c>
      <c r="B3724" s="119">
        <v>0.32205456485291872</v>
      </c>
    </row>
    <row r="3725" spans="1:2">
      <c r="A3725">
        <v>3724</v>
      </c>
      <c r="B3725" s="119">
        <v>0.6553878981862522</v>
      </c>
    </row>
    <row r="3726" spans="1:2">
      <c r="A3726">
        <v>3725</v>
      </c>
      <c r="B3726" s="119">
        <v>0.98872123151958546</v>
      </c>
    </row>
    <row r="3727" spans="1:2">
      <c r="A3727">
        <v>3726</v>
      </c>
      <c r="B3727" s="119">
        <v>5.1821368693796685E-3</v>
      </c>
    </row>
    <row r="3728" spans="1:2">
      <c r="A3728">
        <v>3727</v>
      </c>
      <c r="B3728" s="119">
        <v>0.33851547020271294</v>
      </c>
    </row>
    <row r="3729" spans="1:2">
      <c r="A3729">
        <v>3728</v>
      </c>
      <c r="B3729" s="119">
        <v>0.67184880353604637</v>
      </c>
    </row>
    <row r="3730" spans="1:2">
      <c r="A3730">
        <v>3729</v>
      </c>
      <c r="B3730" s="119">
        <v>0.11629324798049077</v>
      </c>
    </row>
    <row r="3731" spans="1:2">
      <c r="A3731">
        <v>3730</v>
      </c>
      <c r="B3731" s="119">
        <v>0.44962658131382405</v>
      </c>
    </row>
    <row r="3732" spans="1:2">
      <c r="A3732">
        <v>3731</v>
      </c>
      <c r="B3732" s="119">
        <v>0.78295991464715742</v>
      </c>
    </row>
    <row r="3733" spans="1:2">
      <c r="A3733">
        <v>3732</v>
      </c>
      <c r="B3733" s="119">
        <v>0.22740435909160187</v>
      </c>
    </row>
    <row r="3734" spans="1:2">
      <c r="A3734">
        <v>3733</v>
      </c>
      <c r="B3734" s="119">
        <v>0.56073769242493532</v>
      </c>
    </row>
    <row r="3735" spans="1:2">
      <c r="A3735">
        <v>3734</v>
      </c>
      <c r="B3735" s="119">
        <v>0.89407102575826858</v>
      </c>
    </row>
    <row r="3736" spans="1:2">
      <c r="A3736">
        <v>3735</v>
      </c>
      <c r="B3736" s="119">
        <v>4.2219173906416704E-2</v>
      </c>
    </row>
    <row r="3737" spans="1:2">
      <c r="A3737">
        <v>3736</v>
      </c>
      <c r="B3737" s="119">
        <v>0.37555250723974998</v>
      </c>
    </row>
    <row r="3738" spans="1:2">
      <c r="A3738">
        <v>3737</v>
      </c>
      <c r="B3738" s="119">
        <v>0.70888584057308346</v>
      </c>
    </row>
    <row r="3739" spans="1:2">
      <c r="A3739">
        <v>3738</v>
      </c>
      <c r="B3739" s="119">
        <v>0.1533302850175278</v>
      </c>
    </row>
    <row r="3740" spans="1:2">
      <c r="A3740">
        <v>3739</v>
      </c>
      <c r="B3740" s="119">
        <v>0.48666361835086108</v>
      </c>
    </row>
    <row r="3741" spans="1:2">
      <c r="A3741">
        <v>3740</v>
      </c>
      <c r="B3741" s="119">
        <v>0.8199969516841944</v>
      </c>
    </row>
    <row r="3742" spans="1:2">
      <c r="A3742">
        <v>3741</v>
      </c>
      <c r="B3742" s="119">
        <v>0.26444139612863887</v>
      </c>
    </row>
    <row r="3743" spans="1:2">
      <c r="A3743">
        <v>3742</v>
      </c>
      <c r="B3743" s="119">
        <v>0.5977747294619723</v>
      </c>
    </row>
    <row r="3744" spans="1:2">
      <c r="A3744">
        <v>3743</v>
      </c>
      <c r="B3744" s="119">
        <v>0.93110806279530556</v>
      </c>
    </row>
    <row r="3745" spans="1:2">
      <c r="A3745">
        <v>3744</v>
      </c>
      <c r="B3745" s="119">
        <v>7.9256210943453739E-2</v>
      </c>
    </row>
    <row r="3746" spans="1:2">
      <c r="A3746">
        <v>3745</v>
      </c>
      <c r="B3746" s="119">
        <v>0.41258954427678701</v>
      </c>
    </row>
    <row r="3747" spans="1:2">
      <c r="A3747">
        <v>3746</v>
      </c>
      <c r="B3747" s="119">
        <v>0.74592287761012044</v>
      </c>
    </row>
    <row r="3748" spans="1:2">
      <c r="A3748">
        <v>3747</v>
      </c>
      <c r="B3748" s="119">
        <v>0.19036732205456483</v>
      </c>
    </row>
    <row r="3749" spans="1:2">
      <c r="A3749">
        <v>3748</v>
      </c>
      <c r="B3749" s="119">
        <v>0.52370065538789823</v>
      </c>
    </row>
    <row r="3750" spans="1:2">
      <c r="A3750">
        <v>3749</v>
      </c>
      <c r="B3750" s="119">
        <v>0.85703398872123149</v>
      </c>
    </row>
    <row r="3751" spans="1:2">
      <c r="A3751">
        <v>3750</v>
      </c>
      <c r="B3751" s="119">
        <v>0.30147843316567591</v>
      </c>
    </row>
    <row r="3752" spans="1:2">
      <c r="A3752">
        <v>3751</v>
      </c>
      <c r="B3752" s="119">
        <v>0.63481176649900939</v>
      </c>
    </row>
    <row r="3753" spans="1:2">
      <c r="A3753">
        <v>3752</v>
      </c>
      <c r="B3753" s="119">
        <v>0.96814509983234265</v>
      </c>
    </row>
    <row r="3754" spans="1:2">
      <c r="A3754">
        <v>3753</v>
      </c>
      <c r="B3754" s="119">
        <v>1.7527815881725348E-2</v>
      </c>
    </row>
    <row r="3755" spans="1:2">
      <c r="A3755">
        <v>3754</v>
      </c>
      <c r="B3755" s="119">
        <v>0.35086114921505862</v>
      </c>
    </row>
    <row r="3756" spans="1:2">
      <c r="A3756">
        <v>3755</v>
      </c>
      <c r="B3756" s="119">
        <v>0.68419448254839199</v>
      </c>
    </row>
    <row r="3757" spans="1:2">
      <c r="A3757">
        <v>3756</v>
      </c>
      <c r="B3757" s="119">
        <v>0.12863892699283644</v>
      </c>
    </row>
    <row r="3758" spans="1:2">
      <c r="A3758">
        <v>3757</v>
      </c>
      <c r="B3758" s="119">
        <v>0.46197226032616973</v>
      </c>
    </row>
    <row r="3759" spans="1:2">
      <c r="A3759">
        <v>3758</v>
      </c>
      <c r="B3759" s="119">
        <v>0.79530559365950315</v>
      </c>
    </row>
    <row r="3760" spans="1:2">
      <c r="A3760">
        <v>3759</v>
      </c>
      <c r="B3760" s="119">
        <v>0.23975003810394754</v>
      </c>
    </row>
    <row r="3761" spans="1:2">
      <c r="A3761">
        <v>3760</v>
      </c>
      <c r="B3761" s="119">
        <v>0.57308337143728105</v>
      </c>
    </row>
    <row r="3762" spans="1:2">
      <c r="A3762">
        <v>3761</v>
      </c>
      <c r="B3762" s="119">
        <v>0.90641670477061431</v>
      </c>
    </row>
    <row r="3763" spans="1:2">
      <c r="A3763">
        <v>3762</v>
      </c>
      <c r="B3763" s="119">
        <v>5.4564852918762383E-2</v>
      </c>
    </row>
    <row r="3764" spans="1:2">
      <c r="A3764">
        <v>3763</v>
      </c>
      <c r="B3764" s="119">
        <v>0.38789818625209566</v>
      </c>
    </row>
    <row r="3765" spans="1:2">
      <c r="A3765">
        <v>3764</v>
      </c>
      <c r="B3765" s="119">
        <v>0.72123151958542919</v>
      </c>
    </row>
    <row r="3766" spans="1:2">
      <c r="A3766">
        <v>3765</v>
      </c>
      <c r="B3766" s="119">
        <v>0.16567596402987347</v>
      </c>
    </row>
    <row r="3767" spans="1:2">
      <c r="A3767">
        <v>3766</v>
      </c>
      <c r="B3767" s="119">
        <v>0.49900929736320676</v>
      </c>
    </row>
    <row r="3768" spans="1:2">
      <c r="A3768">
        <v>3767</v>
      </c>
      <c r="B3768" s="119">
        <v>0.83234263069654013</v>
      </c>
    </row>
    <row r="3769" spans="1:2">
      <c r="A3769">
        <v>3768</v>
      </c>
      <c r="B3769" s="119">
        <v>0.27678707514098455</v>
      </c>
    </row>
    <row r="3770" spans="1:2">
      <c r="A3770">
        <v>3769</v>
      </c>
      <c r="B3770" s="119">
        <v>0.61012040847431803</v>
      </c>
    </row>
    <row r="3771" spans="1:2">
      <c r="A3771">
        <v>3770</v>
      </c>
      <c r="B3771" s="119">
        <v>0.94345374180765129</v>
      </c>
    </row>
    <row r="3772" spans="1:2">
      <c r="A3772">
        <v>3771</v>
      </c>
      <c r="B3772" s="119">
        <v>9.1601889955799418E-2</v>
      </c>
    </row>
    <row r="3773" spans="1:2">
      <c r="A3773">
        <v>3772</v>
      </c>
      <c r="B3773" s="119">
        <v>0.42493522328913269</v>
      </c>
    </row>
    <row r="3774" spans="1:2">
      <c r="A3774">
        <v>3773</v>
      </c>
      <c r="B3774" s="119">
        <v>0.75826855662246617</v>
      </c>
    </row>
    <row r="3775" spans="1:2">
      <c r="A3775">
        <v>3774</v>
      </c>
      <c r="B3775" s="119">
        <v>0.20271300106691051</v>
      </c>
    </row>
    <row r="3776" spans="1:2">
      <c r="A3776">
        <v>3775</v>
      </c>
      <c r="B3776" s="119">
        <v>0.53604633440024385</v>
      </c>
    </row>
    <row r="3777" spans="1:2">
      <c r="A3777">
        <v>3776</v>
      </c>
      <c r="B3777" s="119">
        <v>0.86937966773357711</v>
      </c>
    </row>
    <row r="3778" spans="1:2">
      <c r="A3778">
        <v>3777</v>
      </c>
      <c r="B3778" s="119">
        <v>0.31382411217802159</v>
      </c>
    </row>
    <row r="3779" spans="1:2">
      <c r="A3779">
        <v>3778</v>
      </c>
      <c r="B3779" s="119">
        <v>0.64715744551135501</v>
      </c>
    </row>
    <row r="3780" spans="1:2">
      <c r="A3780">
        <v>3779</v>
      </c>
      <c r="B3780" s="119">
        <v>0.98049077884468827</v>
      </c>
    </row>
    <row r="3781" spans="1:2">
      <c r="A3781">
        <v>3780</v>
      </c>
      <c r="B3781" s="119">
        <v>2.9873494894071026E-2</v>
      </c>
    </row>
    <row r="3782" spans="1:2">
      <c r="A3782">
        <v>3781</v>
      </c>
      <c r="B3782" s="119">
        <v>0.3632068282274043</v>
      </c>
    </row>
    <row r="3783" spans="1:2">
      <c r="A3783">
        <v>3782</v>
      </c>
      <c r="B3783" s="119">
        <v>0.69654016156073773</v>
      </c>
    </row>
    <row r="3784" spans="1:2">
      <c r="A3784">
        <v>3783</v>
      </c>
      <c r="B3784" s="119">
        <v>0.14098460600518212</v>
      </c>
    </row>
    <row r="3785" spans="1:2">
      <c r="A3785">
        <v>3784</v>
      </c>
      <c r="B3785" s="119">
        <v>0.4743179393385154</v>
      </c>
    </row>
    <row r="3786" spans="1:2">
      <c r="A3786">
        <v>3785</v>
      </c>
      <c r="B3786" s="119">
        <v>0.80765127267184877</v>
      </c>
    </row>
    <row r="3787" spans="1:2">
      <c r="A3787">
        <v>3786</v>
      </c>
      <c r="B3787" s="119">
        <v>0.25209571711629319</v>
      </c>
    </row>
    <row r="3788" spans="1:2">
      <c r="A3788">
        <v>3787</v>
      </c>
      <c r="B3788" s="119">
        <v>0.58542905044962668</v>
      </c>
    </row>
    <row r="3789" spans="1:2">
      <c r="A3789">
        <v>3788</v>
      </c>
      <c r="B3789" s="119">
        <v>0.91876238378295993</v>
      </c>
    </row>
    <row r="3790" spans="1:2">
      <c r="A3790">
        <v>3789</v>
      </c>
      <c r="B3790" s="119">
        <v>6.6910531931108061E-2</v>
      </c>
    </row>
    <row r="3791" spans="1:2">
      <c r="A3791">
        <v>3790</v>
      </c>
      <c r="B3791" s="119">
        <v>0.40024386526444133</v>
      </c>
    </row>
    <row r="3792" spans="1:2">
      <c r="A3792">
        <v>3791</v>
      </c>
      <c r="B3792" s="119">
        <v>0.73357719859777482</v>
      </c>
    </row>
    <row r="3793" spans="1:2">
      <c r="A3793">
        <v>3792</v>
      </c>
      <c r="B3793" s="119">
        <v>0.17802164304221915</v>
      </c>
    </row>
    <row r="3794" spans="1:2">
      <c r="A3794">
        <v>3793</v>
      </c>
      <c r="B3794" s="119">
        <v>0.51135497637555261</v>
      </c>
    </row>
    <row r="3795" spans="1:2">
      <c r="A3795">
        <v>3794</v>
      </c>
      <c r="B3795" s="119">
        <v>0.84468830970888575</v>
      </c>
    </row>
    <row r="3796" spans="1:2">
      <c r="A3796">
        <v>3795</v>
      </c>
      <c r="B3796" s="119">
        <v>0.28913275415333023</v>
      </c>
    </row>
    <row r="3797" spans="1:2">
      <c r="A3797">
        <v>3796</v>
      </c>
      <c r="B3797" s="119">
        <v>0.62246608748666366</v>
      </c>
    </row>
    <row r="3798" spans="1:2">
      <c r="A3798">
        <v>3797</v>
      </c>
      <c r="B3798" s="119">
        <v>0.95579942081999691</v>
      </c>
    </row>
    <row r="3799" spans="1:2">
      <c r="A3799">
        <v>3798</v>
      </c>
      <c r="B3799" s="119">
        <v>0.1039475689681451</v>
      </c>
    </row>
    <row r="3800" spans="1:2">
      <c r="A3800">
        <v>3799</v>
      </c>
      <c r="B3800" s="119">
        <v>0.43728090230147837</v>
      </c>
    </row>
    <row r="3801" spans="1:2">
      <c r="A3801">
        <v>3800</v>
      </c>
      <c r="B3801" s="119">
        <v>0.77061423563481179</v>
      </c>
    </row>
    <row r="3802" spans="1:2">
      <c r="A3802">
        <v>3801</v>
      </c>
      <c r="B3802" s="119">
        <v>0.21505868007925619</v>
      </c>
    </row>
    <row r="3803" spans="1:2">
      <c r="A3803">
        <v>3802</v>
      </c>
      <c r="B3803" s="119">
        <v>0.54839201341258959</v>
      </c>
    </row>
    <row r="3804" spans="1:2">
      <c r="A3804">
        <v>3803</v>
      </c>
      <c r="B3804" s="119">
        <v>0.88172534674592284</v>
      </c>
    </row>
    <row r="3805" spans="1:2">
      <c r="A3805">
        <v>3804</v>
      </c>
      <c r="B3805" s="119">
        <v>0.32616979119036726</v>
      </c>
    </row>
    <row r="3806" spans="1:2">
      <c r="A3806">
        <v>3805</v>
      </c>
      <c r="B3806" s="119">
        <v>0.65950312452370075</v>
      </c>
    </row>
    <row r="3807" spans="1:2">
      <c r="A3807">
        <v>3806</v>
      </c>
      <c r="B3807" s="119">
        <v>0.992836457857034</v>
      </c>
    </row>
    <row r="3808" spans="1:2">
      <c r="A3808">
        <v>3807</v>
      </c>
      <c r="B3808" s="119">
        <v>9.2973632068282276E-3</v>
      </c>
    </row>
    <row r="3809" spans="1:2">
      <c r="A3809">
        <v>3808</v>
      </c>
      <c r="B3809" s="119">
        <v>0.34263069654016154</v>
      </c>
    </row>
    <row r="3810" spans="1:2">
      <c r="A3810">
        <v>3809</v>
      </c>
      <c r="B3810" s="119">
        <v>0.67596402987349491</v>
      </c>
    </row>
    <row r="3811" spans="1:2">
      <c r="A3811">
        <v>3810</v>
      </c>
      <c r="B3811" s="119">
        <v>0.12040847431793934</v>
      </c>
    </row>
    <row r="3812" spans="1:2">
      <c r="A3812">
        <v>3811</v>
      </c>
      <c r="B3812" s="119">
        <v>0.45374180765127264</v>
      </c>
    </row>
    <row r="3813" spans="1:2">
      <c r="A3813">
        <v>3812</v>
      </c>
      <c r="B3813" s="119">
        <v>0.78707514098460596</v>
      </c>
    </row>
    <row r="3814" spans="1:2">
      <c r="A3814">
        <v>3813</v>
      </c>
      <c r="B3814" s="119">
        <v>0.23151958542905041</v>
      </c>
    </row>
    <row r="3815" spans="1:2">
      <c r="A3815">
        <v>3814</v>
      </c>
      <c r="B3815" s="119">
        <v>0.56485291876238386</v>
      </c>
    </row>
    <row r="3816" spans="1:2">
      <c r="A3816">
        <v>3815</v>
      </c>
      <c r="B3816" s="119">
        <v>0.89818625209571712</v>
      </c>
    </row>
    <row r="3817" spans="1:2">
      <c r="A3817">
        <v>3816</v>
      </c>
      <c r="B3817" s="119">
        <v>4.6334400243865266E-2</v>
      </c>
    </row>
    <row r="3818" spans="1:2">
      <c r="A3818">
        <v>3817</v>
      </c>
      <c r="B3818" s="119">
        <v>0.37966773357719857</v>
      </c>
    </row>
    <row r="3819" spans="1:2">
      <c r="A3819">
        <v>3818</v>
      </c>
      <c r="B3819" s="119">
        <v>0.713001066910532</v>
      </c>
    </row>
    <row r="3820" spans="1:2">
      <c r="A3820">
        <v>3819</v>
      </c>
      <c r="B3820" s="119">
        <v>0.15744551135497634</v>
      </c>
    </row>
    <row r="3821" spans="1:2">
      <c r="A3821">
        <v>3820</v>
      </c>
      <c r="B3821" s="119">
        <v>0.49077884468830968</v>
      </c>
    </row>
    <row r="3822" spans="1:2">
      <c r="A3822">
        <v>3821</v>
      </c>
      <c r="B3822" s="119">
        <v>0.82411217802164294</v>
      </c>
    </row>
    <row r="3823" spans="1:2">
      <c r="A3823">
        <v>3822</v>
      </c>
      <c r="B3823" s="119">
        <v>0.26855662246608747</v>
      </c>
    </row>
    <row r="3824" spans="1:2">
      <c r="A3824">
        <v>3823</v>
      </c>
      <c r="B3824" s="119">
        <v>0.60188995579942084</v>
      </c>
    </row>
    <row r="3825" spans="1:2">
      <c r="A3825">
        <v>3824</v>
      </c>
      <c r="B3825" s="119">
        <v>0.9352232891327541</v>
      </c>
    </row>
    <row r="3826" spans="1:2">
      <c r="A3826">
        <v>3825</v>
      </c>
      <c r="B3826" s="119">
        <v>8.3371437280902308E-2</v>
      </c>
    </row>
    <row r="3827" spans="1:2">
      <c r="A3827">
        <v>3826</v>
      </c>
      <c r="B3827" s="119">
        <v>0.41670477061423561</v>
      </c>
    </row>
    <row r="3828" spans="1:2">
      <c r="A3828">
        <v>3827</v>
      </c>
      <c r="B3828" s="119">
        <v>0.75003810394756898</v>
      </c>
    </row>
    <row r="3829" spans="1:2">
      <c r="A3829">
        <v>3828</v>
      </c>
      <c r="B3829" s="119">
        <v>0.19448254839201337</v>
      </c>
    </row>
    <row r="3830" spans="1:2">
      <c r="A3830">
        <v>3829</v>
      </c>
      <c r="B3830" s="119">
        <v>0.52781588172534677</v>
      </c>
    </row>
    <row r="3831" spans="1:2">
      <c r="A3831">
        <v>3830</v>
      </c>
      <c r="B3831" s="119">
        <v>0.86114921505868003</v>
      </c>
    </row>
    <row r="3832" spans="1:2">
      <c r="A3832">
        <v>3831</v>
      </c>
      <c r="B3832" s="119">
        <v>0.3055936595031245</v>
      </c>
    </row>
    <row r="3833" spans="1:2">
      <c r="A3833">
        <v>3832</v>
      </c>
      <c r="B3833" s="119">
        <v>0.63892699283645793</v>
      </c>
    </row>
    <row r="3834" spans="1:2">
      <c r="A3834">
        <v>3833</v>
      </c>
      <c r="B3834" s="119">
        <v>0.97226032616979119</v>
      </c>
    </row>
    <row r="3835" spans="1:2">
      <c r="A3835">
        <v>3834</v>
      </c>
      <c r="B3835" s="119">
        <v>2.1643042219173906E-2</v>
      </c>
    </row>
    <row r="3836" spans="1:2">
      <c r="A3836">
        <v>3835</v>
      </c>
      <c r="B3836" s="119">
        <v>0.35497637555250722</v>
      </c>
    </row>
    <row r="3837" spans="1:2">
      <c r="A3837">
        <v>3836</v>
      </c>
      <c r="B3837" s="119">
        <v>0.68830970888584053</v>
      </c>
    </row>
    <row r="3838" spans="1:2">
      <c r="A3838">
        <v>3837</v>
      </c>
      <c r="B3838" s="119">
        <v>0.13275415333028498</v>
      </c>
    </row>
    <row r="3839" spans="1:2">
      <c r="A3839">
        <v>3838</v>
      </c>
      <c r="B3839" s="119">
        <v>0.46608748666361832</v>
      </c>
    </row>
    <row r="3840" spans="1:2">
      <c r="A3840">
        <v>3839</v>
      </c>
      <c r="B3840" s="119">
        <v>0.79942081999695169</v>
      </c>
    </row>
    <row r="3841" spans="1:2">
      <c r="A3841">
        <v>3840</v>
      </c>
      <c r="B3841" s="119">
        <v>0.24386526444139608</v>
      </c>
    </row>
    <row r="3842" spans="1:2">
      <c r="A3842">
        <v>3841</v>
      </c>
      <c r="B3842" s="119">
        <v>0.57719859777472959</v>
      </c>
    </row>
    <row r="3843" spans="1:2">
      <c r="A3843">
        <v>3842</v>
      </c>
      <c r="B3843" s="119">
        <v>0.91053193110806285</v>
      </c>
    </row>
    <row r="3844" spans="1:2">
      <c r="A3844">
        <v>3843</v>
      </c>
      <c r="B3844" s="119">
        <v>5.8680079256210944E-2</v>
      </c>
    </row>
    <row r="3845" spans="1:2">
      <c r="A3845">
        <v>3844</v>
      </c>
      <c r="B3845" s="119">
        <v>0.39201341258954425</v>
      </c>
    </row>
    <row r="3846" spans="1:2">
      <c r="A3846">
        <v>3845</v>
      </c>
      <c r="B3846" s="119">
        <v>0.72534674592287773</v>
      </c>
    </row>
    <row r="3847" spans="1:2">
      <c r="A3847">
        <v>3846</v>
      </c>
      <c r="B3847" s="119">
        <v>0.16979119036732201</v>
      </c>
    </row>
    <row r="3848" spans="1:2">
      <c r="A3848">
        <v>3847</v>
      </c>
      <c r="B3848" s="119">
        <v>0.50312452370065541</v>
      </c>
    </row>
    <row r="3849" spans="1:2">
      <c r="A3849">
        <v>3848</v>
      </c>
      <c r="B3849" s="119">
        <v>0.83645785703398867</v>
      </c>
    </row>
    <row r="3850" spans="1:2">
      <c r="A3850">
        <v>3849</v>
      </c>
      <c r="B3850" s="119">
        <v>0.28090230147843315</v>
      </c>
    </row>
    <row r="3851" spans="1:2">
      <c r="A3851">
        <v>3850</v>
      </c>
      <c r="B3851" s="119">
        <v>0.61423563481176657</v>
      </c>
    </row>
    <row r="3852" spans="1:2">
      <c r="A3852">
        <v>3851</v>
      </c>
      <c r="B3852" s="119">
        <v>0.94756896814509983</v>
      </c>
    </row>
    <row r="3853" spans="1:2">
      <c r="A3853">
        <v>3852</v>
      </c>
      <c r="B3853" s="119">
        <v>9.5717116293247986E-2</v>
      </c>
    </row>
    <row r="3854" spans="1:2">
      <c r="A3854">
        <v>3853</v>
      </c>
      <c r="B3854" s="119">
        <v>0.42905044962658129</v>
      </c>
    </row>
    <row r="3855" spans="1:2">
      <c r="A3855">
        <v>3854</v>
      </c>
      <c r="B3855" s="119">
        <v>0.76238378295991471</v>
      </c>
    </row>
    <row r="3856" spans="1:2">
      <c r="A3856">
        <v>3855</v>
      </c>
      <c r="B3856" s="119">
        <v>0.20682822740435905</v>
      </c>
    </row>
    <row r="3857" spans="1:2">
      <c r="A3857">
        <v>3856</v>
      </c>
      <c r="B3857" s="119">
        <v>0.54016156073769239</v>
      </c>
    </row>
    <row r="3858" spans="1:2">
      <c r="A3858">
        <v>3857</v>
      </c>
      <c r="B3858" s="119">
        <v>0.87349489407102565</v>
      </c>
    </row>
    <row r="3859" spans="1:2">
      <c r="A3859">
        <v>3858</v>
      </c>
      <c r="B3859" s="119">
        <v>0.31793933851547018</v>
      </c>
    </row>
    <row r="3860" spans="1:2">
      <c r="A3860">
        <v>3859</v>
      </c>
      <c r="B3860" s="119">
        <v>0.65127267184880355</v>
      </c>
    </row>
    <row r="3861" spans="1:2">
      <c r="A3861">
        <v>3860</v>
      </c>
      <c r="B3861" s="119">
        <v>0.98460600518213681</v>
      </c>
    </row>
    <row r="3862" spans="1:2">
      <c r="A3862">
        <v>3861</v>
      </c>
      <c r="B3862" s="119">
        <v>3.3988721231519588E-2</v>
      </c>
    </row>
    <row r="3863" spans="1:2">
      <c r="A3863">
        <v>3862</v>
      </c>
      <c r="B3863" s="119">
        <v>0.3673220545648529</v>
      </c>
    </row>
    <row r="3864" spans="1:2">
      <c r="A3864">
        <v>3863</v>
      </c>
      <c r="B3864" s="119">
        <v>0.70065538789818627</v>
      </c>
    </row>
    <row r="3865" spans="1:2">
      <c r="A3865">
        <v>3864</v>
      </c>
      <c r="B3865" s="119">
        <v>0.14509983234263066</v>
      </c>
    </row>
    <row r="3866" spans="1:2">
      <c r="A3866">
        <v>3865</v>
      </c>
      <c r="B3866" s="119">
        <v>0.478433165675964</v>
      </c>
    </row>
    <row r="3867" spans="1:2">
      <c r="A3867">
        <v>3866</v>
      </c>
      <c r="B3867" s="119">
        <v>0.81176649900929732</v>
      </c>
    </row>
    <row r="3868" spans="1:2">
      <c r="A3868">
        <v>3867</v>
      </c>
      <c r="B3868" s="119">
        <v>0.25621094345374179</v>
      </c>
    </row>
    <row r="3869" spans="1:2">
      <c r="A3869">
        <v>3868</v>
      </c>
      <c r="B3869" s="119">
        <v>0.58954427678707522</v>
      </c>
    </row>
    <row r="3870" spans="1:2">
      <c r="A3870">
        <v>3869</v>
      </c>
      <c r="B3870" s="119">
        <v>0.92287761012040848</v>
      </c>
    </row>
    <row r="3871" spans="1:2">
      <c r="A3871">
        <v>3870</v>
      </c>
      <c r="B3871" s="119">
        <v>7.102575826855663E-2</v>
      </c>
    </row>
    <row r="3872" spans="1:2">
      <c r="A3872">
        <v>3871</v>
      </c>
      <c r="B3872" s="119">
        <v>0.40435909160188993</v>
      </c>
    </row>
    <row r="3873" spans="1:2">
      <c r="A3873">
        <v>3872</v>
      </c>
      <c r="B3873" s="119">
        <v>0.73769242493522336</v>
      </c>
    </row>
    <row r="3874" spans="1:2">
      <c r="A3874">
        <v>3873</v>
      </c>
      <c r="B3874" s="119">
        <v>0.18213686937966769</v>
      </c>
    </row>
    <row r="3875" spans="1:2">
      <c r="A3875">
        <v>3874</v>
      </c>
      <c r="B3875" s="119">
        <v>0.51547020271300115</v>
      </c>
    </row>
    <row r="3876" spans="1:2">
      <c r="A3876">
        <v>3875</v>
      </c>
      <c r="B3876" s="119">
        <v>0.84880353604633429</v>
      </c>
    </row>
    <row r="3877" spans="1:2">
      <c r="A3877">
        <v>3876</v>
      </c>
      <c r="B3877" s="119">
        <v>0.29324798049077883</v>
      </c>
    </row>
    <row r="3878" spans="1:2">
      <c r="A3878">
        <v>3877</v>
      </c>
      <c r="B3878" s="119">
        <v>0.6265813138241122</v>
      </c>
    </row>
    <row r="3879" spans="1:2">
      <c r="A3879">
        <v>3878</v>
      </c>
      <c r="B3879" s="119">
        <v>0.95991464715744546</v>
      </c>
    </row>
    <row r="3880" spans="1:2">
      <c r="A3880">
        <v>3879</v>
      </c>
      <c r="B3880" s="119">
        <v>0.10806279530559366</v>
      </c>
    </row>
    <row r="3881" spans="1:2">
      <c r="A3881">
        <v>3880</v>
      </c>
      <c r="B3881" s="119">
        <v>0.44139612863892697</v>
      </c>
    </row>
    <row r="3882" spans="1:2">
      <c r="A3882">
        <v>3881</v>
      </c>
      <c r="B3882" s="119">
        <v>0.77472946197226034</v>
      </c>
    </row>
    <row r="3883" spans="1:2">
      <c r="A3883">
        <v>3882</v>
      </c>
      <c r="B3883" s="119">
        <v>0.21917390641670473</v>
      </c>
    </row>
    <row r="3884" spans="1:2">
      <c r="A3884">
        <v>3883</v>
      </c>
      <c r="B3884" s="119">
        <v>0.55250723975003813</v>
      </c>
    </row>
    <row r="3885" spans="1:2">
      <c r="A3885">
        <v>3884</v>
      </c>
      <c r="B3885" s="119">
        <v>0.88584057308337139</v>
      </c>
    </row>
    <row r="3886" spans="1:2">
      <c r="A3886">
        <v>3885</v>
      </c>
      <c r="B3886" s="119">
        <v>0.33028501752781586</v>
      </c>
    </row>
    <row r="3887" spans="1:2">
      <c r="A3887">
        <v>3886</v>
      </c>
      <c r="B3887" s="119">
        <v>0.66361835086114929</v>
      </c>
    </row>
    <row r="3888" spans="1:2">
      <c r="A3888">
        <v>3887</v>
      </c>
      <c r="B3888" s="119">
        <v>0.99695168419448255</v>
      </c>
    </row>
    <row r="3889" spans="1:2">
      <c r="A3889">
        <v>3888</v>
      </c>
      <c r="B3889" s="119">
        <v>2.4386526444139609E-3</v>
      </c>
    </row>
    <row r="3890" spans="1:2">
      <c r="A3890">
        <v>3889</v>
      </c>
      <c r="B3890" s="119">
        <v>0.33577198597774727</v>
      </c>
    </row>
    <row r="3891" spans="1:2">
      <c r="A3891">
        <v>3890</v>
      </c>
      <c r="B3891" s="119">
        <v>0.66910531931108064</v>
      </c>
    </row>
    <row r="3892" spans="1:2">
      <c r="A3892">
        <v>3891</v>
      </c>
      <c r="B3892" s="119">
        <v>0.11354976375552507</v>
      </c>
    </row>
    <row r="3893" spans="1:2">
      <c r="A3893">
        <v>3892</v>
      </c>
      <c r="B3893" s="119">
        <v>0.44688309708885837</v>
      </c>
    </row>
    <row r="3894" spans="1:2">
      <c r="A3894">
        <v>3893</v>
      </c>
      <c r="B3894" s="119">
        <v>0.78021643042219169</v>
      </c>
    </row>
    <row r="3895" spans="1:2">
      <c r="A3895">
        <v>3894</v>
      </c>
      <c r="B3895" s="119">
        <v>0.22466087486663616</v>
      </c>
    </row>
    <row r="3896" spans="1:2">
      <c r="A3896">
        <v>3895</v>
      </c>
      <c r="B3896" s="119">
        <v>0.55799420819996959</v>
      </c>
    </row>
    <row r="3897" spans="1:2">
      <c r="A3897">
        <v>3896</v>
      </c>
      <c r="B3897" s="119">
        <v>0.89132754153330285</v>
      </c>
    </row>
    <row r="3898" spans="1:2">
      <c r="A3898">
        <v>3897</v>
      </c>
      <c r="B3898" s="119">
        <v>3.9475689681450994E-2</v>
      </c>
    </row>
    <row r="3899" spans="1:2">
      <c r="A3899">
        <v>3898</v>
      </c>
      <c r="B3899" s="119">
        <v>0.3728090230147843</v>
      </c>
    </row>
    <row r="3900" spans="1:2">
      <c r="A3900">
        <v>3899</v>
      </c>
      <c r="B3900" s="119">
        <v>0.70614235634811773</v>
      </c>
    </row>
    <row r="3901" spans="1:2">
      <c r="A3901">
        <v>3900</v>
      </c>
      <c r="B3901" s="119">
        <v>0.15058680079256209</v>
      </c>
    </row>
    <row r="3902" spans="1:2">
      <c r="A3902">
        <v>3901</v>
      </c>
      <c r="B3902" s="119">
        <v>0.48392013412589541</v>
      </c>
    </row>
    <row r="3903" spans="1:2">
      <c r="A3903">
        <v>3902</v>
      </c>
      <c r="B3903" s="119">
        <v>0.81725346745922867</v>
      </c>
    </row>
    <row r="3904" spans="1:2">
      <c r="A3904">
        <v>3903</v>
      </c>
      <c r="B3904" s="119">
        <v>0.2616979119036732</v>
      </c>
    </row>
    <row r="3905" spans="1:2">
      <c r="A3905">
        <v>3904</v>
      </c>
      <c r="B3905" s="119">
        <v>0.59503124523700657</v>
      </c>
    </row>
    <row r="3906" spans="1:2">
      <c r="A3906">
        <v>3905</v>
      </c>
      <c r="B3906" s="119">
        <v>0.92836457857033983</v>
      </c>
    </row>
    <row r="3907" spans="1:2">
      <c r="A3907">
        <v>3906</v>
      </c>
      <c r="B3907" s="119">
        <v>7.6512726718488036E-2</v>
      </c>
    </row>
    <row r="3908" spans="1:2">
      <c r="A3908">
        <v>3907</v>
      </c>
      <c r="B3908" s="119">
        <v>0.40984606005182134</v>
      </c>
    </row>
    <row r="3909" spans="1:2">
      <c r="A3909">
        <v>3908</v>
      </c>
      <c r="B3909" s="119">
        <v>0.74317939338515471</v>
      </c>
    </row>
    <row r="3910" spans="1:2">
      <c r="A3910">
        <v>3909</v>
      </c>
      <c r="B3910" s="119">
        <v>0.18762383782959913</v>
      </c>
    </row>
    <row r="3911" spans="1:2">
      <c r="A3911">
        <v>3910</v>
      </c>
      <c r="B3911" s="119">
        <v>0.5209571711629325</v>
      </c>
    </row>
    <row r="3912" spans="1:2">
      <c r="A3912">
        <v>3911</v>
      </c>
      <c r="B3912" s="119">
        <v>0.85429050449626576</v>
      </c>
    </row>
    <row r="3913" spans="1:2">
      <c r="A3913">
        <v>3912</v>
      </c>
      <c r="B3913" s="119">
        <v>0.29873494894071023</v>
      </c>
    </row>
    <row r="3914" spans="1:2">
      <c r="A3914">
        <v>3913</v>
      </c>
      <c r="B3914" s="119">
        <v>0.63206828227404366</v>
      </c>
    </row>
    <row r="3915" spans="1:2">
      <c r="A3915">
        <v>3914</v>
      </c>
      <c r="B3915" s="119">
        <v>0.96540161560737692</v>
      </c>
    </row>
    <row r="3916" spans="1:2">
      <c r="A3916">
        <v>3915</v>
      </c>
      <c r="B3916" s="119">
        <v>1.4784331656759639E-2</v>
      </c>
    </row>
    <row r="3917" spans="1:2">
      <c r="A3917">
        <v>3916</v>
      </c>
      <c r="B3917" s="119">
        <v>0.34811766499009295</v>
      </c>
    </row>
    <row r="3918" spans="1:2">
      <c r="A3918">
        <v>3917</v>
      </c>
      <c r="B3918" s="119">
        <v>0.68145099832342626</v>
      </c>
    </row>
    <row r="3919" spans="1:2">
      <c r="A3919">
        <v>3918</v>
      </c>
      <c r="B3919" s="119">
        <v>0.12589544276787074</v>
      </c>
    </row>
    <row r="3920" spans="1:2">
      <c r="A3920">
        <v>3919</v>
      </c>
      <c r="B3920" s="119">
        <v>0.45922877610120405</v>
      </c>
    </row>
    <row r="3921" spans="1:2">
      <c r="A3921">
        <v>3920</v>
      </c>
      <c r="B3921" s="119">
        <v>0.79256210943453742</v>
      </c>
    </row>
    <row r="3922" spans="1:2">
      <c r="A3922">
        <v>3921</v>
      </c>
      <c r="B3922" s="119">
        <v>0.23700655387898184</v>
      </c>
    </row>
    <row r="3923" spans="1:2">
      <c r="A3923">
        <v>3922</v>
      </c>
      <c r="B3923" s="119">
        <v>0.57033988721231532</v>
      </c>
    </row>
    <row r="3924" spans="1:2">
      <c r="A3924">
        <v>3923</v>
      </c>
      <c r="B3924" s="119">
        <v>0.90367322054564858</v>
      </c>
    </row>
    <row r="3925" spans="1:2">
      <c r="A3925">
        <v>3924</v>
      </c>
      <c r="B3925" s="119">
        <v>5.1821368693796672E-2</v>
      </c>
    </row>
    <row r="3926" spans="1:2">
      <c r="A3926">
        <v>3925</v>
      </c>
      <c r="B3926" s="119">
        <v>0.38515470202712998</v>
      </c>
    </row>
    <row r="3927" spans="1:2">
      <c r="A3927">
        <v>3926</v>
      </c>
      <c r="B3927" s="119">
        <v>0.71848803536046346</v>
      </c>
    </row>
    <row r="3928" spans="1:2">
      <c r="A3928">
        <v>3927</v>
      </c>
      <c r="B3928" s="119">
        <v>0.16293247980490777</v>
      </c>
    </row>
    <row r="3929" spans="1:2">
      <c r="A3929">
        <v>3928</v>
      </c>
      <c r="B3929" s="119">
        <v>0.49626581313824109</v>
      </c>
    </row>
    <row r="3930" spans="1:2">
      <c r="A3930">
        <v>3929</v>
      </c>
      <c r="B3930" s="119">
        <v>0.8295991464715744</v>
      </c>
    </row>
    <row r="3931" spans="1:2">
      <c r="A3931">
        <v>3930</v>
      </c>
      <c r="B3931" s="119">
        <v>0.27404359091601888</v>
      </c>
    </row>
    <row r="3932" spans="1:2">
      <c r="A3932">
        <v>3931</v>
      </c>
      <c r="B3932" s="119">
        <v>0.6073769242493523</v>
      </c>
    </row>
    <row r="3933" spans="1:2">
      <c r="A3933">
        <v>3932</v>
      </c>
      <c r="B3933" s="119">
        <v>0.94071025758268556</v>
      </c>
    </row>
    <row r="3934" spans="1:2">
      <c r="A3934">
        <v>3933</v>
      </c>
      <c r="B3934" s="119">
        <v>8.8858405730833714E-2</v>
      </c>
    </row>
    <row r="3935" spans="1:2">
      <c r="A3935">
        <v>3934</v>
      </c>
      <c r="B3935" s="119">
        <v>0.42219173906416702</v>
      </c>
    </row>
    <row r="3936" spans="1:2">
      <c r="A3936">
        <v>3935</v>
      </c>
      <c r="B3936" s="119">
        <v>0.75552507239750044</v>
      </c>
    </row>
    <row r="3937" spans="1:2">
      <c r="A3937">
        <v>3936</v>
      </c>
      <c r="B3937" s="119">
        <v>0.19996951684194481</v>
      </c>
    </row>
    <row r="3938" spans="1:2">
      <c r="A3938">
        <v>3937</v>
      </c>
      <c r="B3938" s="119">
        <v>0.53330285017527812</v>
      </c>
    </row>
    <row r="3939" spans="1:2">
      <c r="A3939">
        <v>3938</v>
      </c>
      <c r="B3939" s="119">
        <v>0.86663618350861138</v>
      </c>
    </row>
    <row r="3940" spans="1:2">
      <c r="A3940">
        <v>3939</v>
      </c>
      <c r="B3940" s="119">
        <v>0.31108062795305591</v>
      </c>
    </row>
    <row r="3941" spans="1:2">
      <c r="A3941">
        <v>3940</v>
      </c>
      <c r="B3941" s="119">
        <v>0.64441396128638928</v>
      </c>
    </row>
    <row r="3942" spans="1:2">
      <c r="A3942">
        <v>3941</v>
      </c>
      <c r="B3942" s="119">
        <v>0.97774729461972254</v>
      </c>
    </row>
    <row r="3943" spans="1:2">
      <c r="A3943">
        <v>3942</v>
      </c>
      <c r="B3943" s="119">
        <v>2.7130010669105316E-2</v>
      </c>
    </row>
    <row r="3944" spans="1:2">
      <c r="A3944">
        <v>3943</v>
      </c>
      <c r="B3944" s="119">
        <v>0.36046334400243862</v>
      </c>
    </row>
    <row r="3945" spans="1:2">
      <c r="A3945">
        <v>3944</v>
      </c>
      <c r="B3945" s="119">
        <v>0.69379667733577199</v>
      </c>
    </row>
    <row r="3946" spans="1:2">
      <c r="A3946">
        <v>3945</v>
      </c>
      <c r="B3946" s="119">
        <v>0.13824112178021641</v>
      </c>
    </row>
    <row r="3947" spans="1:2">
      <c r="A3947">
        <v>3946</v>
      </c>
      <c r="B3947" s="119">
        <v>0.47157445511354973</v>
      </c>
    </row>
    <row r="3948" spans="1:2">
      <c r="A3948">
        <v>3947</v>
      </c>
      <c r="B3948" s="119">
        <v>0.80490778844688304</v>
      </c>
    </row>
    <row r="3949" spans="1:2">
      <c r="A3949">
        <v>3948</v>
      </c>
      <c r="B3949" s="119">
        <v>0.24935223289132752</v>
      </c>
    </row>
    <row r="3950" spans="1:2">
      <c r="A3950">
        <v>3949</v>
      </c>
      <c r="B3950" s="119">
        <v>0.58268556622466094</v>
      </c>
    </row>
    <row r="3951" spans="1:2">
      <c r="A3951">
        <v>3950</v>
      </c>
      <c r="B3951" s="119">
        <v>0.9160188995579942</v>
      </c>
    </row>
    <row r="3952" spans="1:2">
      <c r="A3952">
        <v>3951</v>
      </c>
      <c r="B3952" s="119">
        <v>6.4167047706142358E-2</v>
      </c>
    </row>
    <row r="3953" spans="1:2">
      <c r="A3953">
        <v>3952</v>
      </c>
      <c r="B3953" s="119">
        <v>0.39750038103947566</v>
      </c>
    </row>
    <row r="3954" spans="1:2">
      <c r="A3954">
        <v>3953</v>
      </c>
      <c r="B3954" s="119">
        <v>0.73083371437280908</v>
      </c>
    </row>
    <row r="3955" spans="1:2">
      <c r="A3955">
        <v>3954</v>
      </c>
      <c r="B3955" s="119">
        <v>0.17527815881725345</v>
      </c>
    </row>
    <row r="3956" spans="1:2">
      <c r="A3956">
        <v>3955</v>
      </c>
      <c r="B3956" s="119">
        <v>0.50861149215058687</v>
      </c>
    </row>
    <row r="3957" spans="1:2">
      <c r="A3957">
        <v>3956</v>
      </c>
      <c r="B3957" s="119">
        <v>0.84194482548392002</v>
      </c>
    </row>
    <row r="3958" spans="1:2">
      <c r="A3958">
        <v>3957</v>
      </c>
      <c r="B3958" s="119">
        <v>0.28638926992836455</v>
      </c>
    </row>
    <row r="3959" spans="1:2">
      <c r="A3959">
        <v>3958</v>
      </c>
      <c r="B3959" s="119">
        <v>0.61972260326169792</v>
      </c>
    </row>
    <row r="3960" spans="1:2">
      <c r="A3960">
        <v>3959</v>
      </c>
      <c r="B3960" s="119">
        <v>0.95305593659503118</v>
      </c>
    </row>
    <row r="3961" spans="1:2">
      <c r="A3961">
        <v>3960</v>
      </c>
      <c r="B3961" s="119">
        <v>0.10120408474317939</v>
      </c>
    </row>
    <row r="3962" spans="1:2">
      <c r="A3962">
        <v>3961</v>
      </c>
      <c r="B3962" s="119">
        <v>0.43453741807651269</v>
      </c>
    </row>
    <row r="3963" spans="1:2">
      <c r="A3963">
        <v>3962</v>
      </c>
      <c r="B3963" s="119">
        <v>0.76787075140984606</v>
      </c>
    </row>
    <row r="3964" spans="1:2">
      <c r="A3964">
        <v>3963</v>
      </c>
      <c r="B3964" s="119">
        <v>0.21231519585429048</v>
      </c>
    </row>
    <row r="3965" spans="1:2">
      <c r="A3965">
        <v>3964</v>
      </c>
      <c r="B3965" s="119">
        <v>0.54564852918762385</v>
      </c>
    </row>
    <row r="3966" spans="1:2">
      <c r="A3966">
        <v>3965</v>
      </c>
      <c r="B3966" s="119">
        <v>0.87898186252095711</v>
      </c>
    </row>
    <row r="3967" spans="1:2">
      <c r="A3967">
        <v>3966</v>
      </c>
      <c r="B3967" s="119">
        <v>0.32342630696540159</v>
      </c>
    </row>
    <row r="3968" spans="1:2">
      <c r="A3968">
        <v>3967</v>
      </c>
      <c r="B3968" s="119">
        <v>0.65675964029873501</v>
      </c>
    </row>
    <row r="3969" spans="1:2">
      <c r="A3969">
        <v>3968</v>
      </c>
      <c r="B3969" s="119">
        <v>0.99009297363206827</v>
      </c>
    </row>
    <row r="3970" spans="1:2">
      <c r="A3970">
        <v>3969</v>
      </c>
      <c r="B3970" s="119">
        <v>6.5538789818625218E-3</v>
      </c>
    </row>
    <row r="3971" spans="1:2">
      <c r="A3971">
        <v>3970</v>
      </c>
      <c r="B3971" s="119">
        <v>0.33988721231519581</v>
      </c>
    </row>
    <row r="3972" spans="1:2">
      <c r="A3972">
        <v>3971</v>
      </c>
      <c r="B3972" s="119">
        <v>0.67322054564852918</v>
      </c>
    </row>
    <row r="3973" spans="1:2">
      <c r="A3973">
        <v>3972</v>
      </c>
      <c r="B3973" s="119">
        <v>0.11766499009297363</v>
      </c>
    </row>
    <row r="3974" spans="1:2">
      <c r="A3974">
        <v>3973</v>
      </c>
      <c r="B3974" s="119">
        <v>0.45099832342630691</v>
      </c>
    </row>
    <row r="3975" spans="1:2">
      <c r="A3975">
        <v>3974</v>
      </c>
      <c r="B3975" s="119">
        <v>0.78433165675964023</v>
      </c>
    </row>
    <row r="3976" spans="1:2">
      <c r="A3976">
        <v>3975</v>
      </c>
      <c r="B3976" s="119">
        <v>0.22877610120408473</v>
      </c>
    </row>
    <row r="3977" spans="1:2">
      <c r="A3977">
        <v>3976</v>
      </c>
      <c r="B3977" s="119">
        <v>0.56210943453741813</v>
      </c>
    </row>
    <row r="3978" spans="1:2">
      <c r="A3978">
        <v>3977</v>
      </c>
      <c r="B3978" s="119">
        <v>0.89544276787075139</v>
      </c>
    </row>
    <row r="3979" spans="1:2">
      <c r="A3979">
        <v>3978</v>
      </c>
      <c r="B3979" s="119">
        <v>4.3590916018899556E-2</v>
      </c>
    </row>
    <row r="3980" spans="1:2">
      <c r="A3980">
        <v>3979</v>
      </c>
      <c r="B3980" s="119">
        <v>0.37692424935223284</v>
      </c>
    </row>
    <row r="3981" spans="1:2">
      <c r="A3981">
        <v>3980</v>
      </c>
      <c r="B3981" s="119">
        <v>0.71025758268556627</v>
      </c>
    </row>
    <row r="3982" spans="1:2">
      <c r="A3982">
        <v>3981</v>
      </c>
      <c r="B3982" s="119">
        <v>0.15470202713001066</v>
      </c>
    </row>
    <row r="3983" spans="1:2">
      <c r="A3983">
        <v>3982</v>
      </c>
      <c r="B3983" s="119">
        <v>0.48803536046334395</v>
      </c>
    </row>
    <row r="3984" spans="1:2">
      <c r="A3984">
        <v>3983</v>
      </c>
      <c r="B3984" s="119">
        <v>0.82136869379667721</v>
      </c>
    </row>
    <row r="3985" spans="1:2">
      <c r="A3985">
        <v>3984</v>
      </c>
      <c r="B3985" s="119">
        <v>0.26581313824112174</v>
      </c>
    </row>
    <row r="3986" spans="1:2">
      <c r="A3986">
        <v>3985</v>
      </c>
      <c r="B3986" s="119">
        <v>0.59914647157445511</v>
      </c>
    </row>
    <row r="3987" spans="1:2">
      <c r="A3987">
        <v>3986</v>
      </c>
      <c r="B3987" s="119">
        <v>0.93247980490778837</v>
      </c>
    </row>
    <row r="3988" spans="1:2">
      <c r="A3988">
        <v>3987</v>
      </c>
      <c r="B3988" s="119">
        <v>8.0627953055936591E-2</v>
      </c>
    </row>
    <row r="3989" spans="1:2">
      <c r="A3989">
        <v>3988</v>
      </c>
      <c r="B3989" s="119">
        <v>0.41396128638926988</v>
      </c>
    </row>
    <row r="3990" spans="1:2">
      <c r="A3990">
        <v>3989</v>
      </c>
      <c r="B3990" s="119">
        <v>0.74729461972260325</v>
      </c>
    </row>
    <row r="3991" spans="1:2">
      <c r="A3991">
        <v>3990</v>
      </c>
      <c r="B3991" s="119">
        <v>0.1917390641670477</v>
      </c>
    </row>
    <row r="3992" spans="1:2">
      <c r="A3992">
        <v>3991</v>
      </c>
      <c r="B3992" s="119">
        <v>0.52507239750038104</v>
      </c>
    </row>
    <row r="3993" spans="1:2">
      <c r="A3993">
        <v>3992</v>
      </c>
      <c r="B3993" s="119">
        <v>0.8584057308337143</v>
      </c>
    </row>
    <row r="3994" spans="1:2">
      <c r="A3994">
        <v>3993</v>
      </c>
      <c r="B3994" s="119">
        <v>0.30285017527815877</v>
      </c>
    </row>
    <row r="3995" spans="1:2">
      <c r="A3995">
        <v>3994</v>
      </c>
      <c r="B3995" s="119">
        <v>0.6361835086114922</v>
      </c>
    </row>
    <row r="3996" spans="1:2">
      <c r="A3996">
        <v>3995</v>
      </c>
      <c r="B3996" s="119">
        <v>0.96951684194482546</v>
      </c>
    </row>
    <row r="3997" spans="1:2">
      <c r="A3997">
        <v>3996</v>
      </c>
      <c r="B3997" s="119">
        <v>1.8899557994208199E-2</v>
      </c>
    </row>
    <row r="3998" spans="1:2">
      <c r="A3998">
        <v>3997</v>
      </c>
      <c r="B3998" s="119">
        <v>0.35223289132754149</v>
      </c>
    </row>
    <row r="3999" spans="1:2">
      <c r="A3999">
        <v>3998</v>
      </c>
      <c r="B3999" s="119">
        <v>0.6855662246608748</v>
      </c>
    </row>
    <row r="4000" spans="1:2">
      <c r="A4000">
        <v>3999</v>
      </c>
      <c r="B4000" s="119">
        <v>0.1300106691053193</v>
      </c>
    </row>
    <row r="4001" spans="1:2">
      <c r="A4001">
        <v>4000</v>
      </c>
      <c r="B4001" s="119">
        <v>0.46334400243865259</v>
      </c>
    </row>
    <row r="4002" spans="1:2">
      <c r="A4002">
        <v>4001</v>
      </c>
      <c r="B4002" s="119">
        <v>0.79667733577198596</v>
      </c>
    </row>
    <row r="4003" spans="1:2">
      <c r="A4003">
        <v>4002</v>
      </c>
      <c r="B4003" s="119">
        <v>0.24112178021643041</v>
      </c>
    </row>
    <row r="4004" spans="1:2">
      <c r="A4004">
        <v>4003</v>
      </c>
      <c r="B4004" s="119">
        <v>0.57445511354976386</v>
      </c>
    </row>
    <row r="4005" spans="1:2">
      <c r="A4005">
        <v>4004</v>
      </c>
      <c r="B4005" s="119">
        <v>0.90778844688309712</v>
      </c>
    </row>
    <row r="4006" spans="1:2">
      <c r="A4006">
        <v>4005</v>
      </c>
      <c r="B4006" s="119">
        <v>5.5936595031245234E-2</v>
      </c>
    </row>
    <row r="4007" spans="1:2">
      <c r="A4007">
        <v>4006</v>
      </c>
      <c r="B4007" s="119">
        <v>0.38926992836457852</v>
      </c>
    </row>
    <row r="4008" spans="1:2">
      <c r="A4008">
        <v>4007</v>
      </c>
      <c r="B4008" s="119">
        <v>0.722603261697912</v>
      </c>
    </row>
    <row r="4009" spans="1:2">
      <c r="A4009">
        <v>4008</v>
      </c>
      <c r="B4009" s="119">
        <v>0.16704770614235634</v>
      </c>
    </row>
    <row r="4010" spans="1:2">
      <c r="A4010">
        <v>4009</v>
      </c>
      <c r="B4010" s="119">
        <v>0.50038103947568968</v>
      </c>
    </row>
    <row r="4011" spans="1:2">
      <c r="A4011">
        <v>4010</v>
      </c>
      <c r="B4011" s="119">
        <v>0.83371437280902294</v>
      </c>
    </row>
    <row r="4012" spans="1:2">
      <c r="A4012">
        <v>4011</v>
      </c>
      <c r="B4012" s="119">
        <v>0.27815881725346742</v>
      </c>
    </row>
    <row r="4013" spans="1:2">
      <c r="A4013">
        <v>4012</v>
      </c>
      <c r="B4013" s="119">
        <v>0.61149215058680084</v>
      </c>
    </row>
    <row r="4014" spans="1:2">
      <c r="A4014">
        <v>4013</v>
      </c>
      <c r="B4014" s="119">
        <v>0.9448254839201341</v>
      </c>
    </row>
    <row r="4015" spans="1:2">
      <c r="A4015">
        <v>4014</v>
      </c>
      <c r="B4015" s="119">
        <v>9.2973632068282269E-2</v>
      </c>
    </row>
    <row r="4016" spans="1:2">
      <c r="A4016">
        <v>4015</v>
      </c>
      <c r="B4016" s="119">
        <v>0.42630696540161556</v>
      </c>
    </row>
    <row r="4017" spans="1:2">
      <c r="A4017">
        <v>4016</v>
      </c>
      <c r="B4017" s="119">
        <v>0.75964029873494898</v>
      </c>
    </row>
    <row r="4018" spans="1:2">
      <c r="A4018">
        <v>4017</v>
      </c>
      <c r="B4018" s="119">
        <v>0.20408474317939337</v>
      </c>
    </row>
    <row r="4019" spans="1:2">
      <c r="A4019">
        <v>4018</v>
      </c>
      <c r="B4019" s="119">
        <v>0.53741807651272666</v>
      </c>
    </row>
    <row r="4020" spans="1:2">
      <c r="A4020">
        <v>4019</v>
      </c>
      <c r="B4020" s="119">
        <v>0.87075140984605992</v>
      </c>
    </row>
    <row r="4021" spans="1:2">
      <c r="A4021">
        <v>4020</v>
      </c>
      <c r="B4021" s="119">
        <v>0.31519585429050445</v>
      </c>
    </row>
    <row r="4022" spans="1:2">
      <c r="A4022">
        <v>4021</v>
      </c>
      <c r="B4022" s="119">
        <v>0.64852918762383782</v>
      </c>
    </row>
    <row r="4023" spans="1:2">
      <c r="A4023">
        <v>4022</v>
      </c>
      <c r="B4023" s="119">
        <v>0.98186252095717108</v>
      </c>
    </row>
    <row r="4024" spans="1:2">
      <c r="A4024">
        <v>4023</v>
      </c>
      <c r="B4024" s="119">
        <v>3.1245237006553878E-2</v>
      </c>
    </row>
    <row r="4025" spans="1:2">
      <c r="A4025">
        <v>4024</v>
      </c>
      <c r="B4025" s="119">
        <v>0.36457857033988716</v>
      </c>
    </row>
    <row r="4026" spans="1:2">
      <c r="A4026">
        <v>4025</v>
      </c>
      <c r="B4026" s="119">
        <v>0.69791190367322054</v>
      </c>
    </row>
    <row r="4027" spans="1:2">
      <c r="A4027">
        <v>4026</v>
      </c>
      <c r="B4027" s="119">
        <v>0.14235634811766498</v>
      </c>
    </row>
    <row r="4028" spans="1:2">
      <c r="A4028">
        <v>4027</v>
      </c>
      <c r="B4028" s="119">
        <v>0.47568968145099827</v>
      </c>
    </row>
    <row r="4029" spans="1:2">
      <c r="A4029">
        <v>4028</v>
      </c>
      <c r="B4029" s="119">
        <v>0.80902301478433158</v>
      </c>
    </row>
    <row r="4030" spans="1:2">
      <c r="A4030">
        <v>4029</v>
      </c>
      <c r="B4030" s="119">
        <v>0.25346745922877606</v>
      </c>
    </row>
    <row r="4031" spans="1:2">
      <c r="A4031">
        <v>4030</v>
      </c>
      <c r="B4031" s="119">
        <v>0.58680079256210949</v>
      </c>
    </row>
    <row r="4032" spans="1:2">
      <c r="A4032">
        <v>4031</v>
      </c>
      <c r="B4032" s="119">
        <v>0.92013412589544274</v>
      </c>
    </row>
    <row r="4033" spans="1:2">
      <c r="A4033">
        <v>4032</v>
      </c>
      <c r="B4033" s="119">
        <v>6.8282274043590913E-2</v>
      </c>
    </row>
    <row r="4034" spans="1:2">
      <c r="A4034">
        <v>4033</v>
      </c>
      <c r="B4034" s="119">
        <v>0.4016156073769242</v>
      </c>
    </row>
    <row r="4035" spans="1:2">
      <c r="A4035">
        <v>4034</v>
      </c>
      <c r="B4035" s="119">
        <v>0.73494894071025763</v>
      </c>
    </row>
    <row r="4036" spans="1:2">
      <c r="A4036">
        <v>4035</v>
      </c>
      <c r="B4036" s="119">
        <v>0.17939338515470202</v>
      </c>
    </row>
    <row r="4037" spans="1:2">
      <c r="A4037">
        <v>4036</v>
      </c>
      <c r="B4037" s="119">
        <v>0.51272671848803542</v>
      </c>
    </row>
    <row r="4038" spans="1:2">
      <c r="A4038">
        <v>4037</v>
      </c>
      <c r="B4038" s="119">
        <v>0.84606005182136856</v>
      </c>
    </row>
    <row r="4039" spans="1:2">
      <c r="A4039">
        <v>4038</v>
      </c>
      <c r="B4039" s="119">
        <v>0.29050449626581309</v>
      </c>
    </row>
    <row r="4040" spans="1:2">
      <c r="A4040">
        <v>4039</v>
      </c>
      <c r="B4040" s="119">
        <v>0.62383782959914647</v>
      </c>
    </row>
    <row r="4041" spans="1:2">
      <c r="A4041">
        <v>4040</v>
      </c>
      <c r="B4041" s="119">
        <v>0.95717116293247972</v>
      </c>
    </row>
    <row r="4042" spans="1:2">
      <c r="A4042">
        <v>4041</v>
      </c>
      <c r="B4042" s="119">
        <v>0.10531931108062795</v>
      </c>
    </row>
    <row r="4043" spans="1:2">
      <c r="A4043">
        <v>4042</v>
      </c>
      <c r="B4043" s="119">
        <v>0.43865264441396123</v>
      </c>
    </row>
    <row r="4044" spans="1:2">
      <c r="A4044">
        <v>4043</v>
      </c>
      <c r="B4044" s="119">
        <v>0.7719859777472946</v>
      </c>
    </row>
    <row r="4045" spans="1:2">
      <c r="A4045">
        <v>4044</v>
      </c>
      <c r="B4045" s="119">
        <v>0.21643042219173905</v>
      </c>
    </row>
    <row r="4046" spans="1:2">
      <c r="A4046">
        <v>4045</v>
      </c>
      <c r="B4046" s="119">
        <v>0.5497637555250724</v>
      </c>
    </row>
    <row r="4047" spans="1:2">
      <c r="A4047">
        <v>4046</v>
      </c>
      <c r="B4047" s="119">
        <v>0.88309708885840565</v>
      </c>
    </row>
    <row r="4048" spans="1:2">
      <c r="A4048">
        <v>4047</v>
      </c>
      <c r="B4048" s="119">
        <v>0.32754153330285013</v>
      </c>
    </row>
    <row r="4049" spans="1:2">
      <c r="A4049">
        <v>4048</v>
      </c>
      <c r="B4049" s="119">
        <v>0.66087486663618356</v>
      </c>
    </row>
    <row r="4050" spans="1:2">
      <c r="A4050">
        <v>4049</v>
      </c>
      <c r="B4050" s="119">
        <v>0.99420819996951681</v>
      </c>
    </row>
    <row r="4051" spans="1:2">
      <c r="A4051">
        <v>4050</v>
      </c>
      <c r="B4051" s="119">
        <v>1.0669105319311081E-2</v>
      </c>
    </row>
    <row r="4052" spans="1:2">
      <c r="A4052">
        <v>4051</v>
      </c>
      <c r="B4052" s="119">
        <v>0.3440024386526444</v>
      </c>
    </row>
    <row r="4053" spans="1:2">
      <c r="A4053">
        <v>4052</v>
      </c>
      <c r="B4053" s="119">
        <v>0.67733577198597772</v>
      </c>
    </row>
    <row r="4054" spans="1:2">
      <c r="A4054">
        <v>4053</v>
      </c>
      <c r="B4054" s="119">
        <v>0.12178021643042219</v>
      </c>
    </row>
    <row r="4055" spans="1:2">
      <c r="A4055">
        <v>4054</v>
      </c>
      <c r="B4055" s="119">
        <v>0.45511354976375551</v>
      </c>
    </row>
    <row r="4056" spans="1:2">
      <c r="A4056">
        <v>4055</v>
      </c>
      <c r="B4056" s="119">
        <v>0.78844688309708877</v>
      </c>
    </row>
    <row r="4057" spans="1:2">
      <c r="A4057">
        <v>4056</v>
      </c>
      <c r="B4057" s="119">
        <v>0.23289132754153327</v>
      </c>
    </row>
    <row r="4058" spans="1:2">
      <c r="A4058">
        <v>4057</v>
      </c>
      <c r="B4058" s="119">
        <v>0.56622466087486667</v>
      </c>
    </row>
    <row r="4059" spans="1:2">
      <c r="A4059">
        <v>4058</v>
      </c>
      <c r="B4059" s="119">
        <v>0.89955799420819993</v>
      </c>
    </row>
    <row r="4060" spans="1:2">
      <c r="A4060">
        <v>4059</v>
      </c>
      <c r="B4060" s="119">
        <v>4.7706142356348118E-2</v>
      </c>
    </row>
    <row r="4061" spans="1:2">
      <c r="A4061">
        <v>4060</v>
      </c>
      <c r="B4061" s="119">
        <v>0.38103947568968144</v>
      </c>
    </row>
    <row r="4062" spans="1:2">
      <c r="A4062">
        <v>4061</v>
      </c>
      <c r="B4062" s="119">
        <v>0.71437280902301481</v>
      </c>
    </row>
    <row r="4063" spans="1:2">
      <c r="A4063">
        <v>4062</v>
      </c>
      <c r="B4063" s="119">
        <v>0.1588172534674592</v>
      </c>
    </row>
    <row r="4064" spans="1:2">
      <c r="A4064">
        <v>4063</v>
      </c>
      <c r="B4064" s="119">
        <v>0.49215058680079254</v>
      </c>
    </row>
    <row r="4065" spans="1:2">
      <c r="A4065">
        <v>4064</v>
      </c>
      <c r="B4065" s="119">
        <v>0.82548392013412575</v>
      </c>
    </row>
    <row r="4066" spans="1:2">
      <c r="A4066">
        <v>4065</v>
      </c>
      <c r="B4066" s="119">
        <v>0.26992836457857033</v>
      </c>
    </row>
    <row r="4067" spans="1:2">
      <c r="A4067">
        <v>4066</v>
      </c>
      <c r="B4067" s="119">
        <v>0.60326169791190365</v>
      </c>
    </row>
    <row r="4068" spans="1:2">
      <c r="A4068">
        <v>4067</v>
      </c>
      <c r="B4068" s="119">
        <v>0.93659503124523691</v>
      </c>
    </row>
    <row r="4069" spans="1:2">
      <c r="A4069">
        <v>4068</v>
      </c>
      <c r="B4069" s="119">
        <v>8.474317939338516E-2</v>
      </c>
    </row>
    <row r="4070" spans="1:2">
      <c r="A4070">
        <v>4069</v>
      </c>
      <c r="B4070" s="119">
        <v>0.41807651272671847</v>
      </c>
    </row>
    <row r="4071" spans="1:2">
      <c r="A4071">
        <v>4070</v>
      </c>
      <c r="B4071" s="119">
        <v>0.75140984606005179</v>
      </c>
    </row>
    <row r="4072" spans="1:2">
      <c r="A4072">
        <v>4071</v>
      </c>
      <c r="B4072" s="119">
        <v>0.19585429050449624</v>
      </c>
    </row>
    <row r="4073" spans="1:2">
      <c r="A4073">
        <v>4072</v>
      </c>
      <c r="B4073" s="119">
        <v>0.52918762383782958</v>
      </c>
    </row>
    <row r="4074" spans="1:2">
      <c r="A4074">
        <v>4073</v>
      </c>
      <c r="B4074" s="119">
        <v>0.86252095717116284</v>
      </c>
    </row>
    <row r="4075" spans="1:2">
      <c r="A4075">
        <v>4074</v>
      </c>
      <c r="B4075" s="119">
        <v>0.30696540161560737</v>
      </c>
    </row>
    <row r="4076" spans="1:2">
      <c r="A4076">
        <v>4075</v>
      </c>
      <c r="B4076" s="119">
        <v>0.64029873494894074</v>
      </c>
    </row>
    <row r="4077" spans="1:2">
      <c r="A4077">
        <v>4076</v>
      </c>
      <c r="B4077" s="119">
        <v>0.973632068282274</v>
      </c>
    </row>
    <row r="4078" spans="1:2">
      <c r="A4078">
        <v>4077</v>
      </c>
      <c r="B4078" s="119">
        <v>2.3014784331656758E-2</v>
      </c>
    </row>
    <row r="4079" spans="1:2">
      <c r="A4079">
        <v>4078</v>
      </c>
      <c r="B4079" s="119">
        <v>0.35634811766499008</v>
      </c>
    </row>
    <row r="4080" spans="1:2">
      <c r="A4080">
        <v>4079</v>
      </c>
      <c r="B4080" s="119">
        <v>0.68968145099832334</v>
      </c>
    </row>
    <row r="4081" spans="1:2">
      <c r="A4081">
        <v>4080</v>
      </c>
      <c r="B4081" s="119">
        <v>0.13412589544276785</v>
      </c>
    </row>
    <row r="4082" spans="1:2">
      <c r="A4082">
        <v>4081</v>
      </c>
      <c r="B4082" s="119">
        <v>0.46745922877610119</v>
      </c>
    </row>
    <row r="4083" spans="1:2">
      <c r="A4083">
        <v>4082</v>
      </c>
      <c r="B4083" s="119">
        <v>0.8007925621094345</v>
      </c>
    </row>
    <row r="4084" spans="1:2">
      <c r="A4084">
        <v>4083</v>
      </c>
      <c r="B4084" s="119">
        <v>0.24523700655387895</v>
      </c>
    </row>
    <row r="4085" spans="1:2">
      <c r="A4085">
        <v>4084</v>
      </c>
      <c r="B4085" s="119">
        <v>0.5785703398872124</v>
      </c>
    </row>
    <row r="4086" spans="1:2">
      <c r="A4086">
        <v>4085</v>
      </c>
      <c r="B4086" s="119">
        <v>0.91190367322054566</v>
      </c>
    </row>
    <row r="4087" spans="1:2">
      <c r="A4087">
        <v>4086</v>
      </c>
      <c r="B4087" s="119">
        <v>6.0051821368693796E-2</v>
      </c>
    </row>
    <row r="4088" spans="1:2">
      <c r="A4088">
        <v>4087</v>
      </c>
      <c r="B4088" s="119">
        <v>0.39338515470202712</v>
      </c>
    </row>
    <row r="4089" spans="1:2">
      <c r="A4089">
        <v>4088</v>
      </c>
      <c r="B4089" s="119">
        <v>0.72671848803536054</v>
      </c>
    </row>
    <row r="4090" spans="1:2">
      <c r="A4090">
        <v>4089</v>
      </c>
      <c r="B4090" s="119">
        <v>0.17116293247980488</v>
      </c>
    </row>
    <row r="4091" spans="1:2">
      <c r="A4091">
        <v>4090</v>
      </c>
      <c r="B4091" s="119">
        <v>0.50449626581313822</v>
      </c>
    </row>
    <row r="4092" spans="1:2">
      <c r="A4092">
        <v>4091</v>
      </c>
      <c r="B4092" s="119">
        <v>0.83782959914647148</v>
      </c>
    </row>
    <row r="4093" spans="1:2">
      <c r="A4093">
        <v>4092</v>
      </c>
      <c r="B4093" s="119">
        <v>0.28227404359091601</v>
      </c>
    </row>
    <row r="4094" spans="1:2">
      <c r="A4094">
        <v>4093</v>
      </c>
      <c r="B4094" s="119">
        <v>0.61560737692424938</v>
      </c>
    </row>
    <row r="4095" spans="1:2">
      <c r="A4095">
        <v>4094</v>
      </c>
      <c r="B4095" s="119">
        <v>0.94894071025758264</v>
      </c>
    </row>
    <row r="4096" spans="1:2">
      <c r="A4096">
        <v>4095</v>
      </c>
      <c r="B4096" s="119">
        <v>9.7088858405730838E-2</v>
      </c>
    </row>
    <row r="4097" spans="1:2">
      <c r="A4097">
        <v>4096</v>
      </c>
      <c r="B4097" s="119">
        <v>0.43042219173906415</v>
      </c>
    </row>
    <row r="4098" spans="1:2">
      <c r="A4098">
        <v>4097</v>
      </c>
      <c r="B4098" s="119">
        <v>0.76375552507239752</v>
      </c>
    </row>
    <row r="4099" spans="1:2">
      <c r="A4099">
        <v>4098</v>
      </c>
      <c r="B4099" s="119">
        <v>0.20819996951684192</v>
      </c>
    </row>
    <row r="4100" spans="1:2">
      <c r="A4100">
        <v>4099</v>
      </c>
      <c r="B4100" s="119">
        <v>0.5415333028501752</v>
      </c>
    </row>
    <row r="4101" spans="1:2">
      <c r="A4101">
        <v>4100</v>
      </c>
      <c r="B4101" s="119">
        <v>0.87486663618350846</v>
      </c>
    </row>
    <row r="4102" spans="1:2">
      <c r="A4102">
        <v>4101</v>
      </c>
      <c r="B4102" s="119">
        <v>0.31931108062795305</v>
      </c>
    </row>
    <row r="4103" spans="1:2">
      <c r="A4103">
        <v>4102</v>
      </c>
      <c r="B4103" s="119">
        <v>0.65264441396128636</v>
      </c>
    </row>
    <row r="4104" spans="1:2">
      <c r="A4104">
        <v>4103</v>
      </c>
      <c r="B4104" s="119">
        <v>0.98597774729461962</v>
      </c>
    </row>
    <row r="4105" spans="1:2">
      <c r="A4105">
        <v>4104</v>
      </c>
      <c r="B4105" s="119">
        <v>3.5360463344002439E-2</v>
      </c>
    </row>
    <row r="4106" spans="1:2">
      <c r="A4106">
        <v>4105</v>
      </c>
      <c r="B4106" s="119">
        <v>0.36869379667733576</v>
      </c>
    </row>
    <row r="4107" spans="1:2">
      <c r="A4107">
        <v>4106</v>
      </c>
      <c r="B4107" s="119">
        <v>0.70202713001066908</v>
      </c>
    </row>
    <row r="4108" spans="1:2">
      <c r="A4108">
        <v>4107</v>
      </c>
      <c r="B4108" s="119">
        <v>0.14647157445511352</v>
      </c>
    </row>
    <row r="4109" spans="1:2">
      <c r="A4109">
        <v>4108</v>
      </c>
      <c r="B4109" s="119">
        <v>0.47980490778844687</v>
      </c>
    </row>
    <row r="4110" spans="1:2">
      <c r="A4110">
        <v>4109</v>
      </c>
      <c r="B4110" s="119">
        <v>0.81313824112178013</v>
      </c>
    </row>
    <row r="4111" spans="1:2">
      <c r="A4111">
        <v>4110</v>
      </c>
      <c r="B4111" s="119">
        <v>0.25758268556622466</v>
      </c>
    </row>
    <row r="4112" spans="1:2">
      <c r="A4112">
        <v>4111</v>
      </c>
      <c r="B4112" s="119">
        <v>0.59091601889955803</v>
      </c>
    </row>
    <row r="4113" spans="1:2">
      <c r="A4113">
        <v>4112</v>
      </c>
      <c r="B4113" s="119">
        <v>0.92424935223289129</v>
      </c>
    </row>
    <row r="4114" spans="1:2">
      <c r="A4114">
        <v>4113</v>
      </c>
      <c r="B4114" s="119">
        <v>7.2397500381039481E-2</v>
      </c>
    </row>
    <row r="4115" spans="1:2">
      <c r="A4115">
        <v>4114</v>
      </c>
      <c r="B4115" s="119">
        <v>0.4057308337143728</v>
      </c>
    </row>
    <row r="4116" spans="1:2">
      <c r="A4116">
        <v>4115</v>
      </c>
      <c r="B4116" s="119">
        <v>0.73906416704770617</v>
      </c>
    </row>
    <row r="4117" spans="1:2">
      <c r="A4117">
        <v>4116</v>
      </c>
      <c r="B4117" s="119">
        <v>0.18350861149215056</v>
      </c>
    </row>
    <row r="4118" spans="1:2">
      <c r="A4118">
        <v>4117</v>
      </c>
      <c r="B4118" s="119">
        <v>0.51684194482548396</v>
      </c>
    </row>
    <row r="4119" spans="1:2">
      <c r="A4119">
        <v>4118</v>
      </c>
      <c r="B4119" s="119">
        <v>0.8501752781588171</v>
      </c>
    </row>
    <row r="4120" spans="1:2">
      <c r="A4120">
        <v>4119</v>
      </c>
      <c r="B4120" s="119">
        <v>0.29461972260326169</v>
      </c>
    </row>
    <row r="4121" spans="1:2">
      <c r="A4121">
        <v>4120</v>
      </c>
      <c r="B4121" s="119">
        <v>0.62795305593659501</v>
      </c>
    </row>
    <row r="4122" spans="1:2">
      <c r="A4122">
        <v>4121</v>
      </c>
      <c r="B4122" s="119">
        <v>0.96128638926992827</v>
      </c>
    </row>
    <row r="4123" spans="1:2">
      <c r="A4123">
        <v>4122</v>
      </c>
      <c r="B4123" s="119">
        <v>0.10943453741807652</v>
      </c>
    </row>
    <row r="4124" spans="1:2">
      <c r="A4124">
        <v>4123</v>
      </c>
      <c r="B4124" s="119">
        <v>0.44276787075140983</v>
      </c>
    </row>
    <row r="4125" spans="1:2">
      <c r="A4125">
        <v>4124</v>
      </c>
      <c r="B4125" s="119">
        <v>0.77610120408474315</v>
      </c>
    </row>
    <row r="4126" spans="1:2">
      <c r="A4126">
        <v>4125</v>
      </c>
      <c r="B4126" s="119">
        <v>0.22054564852918759</v>
      </c>
    </row>
    <row r="4127" spans="1:2">
      <c r="A4127">
        <v>4126</v>
      </c>
      <c r="B4127" s="119">
        <v>0.55387898186252094</v>
      </c>
    </row>
    <row r="4128" spans="1:2">
      <c r="A4128">
        <v>4127</v>
      </c>
      <c r="B4128" s="119">
        <v>0.8872123151958542</v>
      </c>
    </row>
    <row r="4129" spans="1:2">
      <c r="A4129">
        <v>4128</v>
      </c>
      <c r="B4129" s="119">
        <v>0.33165675964029873</v>
      </c>
    </row>
    <row r="4130" spans="1:2">
      <c r="A4130">
        <v>4129</v>
      </c>
      <c r="B4130" s="119">
        <v>0.6649900929736321</v>
      </c>
    </row>
    <row r="4131" spans="1:2">
      <c r="A4131">
        <v>4130</v>
      </c>
      <c r="B4131" s="119">
        <v>0.99832342630696536</v>
      </c>
    </row>
    <row r="4132" spans="1:2">
      <c r="A4132">
        <v>4131</v>
      </c>
      <c r="B4132" s="119">
        <v>3.8103947568968143E-3</v>
      </c>
    </row>
    <row r="4133" spans="1:2">
      <c r="A4133">
        <v>4132</v>
      </c>
      <c r="B4133" s="119">
        <v>0.33714372809023013</v>
      </c>
    </row>
    <row r="4134" spans="1:2">
      <c r="A4134">
        <v>4133</v>
      </c>
      <c r="B4134" s="119">
        <v>0.67047706142356356</v>
      </c>
    </row>
    <row r="4135" spans="1:2">
      <c r="A4135">
        <v>4134</v>
      </c>
      <c r="B4135" s="119">
        <v>0.11492150586800792</v>
      </c>
    </row>
    <row r="4136" spans="1:2">
      <c r="A4136">
        <v>4135</v>
      </c>
      <c r="B4136" s="119">
        <v>0.44825483920134124</v>
      </c>
    </row>
    <row r="4137" spans="1:2">
      <c r="A4137">
        <v>4136</v>
      </c>
      <c r="B4137" s="119">
        <v>0.78158817253467461</v>
      </c>
    </row>
    <row r="4138" spans="1:2">
      <c r="A4138">
        <v>4137</v>
      </c>
      <c r="B4138" s="119">
        <v>0.226032616979119</v>
      </c>
    </row>
    <row r="4139" spans="1:2">
      <c r="A4139">
        <v>4138</v>
      </c>
      <c r="B4139" s="119">
        <v>0.55936595031245251</v>
      </c>
    </row>
    <row r="4140" spans="1:2">
      <c r="A4140">
        <v>4139</v>
      </c>
      <c r="B4140" s="119">
        <v>0.89269928364578577</v>
      </c>
    </row>
    <row r="4141" spans="1:2">
      <c r="A4141">
        <v>4140</v>
      </c>
      <c r="B4141" s="119">
        <v>4.0847431793933846E-2</v>
      </c>
    </row>
    <row r="4142" spans="1:2">
      <c r="A4142">
        <v>4141</v>
      </c>
      <c r="B4142" s="119">
        <v>0.37418076512726717</v>
      </c>
    </row>
    <row r="4143" spans="1:2">
      <c r="A4143">
        <v>4142</v>
      </c>
      <c r="B4143" s="119">
        <v>0.70751409846060065</v>
      </c>
    </row>
    <row r="4144" spans="1:2">
      <c r="A4144">
        <v>4143</v>
      </c>
      <c r="B4144" s="119">
        <v>0.15195854290504493</v>
      </c>
    </row>
    <row r="4145" spans="1:2">
      <c r="A4145">
        <v>4144</v>
      </c>
      <c r="B4145" s="119">
        <v>0.48529187623837827</v>
      </c>
    </row>
    <row r="4146" spans="1:2">
      <c r="A4146">
        <v>4145</v>
      </c>
      <c r="B4146" s="119">
        <v>0.81862520957171159</v>
      </c>
    </row>
    <row r="4147" spans="1:2">
      <c r="A4147">
        <v>4146</v>
      </c>
      <c r="B4147" s="119">
        <v>0.26306965401615606</v>
      </c>
    </row>
    <row r="4148" spans="1:2">
      <c r="A4148">
        <v>4147</v>
      </c>
      <c r="B4148" s="119">
        <v>0.59640298734948949</v>
      </c>
    </row>
    <row r="4149" spans="1:2">
      <c r="A4149">
        <v>4148</v>
      </c>
      <c r="B4149" s="119">
        <v>0.92973632068282275</v>
      </c>
    </row>
    <row r="4150" spans="1:2">
      <c r="A4150">
        <v>4149</v>
      </c>
      <c r="B4150" s="119">
        <v>7.7884468830970888E-2</v>
      </c>
    </row>
    <row r="4151" spans="1:2">
      <c r="A4151">
        <v>4150</v>
      </c>
      <c r="B4151" s="119">
        <v>0.4112178021643042</v>
      </c>
    </row>
    <row r="4152" spans="1:2">
      <c r="A4152">
        <v>4151</v>
      </c>
      <c r="B4152" s="119">
        <v>0.74455113549763763</v>
      </c>
    </row>
    <row r="4153" spans="1:2">
      <c r="A4153">
        <v>4152</v>
      </c>
      <c r="B4153" s="119">
        <v>0.18899557994208196</v>
      </c>
    </row>
    <row r="4154" spans="1:2">
      <c r="A4154">
        <v>4153</v>
      </c>
      <c r="B4154" s="119">
        <v>0.52232891327541542</v>
      </c>
    </row>
    <row r="4155" spans="1:2">
      <c r="A4155">
        <v>4154</v>
      </c>
      <c r="B4155" s="119">
        <v>0.85566224660874868</v>
      </c>
    </row>
    <row r="4156" spans="1:2">
      <c r="A4156">
        <v>4155</v>
      </c>
      <c r="B4156" s="119">
        <v>0.3001066910531931</v>
      </c>
    </row>
    <row r="4157" spans="1:2">
      <c r="A4157">
        <v>4156</v>
      </c>
      <c r="B4157" s="119">
        <v>0.63344002438652658</v>
      </c>
    </row>
    <row r="4158" spans="1:2">
      <c r="A4158">
        <v>4157</v>
      </c>
      <c r="B4158" s="119">
        <v>0.96677335771985984</v>
      </c>
    </row>
    <row r="4159" spans="1:2">
      <c r="A4159">
        <v>4158</v>
      </c>
      <c r="B4159" s="119">
        <v>1.6156073769242493E-2</v>
      </c>
    </row>
    <row r="4160" spans="1:2">
      <c r="A4160">
        <v>4159</v>
      </c>
      <c r="B4160" s="119">
        <v>0.34948940710257581</v>
      </c>
    </row>
    <row r="4161" spans="1:2">
      <c r="A4161">
        <v>4160</v>
      </c>
      <c r="B4161" s="119">
        <v>0.68282274043590918</v>
      </c>
    </row>
    <row r="4162" spans="1:2">
      <c r="A4162">
        <v>4161</v>
      </c>
      <c r="B4162" s="119">
        <v>0.12726718488035357</v>
      </c>
    </row>
    <row r="4163" spans="1:2">
      <c r="A4163">
        <v>4162</v>
      </c>
      <c r="B4163" s="119">
        <v>0.46060051821368692</v>
      </c>
    </row>
    <row r="4164" spans="1:2">
      <c r="A4164">
        <v>4163</v>
      </c>
      <c r="B4164" s="119">
        <v>0.79393385154702034</v>
      </c>
    </row>
    <row r="4165" spans="1:2">
      <c r="A4165">
        <v>4164</v>
      </c>
      <c r="B4165" s="119">
        <v>0.23837829599146468</v>
      </c>
    </row>
    <row r="4166" spans="1:2">
      <c r="A4166">
        <v>4165</v>
      </c>
      <c r="B4166" s="119">
        <v>0.57171162932479824</v>
      </c>
    </row>
    <row r="4167" spans="1:2">
      <c r="A4167">
        <v>4166</v>
      </c>
      <c r="B4167" s="119">
        <v>0.9050449626581315</v>
      </c>
    </row>
    <row r="4168" spans="1:2">
      <c r="A4168">
        <v>4167</v>
      </c>
      <c r="B4168" s="119">
        <v>5.3193110806279524E-2</v>
      </c>
    </row>
    <row r="4169" spans="1:2">
      <c r="A4169">
        <v>4168</v>
      </c>
      <c r="B4169" s="119">
        <v>0.38652644413961285</v>
      </c>
    </row>
    <row r="4170" spans="1:2">
      <c r="A4170">
        <v>4169</v>
      </c>
      <c r="B4170" s="119">
        <v>0.71985977747294638</v>
      </c>
    </row>
    <row r="4171" spans="1:2">
      <c r="A4171">
        <v>4170</v>
      </c>
      <c r="B4171" s="119">
        <v>0.16430422191739061</v>
      </c>
    </row>
    <row r="4172" spans="1:2">
      <c r="A4172">
        <v>4171</v>
      </c>
      <c r="B4172" s="119">
        <v>0.49763755525072395</v>
      </c>
    </row>
    <row r="4173" spans="1:2">
      <c r="A4173">
        <v>4172</v>
      </c>
      <c r="B4173" s="119">
        <v>0.83097088858405732</v>
      </c>
    </row>
    <row r="4174" spans="1:2">
      <c r="A4174">
        <v>4173</v>
      </c>
      <c r="B4174" s="119">
        <v>0.27541533302850174</v>
      </c>
    </row>
    <row r="4175" spans="1:2">
      <c r="A4175">
        <v>4174</v>
      </c>
      <c r="B4175" s="119">
        <v>0.60874866636183522</v>
      </c>
    </row>
    <row r="4176" spans="1:2">
      <c r="A4176">
        <v>4175</v>
      </c>
      <c r="B4176" s="119">
        <v>0.94208199969516848</v>
      </c>
    </row>
    <row r="4177" spans="1:2">
      <c r="A4177">
        <v>4176</v>
      </c>
      <c r="B4177" s="119">
        <v>9.0230147843316566E-2</v>
      </c>
    </row>
    <row r="4178" spans="1:2">
      <c r="A4178">
        <v>4177</v>
      </c>
      <c r="B4178" s="119">
        <v>0.42356348117664988</v>
      </c>
    </row>
    <row r="4179" spans="1:2">
      <c r="A4179">
        <v>4178</v>
      </c>
      <c r="B4179" s="119">
        <v>0.75689681450998336</v>
      </c>
    </row>
    <row r="4180" spans="1:2">
      <c r="A4180">
        <v>4179</v>
      </c>
      <c r="B4180" s="119">
        <v>0.20134125895442764</v>
      </c>
    </row>
    <row r="4181" spans="1:2">
      <c r="A4181">
        <v>4180</v>
      </c>
      <c r="B4181" s="119">
        <v>0.53467459228776104</v>
      </c>
    </row>
    <row r="4182" spans="1:2">
      <c r="A4182">
        <v>4181</v>
      </c>
      <c r="B4182" s="119">
        <v>0.8680079256210943</v>
      </c>
    </row>
    <row r="4183" spans="1:2">
      <c r="A4183">
        <v>4182</v>
      </c>
      <c r="B4183" s="119">
        <v>0.31245237006553878</v>
      </c>
    </row>
    <row r="4184" spans="1:2">
      <c r="A4184">
        <v>4183</v>
      </c>
      <c r="B4184" s="119">
        <v>0.6457857033988722</v>
      </c>
    </row>
    <row r="4185" spans="1:2">
      <c r="A4185">
        <v>4184</v>
      </c>
      <c r="B4185" s="119">
        <v>0.97911903673220546</v>
      </c>
    </row>
    <row r="4186" spans="1:2">
      <c r="A4186">
        <v>4185</v>
      </c>
      <c r="B4186" s="119">
        <v>2.8501752781588171E-2</v>
      </c>
    </row>
    <row r="4187" spans="1:2">
      <c r="A4187">
        <v>4186</v>
      </c>
      <c r="B4187" s="119">
        <v>0.36183508611492149</v>
      </c>
    </row>
    <row r="4188" spans="1:2">
      <c r="A4188">
        <v>4187</v>
      </c>
      <c r="B4188" s="119">
        <v>0.69516841944825492</v>
      </c>
    </row>
    <row r="4189" spans="1:2">
      <c r="A4189">
        <v>4188</v>
      </c>
      <c r="B4189" s="119">
        <v>0.13961286389269925</v>
      </c>
    </row>
    <row r="4190" spans="1:2">
      <c r="A4190">
        <v>4189</v>
      </c>
      <c r="B4190" s="119">
        <v>0.47294619722603259</v>
      </c>
    </row>
    <row r="4191" spans="1:2">
      <c r="A4191">
        <v>4190</v>
      </c>
      <c r="B4191" s="119">
        <v>0.80627953055936596</v>
      </c>
    </row>
    <row r="4192" spans="1:2">
      <c r="A4192">
        <v>4191</v>
      </c>
      <c r="B4192" s="119">
        <v>0.25072397500381038</v>
      </c>
    </row>
    <row r="4193" spans="1:2">
      <c r="A4193">
        <v>4192</v>
      </c>
      <c r="B4193" s="119">
        <v>0.58405730833714387</v>
      </c>
    </row>
    <row r="4194" spans="1:2">
      <c r="A4194">
        <v>4193</v>
      </c>
      <c r="B4194" s="119">
        <v>0.91739064167047712</v>
      </c>
    </row>
    <row r="4195" spans="1:2">
      <c r="A4195">
        <v>4194</v>
      </c>
      <c r="B4195" s="119">
        <v>6.5538789818625209E-2</v>
      </c>
    </row>
    <row r="4196" spans="1:2">
      <c r="A4196">
        <v>4195</v>
      </c>
      <c r="B4196" s="119">
        <v>0.39887212315195852</v>
      </c>
    </row>
    <row r="4197" spans="1:2">
      <c r="A4197">
        <v>4196</v>
      </c>
      <c r="B4197" s="119">
        <v>0.73220545648529201</v>
      </c>
    </row>
    <row r="4198" spans="1:2">
      <c r="A4198">
        <v>4197</v>
      </c>
      <c r="B4198" s="119">
        <v>0.17664990092973629</v>
      </c>
    </row>
    <row r="4199" spans="1:2">
      <c r="A4199">
        <v>4198</v>
      </c>
      <c r="B4199" s="119">
        <v>0.5099832342630698</v>
      </c>
    </row>
    <row r="4200" spans="1:2">
      <c r="A4200">
        <v>4199</v>
      </c>
      <c r="B4200" s="119">
        <v>0.84331656759640294</v>
      </c>
    </row>
    <row r="4201" spans="1:2">
      <c r="A4201">
        <v>4200</v>
      </c>
      <c r="B4201" s="119">
        <v>0.28776101204084742</v>
      </c>
    </row>
    <row r="4202" spans="1:2">
      <c r="A4202">
        <v>4201</v>
      </c>
      <c r="B4202" s="119">
        <v>0.62109434537418085</v>
      </c>
    </row>
    <row r="4203" spans="1:2">
      <c r="A4203">
        <v>4202</v>
      </c>
      <c r="B4203" s="119">
        <v>0.9544276787075141</v>
      </c>
    </row>
    <row r="4204" spans="1:2">
      <c r="A4204">
        <v>4203</v>
      </c>
      <c r="B4204" s="119">
        <v>0.10257582685566224</v>
      </c>
    </row>
    <row r="4205" spans="1:2">
      <c r="A4205">
        <v>4204</v>
      </c>
      <c r="B4205" s="119">
        <v>0.43590916018899556</v>
      </c>
    </row>
    <row r="4206" spans="1:2">
      <c r="A4206">
        <v>4205</v>
      </c>
      <c r="B4206" s="119">
        <v>0.76924249352232899</v>
      </c>
    </row>
    <row r="4207" spans="1:2">
      <c r="A4207">
        <v>4206</v>
      </c>
      <c r="B4207" s="119">
        <v>0.21368693796677332</v>
      </c>
    </row>
    <row r="4208" spans="1:2">
      <c r="A4208">
        <v>4207</v>
      </c>
      <c r="B4208" s="119">
        <v>0.54702027130010678</v>
      </c>
    </row>
    <row r="4209" spans="1:2">
      <c r="A4209">
        <v>4208</v>
      </c>
      <c r="B4209" s="119">
        <v>0.88035360463344003</v>
      </c>
    </row>
    <row r="4210" spans="1:2">
      <c r="A4210">
        <v>4209</v>
      </c>
      <c r="B4210" s="119">
        <v>0.32479804907788445</v>
      </c>
    </row>
    <row r="4211" spans="1:2">
      <c r="A4211">
        <v>4210</v>
      </c>
      <c r="B4211" s="119">
        <v>0.65813138241121794</v>
      </c>
    </row>
    <row r="4212" spans="1:2">
      <c r="A4212">
        <v>4211</v>
      </c>
      <c r="B4212" s="119">
        <v>0.99146471574455119</v>
      </c>
    </row>
    <row r="4213" spans="1:2">
      <c r="A4213">
        <v>4212</v>
      </c>
      <c r="B4213" s="119">
        <v>7.9256210943453743E-3</v>
      </c>
    </row>
    <row r="4214" spans="1:2">
      <c r="A4214">
        <v>4213</v>
      </c>
      <c r="B4214" s="119">
        <v>0.34125895442767867</v>
      </c>
    </row>
    <row r="4215" spans="1:2">
      <c r="A4215">
        <v>4214</v>
      </c>
      <c r="B4215" s="119">
        <v>0.6745922877610121</v>
      </c>
    </row>
    <row r="4216" spans="1:2">
      <c r="A4216">
        <v>4215</v>
      </c>
      <c r="B4216" s="119">
        <v>0.11903673220545648</v>
      </c>
    </row>
    <row r="4217" spans="1:2">
      <c r="A4217">
        <v>4216</v>
      </c>
      <c r="B4217" s="119">
        <v>0.45237006553878978</v>
      </c>
    </row>
    <row r="4218" spans="1:2">
      <c r="A4218">
        <v>4217</v>
      </c>
      <c r="B4218" s="119">
        <v>0.78570339887212315</v>
      </c>
    </row>
    <row r="4219" spans="1:2">
      <c r="A4219">
        <v>4218</v>
      </c>
      <c r="B4219" s="119">
        <v>0.23014784331656757</v>
      </c>
    </row>
    <row r="4220" spans="1:2">
      <c r="A4220">
        <v>4219</v>
      </c>
      <c r="B4220" s="119">
        <v>0.56348117664990105</v>
      </c>
    </row>
    <row r="4221" spans="1:2">
      <c r="A4221">
        <v>4220</v>
      </c>
      <c r="B4221" s="119">
        <v>0.89681450998323431</v>
      </c>
    </row>
    <row r="4222" spans="1:2">
      <c r="A4222">
        <v>4221</v>
      </c>
      <c r="B4222" s="119">
        <v>4.4962658131382408E-2</v>
      </c>
    </row>
    <row r="4223" spans="1:2">
      <c r="A4223">
        <v>4222</v>
      </c>
      <c r="B4223" s="119">
        <v>0.37829599146471571</v>
      </c>
    </row>
    <row r="4224" spans="1:2">
      <c r="A4224">
        <v>4223</v>
      </c>
      <c r="B4224" s="119">
        <v>0.71162932479804919</v>
      </c>
    </row>
    <row r="4225" spans="1:2">
      <c r="A4225">
        <v>4224</v>
      </c>
      <c r="B4225" s="119">
        <v>0.1560737692424935</v>
      </c>
    </row>
    <row r="4226" spans="1:2">
      <c r="A4226">
        <v>4225</v>
      </c>
      <c r="B4226" s="119">
        <v>0.48940710257582681</v>
      </c>
    </row>
    <row r="4227" spans="1:2">
      <c r="A4227">
        <v>4226</v>
      </c>
      <c r="B4227" s="119">
        <v>0.82274043590916013</v>
      </c>
    </row>
    <row r="4228" spans="1:2">
      <c r="A4228">
        <v>4227</v>
      </c>
      <c r="B4228" s="119">
        <v>0.2671848803536046</v>
      </c>
    </row>
    <row r="4229" spans="1:2">
      <c r="A4229">
        <v>4228</v>
      </c>
      <c r="B4229" s="119">
        <v>0.60051821368693803</v>
      </c>
    </row>
    <row r="4230" spans="1:2">
      <c r="A4230">
        <v>4229</v>
      </c>
      <c r="B4230" s="119">
        <v>0.93385154702027129</v>
      </c>
    </row>
    <row r="4231" spans="1:2">
      <c r="A4231">
        <v>4230</v>
      </c>
      <c r="B4231" s="119">
        <v>8.1999695168419443E-2</v>
      </c>
    </row>
    <row r="4232" spans="1:2">
      <c r="A4232">
        <v>4231</v>
      </c>
      <c r="B4232" s="119">
        <v>0.41533302850175274</v>
      </c>
    </row>
    <row r="4233" spans="1:2">
      <c r="A4233">
        <v>4232</v>
      </c>
      <c r="B4233" s="119">
        <v>0.74866636183508617</v>
      </c>
    </row>
    <row r="4234" spans="1:2">
      <c r="A4234">
        <v>4233</v>
      </c>
      <c r="B4234" s="119">
        <v>0.19311080627953053</v>
      </c>
    </row>
    <row r="4235" spans="1:2">
      <c r="A4235">
        <v>4234</v>
      </c>
      <c r="B4235" s="119">
        <v>0.52644413961286396</v>
      </c>
    </row>
    <row r="4236" spans="1:2">
      <c r="A4236">
        <v>4235</v>
      </c>
      <c r="B4236" s="119">
        <v>0.85977747294619722</v>
      </c>
    </row>
    <row r="4237" spans="1:2">
      <c r="A4237">
        <v>4236</v>
      </c>
      <c r="B4237" s="119">
        <v>0.30422191739064164</v>
      </c>
    </row>
    <row r="4238" spans="1:2">
      <c r="A4238">
        <v>4237</v>
      </c>
      <c r="B4238" s="119">
        <v>0.63755525072397512</v>
      </c>
    </row>
    <row r="4239" spans="1:2">
      <c r="A4239">
        <v>4238</v>
      </c>
      <c r="B4239" s="119">
        <v>0.97088858405730838</v>
      </c>
    </row>
    <row r="4240" spans="1:2">
      <c r="A4240">
        <v>4239</v>
      </c>
      <c r="B4240" s="119">
        <v>2.0271300106691054E-2</v>
      </c>
    </row>
    <row r="4241" spans="1:2">
      <c r="A4241">
        <v>4240</v>
      </c>
      <c r="B4241" s="119">
        <v>0.35360463344002435</v>
      </c>
    </row>
    <row r="4242" spans="1:2">
      <c r="A4242">
        <v>4241</v>
      </c>
      <c r="B4242" s="119">
        <v>0.68693796677335772</v>
      </c>
    </row>
    <row r="4243" spans="1:2">
      <c r="A4243">
        <v>4242</v>
      </c>
      <c r="B4243" s="119">
        <v>0.13138241121780214</v>
      </c>
    </row>
    <row r="4244" spans="1:2">
      <c r="A4244">
        <v>4243</v>
      </c>
      <c r="B4244" s="119">
        <v>0.46471574455113546</v>
      </c>
    </row>
    <row r="4245" spans="1:2">
      <c r="A4245">
        <v>4244</v>
      </c>
      <c r="B4245" s="119">
        <v>0.79804907788446888</v>
      </c>
    </row>
    <row r="4246" spans="1:2">
      <c r="A4246">
        <v>4245</v>
      </c>
      <c r="B4246" s="119">
        <v>0.24249352232891325</v>
      </c>
    </row>
    <row r="4247" spans="1:2">
      <c r="A4247">
        <v>4246</v>
      </c>
      <c r="B4247" s="119">
        <v>0.57582685566224678</v>
      </c>
    </row>
    <row r="4248" spans="1:2">
      <c r="A4248">
        <v>4247</v>
      </c>
      <c r="B4248" s="119">
        <v>0.90916018899558004</v>
      </c>
    </row>
    <row r="4249" spans="1:2">
      <c r="A4249">
        <v>4248</v>
      </c>
      <c r="B4249" s="119">
        <v>5.7308337143728086E-2</v>
      </c>
    </row>
    <row r="4250" spans="1:2">
      <c r="A4250">
        <v>4249</v>
      </c>
      <c r="B4250" s="119">
        <v>0.39064167047706139</v>
      </c>
    </row>
    <row r="4251" spans="1:2">
      <c r="A4251">
        <v>4250</v>
      </c>
      <c r="B4251" s="119">
        <v>0.72397500381039492</v>
      </c>
    </row>
    <row r="4252" spans="1:2">
      <c r="A4252">
        <v>4251</v>
      </c>
      <c r="B4252" s="119">
        <v>0.16841944825483918</v>
      </c>
    </row>
    <row r="4253" spans="1:2">
      <c r="A4253">
        <v>4252</v>
      </c>
      <c r="B4253" s="119">
        <v>0.5017527815881726</v>
      </c>
    </row>
    <row r="4254" spans="1:2">
      <c r="A4254">
        <v>4253</v>
      </c>
      <c r="B4254" s="119">
        <v>0.83508611492150586</v>
      </c>
    </row>
    <row r="4255" spans="1:2">
      <c r="A4255">
        <v>4254</v>
      </c>
      <c r="B4255" s="119">
        <v>0.27953055936595028</v>
      </c>
    </row>
    <row r="4256" spans="1:2">
      <c r="A4256">
        <v>4255</v>
      </c>
      <c r="B4256" s="119">
        <v>0.61286389269928376</v>
      </c>
    </row>
    <row r="4257" spans="1:2">
      <c r="A4257">
        <v>4256</v>
      </c>
      <c r="B4257" s="119">
        <v>0.94619722603261702</v>
      </c>
    </row>
    <row r="4258" spans="1:2">
      <c r="A4258">
        <v>4257</v>
      </c>
      <c r="B4258" s="119">
        <v>9.4345374180765121E-2</v>
      </c>
    </row>
    <row r="4259" spans="1:2">
      <c r="A4259">
        <v>4258</v>
      </c>
      <c r="B4259" s="119">
        <v>0.42767870751409842</v>
      </c>
    </row>
    <row r="4260" spans="1:2">
      <c r="A4260">
        <v>4259</v>
      </c>
      <c r="B4260" s="119">
        <v>0.7610120408474319</v>
      </c>
    </row>
    <row r="4261" spans="1:2">
      <c r="A4261">
        <v>4260</v>
      </c>
      <c r="B4261" s="119">
        <v>0.20545648529187621</v>
      </c>
    </row>
    <row r="4262" spans="1:2">
      <c r="A4262">
        <v>4261</v>
      </c>
      <c r="B4262" s="119">
        <v>0.53878981862520958</v>
      </c>
    </row>
    <row r="4263" spans="1:2">
      <c r="A4263">
        <v>4262</v>
      </c>
      <c r="B4263" s="119">
        <v>0.87212315195854284</v>
      </c>
    </row>
    <row r="4264" spans="1:2">
      <c r="A4264">
        <v>4263</v>
      </c>
      <c r="B4264" s="119">
        <v>0.31656759640298732</v>
      </c>
    </row>
    <row r="4265" spans="1:2">
      <c r="A4265">
        <v>4264</v>
      </c>
      <c r="B4265" s="119">
        <v>0.64990092973632074</v>
      </c>
    </row>
    <row r="4266" spans="1:2">
      <c r="A4266">
        <v>4265</v>
      </c>
      <c r="B4266" s="119">
        <v>0.983234263069654</v>
      </c>
    </row>
    <row r="4267" spans="1:2">
      <c r="A4267">
        <v>4266</v>
      </c>
      <c r="B4267" s="119">
        <v>3.2616979119036729E-2</v>
      </c>
    </row>
    <row r="4268" spans="1:2">
      <c r="A4268">
        <v>4267</v>
      </c>
      <c r="B4268" s="119">
        <v>0.36595031245237003</v>
      </c>
    </row>
    <row r="4269" spans="1:2">
      <c r="A4269">
        <v>4268</v>
      </c>
      <c r="B4269" s="119">
        <v>0.69928364578570346</v>
      </c>
    </row>
    <row r="4270" spans="1:2">
      <c r="A4270">
        <v>4269</v>
      </c>
      <c r="B4270" s="119">
        <v>0.14372809023014782</v>
      </c>
    </row>
    <row r="4271" spans="1:2">
      <c r="A4271">
        <v>4270</v>
      </c>
      <c r="B4271" s="119">
        <v>0.47706142356348114</v>
      </c>
    </row>
    <row r="4272" spans="1:2">
      <c r="A4272">
        <v>4271</v>
      </c>
      <c r="B4272" s="119">
        <v>0.81039475689681451</v>
      </c>
    </row>
    <row r="4273" spans="1:2">
      <c r="A4273">
        <v>4272</v>
      </c>
      <c r="B4273" s="119">
        <v>0.25483920134125893</v>
      </c>
    </row>
    <row r="4274" spans="1:2">
      <c r="A4274">
        <v>4273</v>
      </c>
      <c r="B4274" s="119">
        <v>0.58817253467459241</v>
      </c>
    </row>
    <row r="4275" spans="1:2">
      <c r="A4275">
        <v>4274</v>
      </c>
      <c r="B4275" s="119">
        <v>0.92150586800792567</v>
      </c>
    </row>
    <row r="4276" spans="1:2">
      <c r="A4276">
        <v>4275</v>
      </c>
      <c r="B4276" s="119">
        <v>6.9654016156073764E-2</v>
      </c>
    </row>
    <row r="4277" spans="1:2">
      <c r="A4277">
        <v>4276</v>
      </c>
      <c r="B4277" s="119">
        <v>0.40298734948940707</v>
      </c>
    </row>
    <row r="4278" spans="1:2">
      <c r="A4278">
        <v>4277</v>
      </c>
      <c r="B4278" s="119">
        <v>0.73632068282274055</v>
      </c>
    </row>
    <row r="4279" spans="1:2">
      <c r="A4279">
        <v>4278</v>
      </c>
      <c r="B4279" s="119">
        <v>0.18076512726718486</v>
      </c>
    </row>
    <row r="4280" spans="1:2">
      <c r="A4280">
        <v>4279</v>
      </c>
      <c r="B4280" s="119">
        <v>0.51409846060051834</v>
      </c>
    </row>
    <row r="4281" spans="1:2">
      <c r="A4281">
        <v>4280</v>
      </c>
      <c r="B4281" s="119">
        <v>0.84743179393385148</v>
      </c>
    </row>
    <row r="4282" spans="1:2">
      <c r="A4282">
        <v>4281</v>
      </c>
      <c r="B4282" s="119">
        <v>0.29187623837829596</v>
      </c>
    </row>
    <row r="4283" spans="1:2">
      <c r="A4283">
        <v>4282</v>
      </c>
      <c r="B4283" s="119">
        <v>0.62520957171162939</v>
      </c>
    </row>
    <row r="4284" spans="1:2">
      <c r="A4284">
        <v>4283</v>
      </c>
      <c r="B4284" s="119">
        <v>0.95854290504496265</v>
      </c>
    </row>
    <row r="4285" spans="1:2">
      <c r="A4285">
        <v>4284</v>
      </c>
      <c r="B4285" s="119">
        <v>0.1066910531931108</v>
      </c>
    </row>
    <row r="4286" spans="1:2">
      <c r="A4286">
        <v>4285</v>
      </c>
      <c r="B4286" s="119">
        <v>0.4400243865264441</v>
      </c>
    </row>
    <row r="4287" spans="1:2">
      <c r="A4287">
        <v>4286</v>
      </c>
      <c r="B4287" s="119">
        <v>0.77335771985977753</v>
      </c>
    </row>
    <row r="4288" spans="1:2">
      <c r="A4288">
        <v>4287</v>
      </c>
      <c r="B4288" s="119">
        <v>0.21780216430422189</v>
      </c>
    </row>
    <row r="4289" spans="1:2">
      <c r="A4289">
        <v>4288</v>
      </c>
      <c r="B4289" s="119">
        <v>0.55113549763755532</v>
      </c>
    </row>
    <row r="4290" spans="1:2">
      <c r="A4290">
        <v>4289</v>
      </c>
      <c r="B4290" s="119">
        <v>0.88446883097088858</v>
      </c>
    </row>
    <row r="4291" spans="1:2">
      <c r="A4291">
        <v>4290</v>
      </c>
      <c r="B4291" s="119">
        <v>0.328913275415333</v>
      </c>
    </row>
    <row r="4292" spans="1:2">
      <c r="A4292">
        <v>4291</v>
      </c>
      <c r="B4292" s="119">
        <v>0.66224660874866648</v>
      </c>
    </row>
    <row r="4293" spans="1:2">
      <c r="A4293">
        <v>4292</v>
      </c>
      <c r="B4293" s="119">
        <v>0.99557994208199974</v>
      </c>
    </row>
    <row r="4294" spans="1:2">
      <c r="A4294">
        <v>4293</v>
      </c>
      <c r="B4294" s="119">
        <v>1.2040847431793934E-2</v>
      </c>
    </row>
    <row r="4295" spans="1:2">
      <c r="A4295">
        <v>4294</v>
      </c>
      <c r="B4295" s="119">
        <v>0.34537418076512727</v>
      </c>
    </row>
    <row r="4296" spans="1:2">
      <c r="A4296">
        <v>4295</v>
      </c>
      <c r="B4296" s="119">
        <v>0.67870751409846064</v>
      </c>
    </row>
    <row r="4297" spans="1:2">
      <c r="A4297">
        <v>4296</v>
      </c>
      <c r="B4297" s="119">
        <v>0.12315195854290505</v>
      </c>
    </row>
    <row r="4298" spans="1:2">
      <c r="A4298">
        <v>4297</v>
      </c>
      <c r="B4298" s="119">
        <v>0.45648529187623837</v>
      </c>
    </row>
    <row r="4299" spans="1:2">
      <c r="A4299">
        <v>4298</v>
      </c>
      <c r="B4299" s="119">
        <v>0.78981862520957169</v>
      </c>
    </row>
    <row r="4300" spans="1:2">
      <c r="A4300">
        <v>4299</v>
      </c>
      <c r="B4300" s="119">
        <v>0.23426306965401611</v>
      </c>
    </row>
    <row r="4301" spans="1:2">
      <c r="A4301">
        <v>4300</v>
      </c>
      <c r="B4301" s="119">
        <v>0.56759640298734959</v>
      </c>
    </row>
    <row r="4302" spans="1:2">
      <c r="A4302">
        <v>4301</v>
      </c>
      <c r="B4302" s="119">
        <v>0.90092973632068285</v>
      </c>
    </row>
    <row r="4303" spans="1:2">
      <c r="A4303">
        <v>4302</v>
      </c>
      <c r="B4303" s="119">
        <v>4.9077884468830969E-2</v>
      </c>
    </row>
    <row r="4304" spans="1:2">
      <c r="A4304">
        <v>4303</v>
      </c>
      <c r="B4304" s="119">
        <v>0.3824112178021643</v>
      </c>
    </row>
    <row r="4305" spans="1:2">
      <c r="A4305">
        <v>4304</v>
      </c>
      <c r="B4305" s="119">
        <v>0.71574455113549773</v>
      </c>
    </row>
    <row r="4306" spans="1:2">
      <c r="A4306">
        <v>4305</v>
      </c>
      <c r="B4306" s="119">
        <v>0.16018899557994204</v>
      </c>
    </row>
    <row r="4307" spans="1:2">
      <c r="A4307">
        <v>4306</v>
      </c>
      <c r="B4307" s="119">
        <v>0.49352232891327541</v>
      </c>
    </row>
    <row r="4308" spans="1:2">
      <c r="A4308">
        <v>4307</v>
      </c>
      <c r="B4308" s="119">
        <v>0.82685566224660867</v>
      </c>
    </row>
    <row r="4309" spans="1:2">
      <c r="A4309">
        <v>4308</v>
      </c>
      <c r="B4309" s="119">
        <v>0.2713001066910532</v>
      </c>
    </row>
    <row r="4310" spans="1:2">
      <c r="A4310">
        <v>4309</v>
      </c>
      <c r="B4310" s="119">
        <v>0.60463344002438657</v>
      </c>
    </row>
    <row r="4311" spans="1:2">
      <c r="A4311">
        <v>4310</v>
      </c>
      <c r="B4311" s="119">
        <v>0.93796677335771983</v>
      </c>
    </row>
    <row r="4312" spans="1:2">
      <c r="A4312">
        <v>4311</v>
      </c>
      <c r="B4312" s="119">
        <v>8.6114921505868011E-2</v>
      </c>
    </row>
    <row r="4313" spans="1:2">
      <c r="A4313">
        <v>4312</v>
      </c>
      <c r="B4313" s="119">
        <v>0.41944825483920134</v>
      </c>
    </row>
    <row r="4314" spans="1:2">
      <c r="A4314">
        <v>4313</v>
      </c>
      <c r="B4314" s="119">
        <v>0.75278158817253471</v>
      </c>
    </row>
    <row r="4315" spans="1:2">
      <c r="A4315">
        <v>4314</v>
      </c>
      <c r="B4315" s="119">
        <v>0.19722603261697907</v>
      </c>
    </row>
    <row r="4316" spans="1:2">
      <c r="A4316">
        <v>4315</v>
      </c>
      <c r="B4316" s="119">
        <v>0.5305593659503125</v>
      </c>
    </row>
    <row r="4317" spans="1:2">
      <c r="A4317">
        <v>4316</v>
      </c>
      <c r="B4317" s="119">
        <v>0.86389269928364576</v>
      </c>
    </row>
    <row r="4318" spans="1:2">
      <c r="A4318">
        <v>4317</v>
      </c>
      <c r="B4318" s="119">
        <v>0.30833714372809023</v>
      </c>
    </row>
    <row r="4319" spans="1:2">
      <c r="A4319">
        <v>4318</v>
      </c>
      <c r="B4319" s="119">
        <v>0.64167047706142366</v>
      </c>
    </row>
    <row r="4320" spans="1:2">
      <c r="A4320">
        <v>4319</v>
      </c>
      <c r="B4320" s="119">
        <v>0.97500381039475692</v>
      </c>
    </row>
    <row r="4321" spans="1:2">
      <c r="A4321">
        <v>4320</v>
      </c>
      <c r="B4321" s="119">
        <v>2.4386526444139613E-2</v>
      </c>
    </row>
    <row r="4322" spans="1:2">
      <c r="A4322">
        <v>4321</v>
      </c>
      <c r="B4322" s="119">
        <v>0.35771985977747295</v>
      </c>
    </row>
    <row r="4323" spans="1:2">
      <c r="A4323">
        <v>4322</v>
      </c>
      <c r="B4323" s="119">
        <v>0.69105319311080626</v>
      </c>
    </row>
    <row r="4324" spans="1:2">
      <c r="A4324">
        <v>4323</v>
      </c>
      <c r="B4324" s="119">
        <v>0.13549763755525068</v>
      </c>
    </row>
    <row r="4325" spans="1:2">
      <c r="A4325">
        <v>4324</v>
      </c>
      <c r="B4325" s="119">
        <v>0.46883097088858405</v>
      </c>
    </row>
    <row r="4326" spans="1:2">
      <c r="A4326">
        <v>4325</v>
      </c>
      <c r="B4326" s="119">
        <v>0.80216430422191742</v>
      </c>
    </row>
    <row r="4327" spans="1:2">
      <c r="A4327">
        <v>4326</v>
      </c>
      <c r="B4327" s="119">
        <v>0.24660874866636179</v>
      </c>
    </row>
    <row r="4328" spans="1:2">
      <c r="A4328">
        <v>4327</v>
      </c>
      <c r="B4328" s="119">
        <v>0.57994208199969532</v>
      </c>
    </row>
    <row r="4329" spans="1:2">
      <c r="A4329">
        <v>4328</v>
      </c>
      <c r="B4329" s="119">
        <v>0.91327541533302858</v>
      </c>
    </row>
    <row r="4330" spans="1:2">
      <c r="A4330">
        <v>4329</v>
      </c>
      <c r="B4330" s="119">
        <v>6.1423563481176648E-2</v>
      </c>
    </row>
    <row r="4331" spans="1:2">
      <c r="A4331">
        <v>4330</v>
      </c>
      <c r="B4331" s="119">
        <v>0.39475689681450998</v>
      </c>
    </row>
    <row r="4332" spans="1:2">
      <c r="A4332">
        <v>4331</v>
      </c>
      <c r="B4332" s="119">
        <v>0.72809023014784346</v>
      </c>
    </row>
    <row r="4333" spans="1:2">
      <c r="A4333">
        <v>4332</v>
      </c>
      <c r="B4333" s="119">
        <v>0.17253467459228772</v>
      </c>
    </row>
    <row r="4334" spans="1:2">
      <c r="A4334">
        <v>4333</v>
      </c>
      <c r="B4334" s="119">
        <v>0.50586800792562114</v>
      </c>
    </row>
    <row r="4335" spans="1:2">
      <c r="A4335">
        <v>4334</v>
      </c>
      <c r="B4335" s="119">
        <v>0.8392013412589544</v>
      </c>
    </row>
    <row r="4336" spans="1:2">
      <c r="A4336">
        <v>4335</v>
      </c>
      <c r="B4336" s="119">
        <v>0.28364578570339888</v>
      </c>
    </row>
    <row r="4337" spans="1:2">
      <c r="A4337">
        <v>4336</v>
      </c>
      <c r="B4337" s="119">
        <v>0.6169791190367323</v>
      </c>
    </row>
    <row r="4338" spans="1:2">
      <c r="A4338">
        <v>4337</v>
      </c>
      <c r="B4338" s="119">
        <v>0.95031245237006556</v>
      </c>
    </row>
    <row r="4339" spans="1:2">
      <c r="A4339">
        <v>4338</v>
      </c>
      <c r="B4339" s="119">
        <v>9.846060051821369E-2</v>
      </c>
    </row>
    <row r="4340" spans="1:2">
      <c r="A4340">
        <v>4339</v>
      </c>
      <c r="B4340" s="119">
        <v>0.43179393385154702</v>
      </c>
    </row>
    <row r="4341" spans="1:2">
      <c r="A4341">
        <v>4340</v>
      </c>
      <c r="B4341" s="119">
        <v>0.76512726718488044</v>
      </c>
    </row>
    <row r="4342" spans="1:2">
      <c r="A4342">
        <v>4341</v>
      </c>
      <c r="B4342" s="119">
        <v>0.20957171162932475</v>
      </c>
    </row>
    <row r="4343" spans="1:2">
      <c r="A4343">
        <v>4342</v>
      </c>
      <c r="B4343" s="119">
        <v>0.54290504496265812</v>
      </c>
    </row>
    <row r="4344" spans="1:2">
      <c r="A4344">
        <v>4343</v>
      </c>
      <c r="B4344" s="119">
        <v>0.87623837829599138</v>
      </c>
    </row>
    <row r="4345" spans="1:2">
      <c r="A4345">
        <v>4344</v>
      </c>
      <c r="B4345" s="119">
        <v>0.32068282274043591</v>
      </c>
    </row>
    <row r="4346" spans="1:2">
      <c r="A4346">
        <v>4345</v>
      </c>
      <c r="B4346" s="119">
        <v>0.65401615607376928</v>
      </c>
    </row>
    <row r="4347" spans="1:2">
      <c r="A4347">
        <v>4346</v>
      </c>
      <c r="B4347" s="119">
        <v>0.98734948940710254</v>
      </c>
    </row>
    <row r="4348" spans="1:2">
      <c r="A4348">
        <v>4347</v>
      </c>
      <c r="B4348" s="119">
        <v>3.6732205456485291E-2</v>
      </c>
    </row>
    <row r="4349" spans="1:2">
      <c r="A4349">
        <v>4348</v>
      </c>
      <c r="B4349" s="119">
        <v>0.37006553878981863</v>
      </c>
    </row>
    <row r="4350" spans="1:2">
      <c r="A4350">
        <v>4349</v>
      </c>
      <c r="B4350" s="119">
        <v>0.703398872123152</v>
      </c>
    </row>
    <row r="4351" spans="1:2">
      <c r="A4351">
        <v>4350</v>
      </c>
      <c r="B4351" s="119">
        <v>0.14784331656759636</v>
      </c>
    </row>
    <row r="4352" spans="1:2">
      <c r="A4352">
        <v>4351</v>
      </c>
      <c r="B4352" s="119">
        <v>0.48117664990092973</v>
      </c>
    </row>
    <row r="4353" spans="1:2">
      <c r="A4353">
        <v>4352</v>
      </c>
      <c r="B4353" s="119">
        <v>0.81450998323426305</v>
      </c>
    </row>
    <row r="4354" spans="1:2">
      <c r="A4354">
        <v>4353</v>
      </c>
      <c r="B4354" s="119">
        <v>0.25895442767870752</v>
      </c>
    </row>
    <row r="4355" spans="1:2">
      <c r="A4355">
        <v>4354</v>
      </c>
      <c r="B4355" s="119">
        <v>0.59228776101204095</v>
      </c>
    </row>
    <row r="4356" spans="1:2">
      <c r="A4356">
        <v>4355</v>
      </c>
      <c r="B4356" s="119">
        <v>0.92562109434537421</v>
      </c>
    </row>
    <row r="4357" spans="1:2">
      <c r="A4357">
        <v>4356</v>
      </c>
      <c r="B4357" s="119">
        <v>7.3769242493522333E-2</v>
      </c>
    </row>
    <row r="4358" spans="1:2">
      <c r="A4358">
        <v>4357</v>
      </c>
      <c r="B4358" s="119">
        <v>0.40710257582685566</v>
      </c>
    </row>
    <row r="4359" spans="1:2">
      <c r="A4359">
        <v>4358</v>
      </c>
      <c r="B4359" s="119">
        <v>0.74043590916018909</v>
      </c>
    </row>
    <row r="4360" spans="1:2">
      <c r="A4360">
        <v>4359</v>
      </c>
      <c r="B4360" s="119">
        <v>0.1848803536046334</v>
      </c>
    </row>
    <row r="4361" spans="1:2">
      <c r="A4361">
        <v>4360</v>
      </c>
      <c r="B4361" s="119">
        <v>0.51821368693796688</v>
      </c>
    </row>
    <row r="4362" spans="1:2">
      <c r="A4362">
        <v>4361</v>
      </c>
      <c r="B4362" s="119">
        <v>0.85154702027130003</v>
      </c>
    </row>
    <row r="4363" spans="1:2">
      <c r="A4363">
        <v>4362</v>
      </c>
      <c r="B4363" s="119">
        <v>0.29599146471574456</v>
      </c>
    </row>
    <row r="4364" spans="1:2">
      <c r="A4364">
        <v>4363</v>
      </c>
      <c r="B4364" s="119">
        <v>0.62932479804907793</v>
      </c>
    </row>
    <row r="4365" spans="1:2">
      <c r="A4365">
        <v>4364</v>
      </c>
      <c r="B4365" s="119">
        <v>0.96265813138241119</v>
      </c>
    </row>
    <row r="4366" spans="1:2">
      <c r="A4366">
        <v>4365</v>
      </c>
      <c r="B4366" s="119">
        <v>0.11080627953055937</v>
      </c>
    </row>
    <row r="4367" spans="1:2">
      <c r="A4367">
        <v>4366</v>
      </c>
      <c r="B4367" s="119">
        <v>0.4441396128638927</v>
      </c>
    </row>
    <row r="4368" spans="1:2">
      <c r="A4368">
        <v>4367</v>
      </c>
      <c r="B4368" s="119">
        <v>0.77747294619722607</v>
      </c>
    </row>
    <row r="4369" spans="1:2">
      <c r="A4369">
        <v>4368</v>
      </c>
      <c r="B4369" s="119">
        <v>0.22191739064167043</v>
      </c>
    </row>
    <row r="4370" spans="1:2">
      <c r="A4370">
        <v>4369</v>
      </c>
      <c r="B4370" s="119">
        <v>0.55525072397500386</v>
      </c>
    </row>
    <row r="4371" spans="1:2">
      <c r="A4371">
        <v>4370</v>
      </c>
      <c r="B4371" s="119">
        <v>0.88858405730833712</v>
      </c>
    </row>
    <row r="4372" spans="1:2">
      <c r="A4372">
        <v>4371</v>
      </c>
      <c r="B4372" s="119">
        <v>0.33302850175278159</v>
      </c>
    </row>
    <row r="4373" spans="1:2">
      <c r="A4373">
        <v>4372</v>
      </c>
      <c r="B4373" s="119">
        <v>0.66636183508611502</v>
      </c>
    </row>
    <row r="4374" spans="1:2">
      <c r="A4374">
        <v>4373</v>
      </c>
      <c r="B4374" s="119">
        <v>0.99969516841944828</v>
      </c>
    </row>
    <row r="4375" spans="1:2">
      <c r="A4375">
        <v>4374</v>
      </c>
      <c r="B4375" s="119">
        <v>3.0483158055174517E-4</v>
      </c>
    </row>
    <row r="4376" spans="1:2">
      <c r="A4376">
        <v>4375</v>
      </c>
      <c r="B4376" s="119">
        <v>0.33363816491388504</v>
      </c>
    </row>
    <row r="4377" spans="1:2">
      <c r="A4377">
        <v>4376</v>
      </c>
      <c r="B4377" s="119">
        <v>0.66697149824721835</v>
      </c>
    </row>
    <row r="4378" spans="1:2">
      <c r="A4378">
        <v>4377</v>
      </c>
      <c r="B4378" s="119">
        <v>0.11141594269166286</v>
      </c>
    </row>
    <row r="4379" spans="1:2">
      <c r="A4379">
        <v>4378</v>
      </c>
      <c r="B4379" s="119">
        <v>0.44474927602499614</v>
      </c>
    </row>
    <row r="4380" spans="1:2">
      <c r="A4380">
        <v>4379</v>
      </c>
      <c r="B4380" s="119">
        <v>0.7780826093583294</v>
      </c>
    </row>
    <row r="4381" spans="1:2">
      <c r="A4381">
        <v>4380</v>
      </c>
      <c r="B4381" s="119">
        <v>0.22252705380277396</v>
      </c>
    </row>
    <row r="4382" spans="1:2">
      <c r="A4382">
        <v>4381</v>
      </c>
      <c r="B4382" s="119">
        <v>0.5558603871361073</v>
      </c>
    </row>
    <row r="4383" spans="1:2">
      <c r="A4383">
        <v>4382</v>
      </c>
      <c r="B4383" s="119">
        <v>0.88919372046944056</v>
      </c>
    </row>
    <row r="4384" spans="1:2">
      <c r="A4384">
        <v>4383</v>
      </c>
      <c r="B4384" s="119">
        <v>3.7341868617588779E-2</v>
      </c>
    </row>
    <row r="4385" spans="1:2">
      <c r="A4385">
        <v>4384</v>
      </c>
      <c r="B4385" s="119">
        <v>0.37067520195092207</v>
      </c>
    </row>
    <row r="4386" spans="1:2">
      <c r="A4386">
        <v>4385</v>
      </c>
      <c r="B4386" s="119">
        <v>0.70400853528425544</v>
      </c>
    </row>
    <row r="4387" spans="1:2">
      <c r="A4387">
        <v>4386</v>
      </c>
      <c r="B4387" s="119">
        <v>0.14845297972869989</v>
      </c>
    </row>
    <row r="4388" spans="1:2">
      <c r="A4388">
        <v>4387</v>
      </c>
      <c r="B4388" s="119">
        <v>0.48178631306203318</v>
      </c>
    </row>
    <row r="4389" spans="1:2">
      <c r="A4389">
        <v>4388</v>
      </c>
      <c r="B4389" s="119">
        <v>0.81511964639536638</v>
      </c>
    </row>
    <row r="4390" spans="1:2">
      <c r="A4390">
        <v>4389</v>
      </c>
      <c r="B4390" s="119">
        <v>0.25956409083981097</v>
      </c>
    </row>
    <row r="4391" spans="1:2">
      <c r="A4391">
        <v>4390</v>
      </c>
      <c r="B4391" s="119">
        <v>0.59289742417314428</v>
      </c>
    </row>
    <row r="4392" spans="1:2">
      <c r="A4392">
        <v>4391</v>
      </c>
      <c r="B4392" s="119">
        <v>0.92623075750647754</v>
      </c>
    </row>
    <row r="4393" spans="1:2">
      <c r="A4393">
        <v>4392</v>
      </c>
      <c r="B4393" s="119">
        <v>7.4378905654625821E-2</v>
      </c>
    </row>
    <row r="4394" spans="1:2">
      <c r="A4394">
        <v>4393</v>
      </c>
      <c r="B4394" s="119">
        <v>0.40771223898795911</v>
      </c>
    </row>
    <row r="4395" spans="1:2">
      <c r="A4395">
        <v>4394</v>
      </c>
      <c r="B4395" s="119">
        <v>0.74104557232129242</v>
      </c>
    </row>
    <row r="4396" spans="1:2">
      <c r="A4396">
        <v>4395</v>
      </c>
      <c r="B4396" s="119">
        <v>0.18549001676573693</v>
      </c>
    </row>
    <row r="4397" spans="1:2">
      <c r="A4397">
        <v>4396</v>
      </c>
      <c r="B4397" s="119">
        <v>0.51882335009907021</v>
      </c>
    </row>
    <row r="4398" spans="1:2">
      <c r="A4398">
        <v>4397</v>
      </c>
      <c r="B4398" s="119">
        <v>0.85215668343240347</v>
      </c>
    </row>
    <row r="4399" spans="1:2">
      <c r="A4399">
        <v>4398</v>
      </c>
      <c r="B4399" s="119">
        <v>0.296601127876848</v>
      </c>
    </row>
    <row r="4400" spans="1:2">
      <c r="A4400">
        <v>4399</v>
      </c>
      <c r="B4400" s="119">
        <v>0.62993446121018137</v>
      </c>
    </row>
    <row r="4401" spans="1:2">
      <c r="A4401">
        <v>4400</v>
      </c>
      <c r="B4401" s="119">
        <v>0.96326779454351463</v>
      </c>
    </row>
    <row r="4402" spans="1:2">
      <c r="A4402">
        <v>4401</v>
      </c>
      <c r="B4402" s="119">
        <v>1.2650510592897424E-2</v>
      </c>
    </row>
    <row r="4403" spans="1:2">
      <c r="A4403">
        <v>4402</v>
      </c>
      <c r="B4403" s="119">
        <v>0.34598384392623072</v>
      </c>
    </row>
    <row r="4404" spans="1:2">
      <c r="A4404">
        <v>4403</v>
      </c>
      <c r="B4404" s="119">
        <v>0.67931717725956398</v>
      </c>
    </row>
    <row r="4405" spans="1:2">
      <c r="A4405">
        <v>4404</v>
      </c>
      <c r="B4405" s="119">
        <v>0.12376162170400853</v>
      </c>
    </row>
    <row r="4406" spans="1:2">
      <c r="A4406">
        <v>4405</v>
      </c>
      <c r="B4406" s="119">
        <v>0.45709495503734182</v>
      </c>
    </row>
    <row r="4407" spans="1:2">
      <c r="A4407">
        <v>4406</v>
      </c>
      <c r="B4407" s="119">
        <v>0.79042828837067514</v>
      </c>
    </row>
    <row r="4408" spans="1:2">
      <c r="A4408">
        <v>4407</v>
      </c>
      <c r="B4408" s="119">
        <v>0.23487273281511964</v>
      </c>
    </row>
    <row r="4409" spans="1:2">
      <c r="A4409">
        <v>4408</v>
      </c>
      <c r="B4409" s="119">
        <v>0.56820606614845304</v>
      </c>
    </row>
    <row r="4410" spans="1:2">
      <c r="A4410">
        <v>4409</v>
      </c>
      <c r="B4410" s="119">
        <v>0.9015393994817863</v>
      </c>
    </row>
    <row r="4411" spans="1:2">
      <c r="A4411">
        <v>4410</v>
      </c>
      <c r="B4411" s="119">
        <v>4.9687547629934457E-2</v>
      </c>
    </row>
    <row r="4412" spans="1:2">
      <c r="A4412">
        <v>4411</v>
      </c>
      <c r="B4412" s="119">
        <v>0.38302088096326775</v>
      </c>
    </row>
    <row r="4413" spans="1:2">
      <c r="A4413">
        <v>4412</v>
      </c>
      <c r="B4413" s="119">
        <v>0.71635421429660118</v>
      </c>
    </row>
    <row r="4414" spans="1:2">
      <c r="A4414">
        <v>4413</v>
      </c>
      <c r="B4414" s="119">
        <v>0.16079865874104557</v>
      </c>
    </row>
    <row r="4415" spans="1:2">
      <c r="A4415">
        <v>4414</v>
      </c>
      <c r="B4415" s="119">
        <v>0.49413199207437886</v>
      </c>
    </row>
    <row r="4416" spans="1:2">
      <c r="A4416">
        <v>4415</v>
      </c>
      <c r="B4416" s="119">
        <v>0.82746532540771212</v>
      </c>
    </row>
    <row r="4417" spans="1:2">
      <c r="A4417">
        <v>4416</v>
      </c>
      <c r="B4417" s="119">
        <v>0.27190976985215665</v>
      </c>
    </row>
    <row r="4418" spans="1:2">
      <c r="A4418">
        <v>4417</v>
      </c>
      <c r="B4418" s="119">
        <v>0.60524310318549002</v>
      </c>
    </row>
    <row r="4419" spans="1:2">
      <c r="A4419">
        <v>4418</v>
      </c>
      <c r="B4419" s="119">
        <v>0.93857643651882328</v>
      </c>
    </row>
    <row r="4420" spans="1:2">
      <c r="A4420">
        <v>4419</v>
      </c>
      <c r="B4420" s="119">
        <v>8.6724584666971499E-2</v>
      </c>
    </row>
    <row r="4421" spans="1:2">
      <c r="A4421">
        <v>4420</v>
      </c>
      <c r="B4421" s="119">
        <v>0.42005791800030479</v>
      </c>
    </row>
    <row r="4422" spans="1:2">
      <c r="A4422">
        <v>4421</v>
      </c>
      <c r="B4422" s="119">
        <v>0.75339125133363816</v>
      </c>
    </row>
    <row r="4423" spans="1:2">
      <c r="A4423">
        <v>4422</v>
      </c>
      <c r="B4423" s="119">
        <v>0.1978356957780826</v>
      </c>
    </row>
    <row r="4424" spans="1:2">
      <c r="A4424">
        <v>4423</v>
      </c>
      <c r="B4424" s="119">
        <v>0.53116902911141584</v>
      </c>
    </row>
    <row r="4425" spans="1:2">
      <c r="A4425">
        <v>4424</v>
      </c>
      <c r="B4425" s="119">
        <v>0.8645023624447491</v>
      </c>
    </row>
    <row r="4426" spans="1:2">
      <c r="A4426">
        <v>4425</v>
      </c>
      <c r="B4426" s="119">
        <v>0.30894680688919368</v>
      </c>
    </row>
    <row r="4427" spans="1:2">
      <c r="A4427">
        <v>4426</v>
      </c>
      <c r="B4427" s="119">
        <v>0.642280140222527</v>
      </c>
    </row>
    <row r="4428" spans="1:2">
      <c r="A4428">
        <v>4427</v>
      </c>
      <c r="B4428" s="119">
        <v>0.97561347355586026</v>
      </c>
    </row>
    <row r="4429" spans="1:2">
      <c r="A4429">
        <v>4428</v>
      </c>
      <c r="B4429" s="119">
        <v>2.4996189605243101E-2</v>
      </c>
    </row>
    <row r="4430" spans="1:2">
      <c r="A4430">
        <v>4429</v>
      </c>
      <c r="B4430" s="119">
        <v>0.35832952293857639</v>
      </c>
    </row>
    <row r="4431" spans="1:2">
      <c r="A4431">
        <v>4430</v>
      </c>
      <c r="B4431" s="119">
        <v>0.69166285627190971</v>
      </c>
    </row>
    <row r="4432" spans="1:2">
      <c r="A4432">
        <v>4431</v>
      </c>
      <c r="B4432" s="119">
        <v>0.13610730071635421</v>
      </c>
    </row>
    <row r="4433" spans="1:2">
      <c r="A4433">
        <v>4432</v>
      </c>
      <c r="B4433" s="119">
        <v>0.4694406340496875</v>
      </c>
    </row>
    <row r="4434" spans="1:2">
      <c r="A4434">
        <v>4433</v>
      </c>
      <c r="B4434" s="119">
        <v>0.80277396738302076</v>
      </c>
    </row>
    <row r="4435" spans="1:2">
      <c r="A4435">
        <v>4434</v>
      </c>
      <c r="B4435" s="119">
        <v>0.24721841182746532</v>
      </c>
    </row>
    <row r="4436" spans="1:2">
      <c r="A4436">
        <v>4435</v>
      </c>
      <c r="B4436" s="119">
        <v>0.58055174516079866</v>
      </c>
    </row>
    <row r="4437" spans="1:2">
      <c r="A4437">
        <v>4436</v>
      </c>
      <c r="B4437" s="119">
        <v>0.91388507849413192</v>
      </c>
    </row>
    <row r="4438" spans="1:2">
      <c r="A4438">
        <v>4437</v>
      </c>
      <c r="B4438" s="119">
        <v>6.2033226642280136E-2</v>
      </c>
    </row>
    <row r="4439" spans="1:2">
      <c r="A4439">
        <v>4438</v>
      </c>
      <c r="B4439" s="119">
        <v>0.39536655997561343</v>
      </c>
    </row>
    <row r="4440" spans="1:2">
      <c r="A4440">
        <v>4439</v>
      </c>
      <c r="B4440" s="119">
        <v>0.7286998933089468</v>
      </c>
    </row>
    <row r="4441" spans="1:2">
      <c r="A4441">
        <v>4440</v>
      </c>
      <c r="B4441" s="119">
        <v>0.17314433775339125</v>
      </c>
    </row>
    <row r="4442" spans="1:2">
      <c r="A4442">
        <v>4441</v>
      </c>
      <c r="B4442" s="119">
        <v>0.50647767108672459</v>
      </c>
    </row>
    <row r="4443" spans="1:2">
      <c r="A4443">
        <v>4442</v>
      </c>
      <c r="B4443" s="119">
        <v>0.83981100442005774</v>
      </c>
    </row>
    <row r="4444" spans="1:2">
      <c r="A4444">
        <v>4443</v>
      </c>
      <c r="B4444" s="119">
        <v>0.28425544886450232</v>
      </c>
    </row>
    <row r="4445" spans="1:2">
      <c r="A4445">
        <v>4444</v>
      </c>
      <c r="B4445" s="119">
        <v>0.61758878219783564</v>
      </c>
    </row>
    <row r="4446" spans="1:2">
      <c r="A4446">
        <v>4445</v>
      </c>
      <c r="B4446" s="119">
        <v>0.9509221155311689</v>
      </c>
    </row>
    <row r="4447" spans="1:2">
      <c r="A4447">
        <v>4446</v>
      </c>
      <c r="B4447" s="119">
        <v>9.9070263679317178E-2</v>
      </c>
    </row>
    <row r="4448" spans="1:2">
      <c r="A4448">
        <v>4447</v>
      </c>
      <c r="B4448" s="119">
        <v>0.43240359701265046</v>
      </c>
    </row>
    <row r="4449" spans="1:2">
      <c r="A4449">
        <v>4448</v>
      </c>
      <c r="B4449" s="119">
        <v>0.76573693034598378</v>
      </c>
    </row>
    <row r="4450" spans="1:2">
      <c r="A4450">
        <v>4449</v>
      </c>
      <c r="B4450" s="119">
        <v>0.21018137479042828</v>
      </c>
    </row>
    <row r="4451" spans="1:2">
      <c r="A4451">
        <v>4450</v>
      </c>
      <c r="B4451" s="119">
        <v>0.54351470812376157</v>
      </c>
    </row>
    <row r="4452" spans="1:2">
      <c r="A4452">
        <v>4451</v>
      </c>
      <c r="B4452" s="119">
        <v>0.87684804145709483</v>
      </c>
    </row>
    <row r="4453" spans="1:2">
      <c r="A4453">
        <v>4452</v>
      </c>
      <c r="B4453" s="119">
        <v>0.32129248590153936</v>
      </c>
    </row>
    <row r="4454" spans="1:2">
      <c r="A4454">
        <v>4453</v>
      </c>
      <c r="B4454" s="119">
        <v>0.65462581923487273</v>
      </c>
    </row>
    <row r="4455" spans="1:2">
      <c r="A4455">
        <v>4454</v>
      </c>
      <c r="B4455" s="119">
        <v>0.98795915256820599</v>
      </c>
    </row>
    <row r="4456" spans="1:2">
      <c r="A4456">
        <v>4455</v>
      </c>
      <c r="B4456" s="119">
        <v>4.4200579180003049E-3</v>
      </c>
    </row>
    <row r="4457" spans="1:2">
      <c r="A4457">
        <v>4456</v>
      </c>
      <c r="B4457" s="119">
        <v>0.33775339125133358</v>
      </c>
    </row>
    <row r="4458" spans="1:2">
      <c r="A4458">
        <v>4457</v>
      </c>
      <c r="B4458" s="119">
        <v>0.67108672458466689</v>
      </c>
    </row>
    <row r="4459" spans="1:2">
      <c r="A4459">
        <v>4458</v>
      </c>
      <c r="B4459" s="119">
        <v>0.11553116902911141</v>
      </c>
    </row>
    <row r="4460" spans="1:2">
      <c r="A4460">
        <v>4459</v>
      </c>
      <c r="B4460" s="119">
        <v>0.44886450236244468</v>
      </c>
    </row>
    <row r="4461" spans="1:2">
      <c r="A4461">
        <v>4460</v>
      </c>
      <c r="B4461" s="119">
        <v>0.78219783569577794</v>
      </c>
    </row>
    <row r="4462" spans="1:2">
      <c r="A4462">
        <v>4461</v>
      </c>
      <c r="B4462" s="119">
        <v>0.22664228014022253</v>
      </c>
    </row>
    <row r="4463" spans="1:2">
      <c r="A4463">
        <v>4462</v>
      </c>
      <c r="B4463" s="119">
        <v>0.55997561347355584</v>
      </c>
    </row>
    <row r="4464" spans="1:2">
      <c r="A4464">
        <v>4463</v>
      </c>
      <c r="B4464" s="119">
        <v>0.8933089468068891</v>
      </c>
    </row>
    <row r="4465" spans="1:2">
      <c r="A4465">
        <v>4464</v>
      </c>
      <c r="B4465" s="119">
        <v>4.1457094955037341E-2</v>
      </c>
    </row>
    <row r="4466" spans="1:2">
      <c r="A4466">
        <v>4465</v>
      </c>
      <c r="B4466" s="119">
        <v>0.37479042828837061</v>
      </c>
    </row>
    <row r="4467" spans="1:2">
      <c r="A4467">
        <v>4466</v>
      </c>
      <c r="B4467" s="119">
        <v>0.70812376162170398</v>
      </c>
    </row>
    <row r="4468" spans="1:2">
      <c r="A4468">
        <v>4467</v>
      </c>
      <c r="B4468" s="119">
        <v>0.15256820606614846</v>
      </c>
    </row>
    <row r="4469" spans="1:2">
      <c r="A4469">
        <v>4468</v>
      </c>
      <c r="B4469" s="119">
        <v>0.48590153939948172</v>
      </c>
    </row>
    <row r="4470" spans="1:2">
      <c r="A4470">
        <v>4469</v>
      </c>
      <c r="B4470" s="119">
        <v>0.81923487273281492</v>
      </c>
    </row>
    <row r="4471" spans="1:2">
      <c r="A4471">
        <v>4470</v>
      </c>
      <c r="B4471" s="119">
        <v>0.26367931717725951</v>
      </c>
    </row>
    <row r="4472" spans="1:2">
      <c r="A4472">
        <v>4471</v>
      </c>
      <c r="B4472" s="119">
        <v>0.59701265051059282</v>
      </c>
    </row>
    <row r="4473" spans="1:2">
      <c r="A4473">
        <v>4472</v>
      </c>
      <c r="B4473" s="119">
        <v>0.93034598384392608</v>
      </c>
    </row>
    <row r="4474" spans="1:2">
      <c r="A4474">
        <v>4473</v>
      </c>
      <c r="B4474" s="119">
        <v>7.8494131992074376E-2</v>
      </c>
    </row>
    <row r="4475" spans="1:2">
      <c r="A4475">
        <v>4474</v>
      </c>
      <c r="B4475" s="119">
        <v>0.41182746532540765</v>
      </c>
    </row>
    <row r="4476" spans="1:2">
      <c r="A4476">
        <v>4475</v>
      </c>
      <c r="B4476" s="119">
        <v>0.74516079865874096</v>
      </c>
    </row>
    <row r="4477" spans="1:2">
      <c r="A4477">
        <v>4476</v>
      </c>
      <c r="B4477" s="119">
        <v>0.18960524310318549</v>
      </c>
    </row>
    <row r="4478" spans="1:2">
      <c r="A4478">
        <v>4477</v>
      </c>
      <c r="B4478" s="119">
        <v>0.52293857643651875</v>
      </c>
    </row>
    <row r="4479" spans="1:2">
      <c r="A4479">
        <v>4478</v>
      </c>
      <c r="B4479" s="119">
        <v>0.85627190976985201</v>
      </c>
    </row>
    <row r="4480" spans="1:2">
      <c r="A4480">
        <v>4479</v>
      </c>
      <c r="B4480" s="119">
        <v>0.30071635421429654</v>
      </c>
    </row>
    <row r="4481" spans="1:2">
      <c r="A4481">
        <v>4480</v>
      </c>
      <c r="B4481" s="119">
        <v>0.63404968754762991</v>
      </c>
    </row>
    <row r="4482" spans="1:2">
      <c r="A4482">
        <v>4481</v>
      </c>
      <c r="B4482" s="119">
        <v>0.96738302088096317</v>
      </c>
    </row>
    <row r="4483" spans="1:2">
      <c r="A4483">
        <v>4482</v>
      </c>
      <c r="B4483" s="119">
        <v>1.6765736930345984E-2</v>
      </c>
    </row>
    <row r="4484" spans="1:2">
      <c r="A4484">
        <v>4483</v>
      </c>
      <c r="B4484" s="119">
        <v>0.35009907026367926</v>
      </c>
    </row>
    <row r="4485" spans="1:2">
      <c r="A4485">
        <v>4484</v>
      </c>
      <c r="B4485" s="119">
        <v>0.68343240359701252</v>
      </c>
    </row>
    <row r="4486" spans="1:2">
      <c r="A4486">
        <v>4485</v>
      </c>
      <c r="B4486" s="119">
        <v>0.1278768480414571</v>
      </c>
    </row>
    <row r="4487" spans="1:2">
      <c r="A4487">
        <v>4486</v>
      </c>
      <c r="B4487" s="119">
        <v>0.46121018137479036</v>
      </c>
    </row>
    <row r="4488" spans="1:2">
      <c r="A4488">
        <v>4487</v>
      </c>
      <c r="B4488" s="119">
        <v>0.79454351470812368</v>
      </c>
    </row>
    <row r="4489" spans="1:2">
      <c r="A4489">
        <v>4488</v>
      </c>
      <c r="B4489" s="119">
        <v>0.23898795915256821</v>
      </c>
    </row>
    <row r="4490" spans="1:2">
      <c r="A4490">
        <v>4489</v>
      </c>
      <c r="B4490" s="119">
        <v>0.57232129248590158</v>
      </c>
    </row>
    <row r="4491" spans="1:2">
      <c r="A4491">
        <v>4490</v>
      </c>
      <c r="B4491" s="119">
        <v>0.90565462581923484</v>
      </c>
    </row>
    <row r="4492" spans="1:2">
      <c r="A4492">
        <v>4491</v>
      </c>
      <c r="B4492" s="119">
        <v>5.3802773967383019E-2</v>
      </c>
    </row>
    <row r="4493" spans="1:2">
      <c r="A4493">
        <v>4492</v>
      </c>
      <c r="B4493" s="119">
        <v>0.38713610730071629</v>
      </c>
    </row>
    <row r="4494" spans="1:2">
      <c r="A4494">
        <v>4493</v>
      </c>
      <c r="B4494" s="119">
        <v>0.72046944063404972</v>
      </c>
    </row>
    <row r="4495" spans="1:2">
      <c r="A4495">
        <v>4494</v>
      </c>
      <c r="B4495" s="119">
        <v>0.16491388507849414</v>
      </c>
    </row>
    <row r="4496" spans="1:2">
      <c r="A4496">
        <v>4495</v>
      </c>
      <c r="B4496" s="119">
        <v>0.4982472184118274</v>
      </c>
    </row>
    <row r="4497" spans="1:2">
      <c r="A4497">
        <v>4496</v>
      </c>
      <c r="B4497" s="119">
        <v>0.83158055174516066</v>
      </c>
    </row>
    <row r="4498" spans="1:2">
      <c r="A4498">
        <v>4497</v>
      </c>
      <c r="B4498" s="119">
        <v>0.27602499618960519</v>
      </c>
    </row>
    <row r="4499" spans="1:2">
      <c r="A4499">
        <v>4498</v>
      </c>
      <c r="B4499" s="119">
        <v>0.60935832952293856</v>
      </c>
    </row>
    <row r="4500" spans="1:2">
      <c r="A4500">
        <v>4499</v>
      </c>
      <c r="B4500" s="119">
        <v>0.94269166285627182</v>
      </c>
    </row>
    <row r="4501" spans="1:2">
      <c r="A4501">
        <v>4500</v>
      </c>
      <c r="B4501" s="119">
        <v>9.0839811004420054E-2</v>
      </c>
    </row>
    <row r="4502" spans="1:2">
      <c r="A4502">
        <v>4501</v>
      </c>
      <c r="B4502" s="119">
        <v>0.42417314433775333</v>
      </c>
    </row>
    <row r="4503" spans="1:2">
      <c r="A4503">
        <v>4502</v>
      </c>
      <c r="B4503" s="119">
        <v>0.7575064776710867</v>
      </c>
    </row>
    <row r="4504" spans="1:2">
      <c r="A4504">
        <v>4503</v>
      </c>
      <c r="B4504" s="119">
        <v>0.20195092211553117</v>
      </c>
    </row>
    <row r="4505" spans="1:2">
      <c r="A4505">
        <v>4504</v>
      </c>
      <c r="B4505" s="119">
        <v>0.53528425544886438</v>
      </c>
    </row>
    <row r="4506" spans="1:2">
      <c r="A4506">
        <v>4505</v>
      </c>
      <c r="B4506" s="119">
        <v>0.86861758878219764</v>
      </c>
    </row>
    <row r="4507" spans="1:2">
      <c r="A4507">
        <v>4506</v>
      </c>
      <c r="B4507" s="119">
        <v>0.31306203322664222</v>
      </c>
    </row>
    <row r="4508" spans="1:2">
      <c r="A4508">
        <v>4507</v>
      </c>
      <c r="B4508" s="119">
        <v>0.64639536655997554</v>
      </c>
    </row>
    <row r="4509" spans="1:2">
      <c r="A4509">
        <v>4508</v>
      </c>
      <c r="B4509" s="119">
        <v>0.9797286998933088</v>
      </c>
    </row>
    <row r="4510" spans="1:2">
      <c r="A4510">
        <v>4509</v>
      </c>
      <c r="B4510" s="119">
        <v>2.9111415942691662E-2</v>
      </c>
    </row>
    <row r="4511" spans="1:2">
      <c r="A4511">
        <v>4510</v>
      </c>
      <c r="B4511" s="119">
        <v>0.36244474927602494</v>
      </c>
    </row>
    <row r="4512" spans="1:2">
      <c r="A4512">
        <v>4511</v>
      </c>
      <c r="B4512" s="119">
        <v>0.69577808260935825</v>
      </c>
    </row>
    <row r="4513" spans="1:2">
      <c r="A4513">
        <v>4512</v>
      </c>
      <c r="B4513" s="119">
        <v>0.14022252705380278</v>
      </c>
    </row>
    <row r="4514" spans="1:2">
      <c r="A4514">
        <v>4513</v>
      </c>
      <c r="B4514" s="119">
        <v>0.47355586038713604</v>
      </c>
    </row>
    <row r="4515" spans="1:2">
      <c r="A4515">
        <v>4514</v>
      </c>
      <c r="B4515" s="119">
        <v>0.8068891937204693</v>
      </c>
    </row>
    <row r="4516" spans="1:2">
      <c r="A4516">
        <v>4515</v>
      </c>
      <c r="B4516" s="119">
        <v>0.25133363816491383</v>
      </c>
    </row>
    <row r="4517" spans="1:2">
      <c r="A4517">
        <v>4516</v>
      </c>
      <c r="B4517" s="119">
        <v>0.5846669714982472</v>
      </c>
    </row>
    <row r="4518" spans="1:2">
      <c r="A4518">
        <v>4517</v>
      </c>
      <c r="B4518" s="119">
        <v>0.91800030483158046</v>
      </c>
    </row>
    <row r="4519" spans="1:2">
      <c r="A4519">
        <v>4518</v>
      </c>
      <c r="B4519" s="119">
        <v>6.6148452979728697E-2</v>
      </c>
    </row>
    <row r="4520" spans="1:2">
      <c r="A4520">
        <v>4519</v>
      </c>
      <c r="B4520" s="119">
        <v>0.39948178631306197</v>
      </c>
    </row>
    <row r="4521" spans="1:2">
      <c r="A4521">
        <v>4520</v>
      </c>
      <c r="B4521" s="119">
        <v>0.73281511964639534</v>
      </c>
    </row>
    <row r="4522" spans="1:2">
      <c r="A4522">
        <v>4521</v>
      </c>
      <c r="B4522" s="119">
        <v>0.17725956409083982</v>
      </c>
    </row>
    <row r="4523" spans="1:2">
      <c r="A4523">
        <v>4522</v>
      </c>
      <c r="B4523" s="119">
        <v>0.51059289742417313</v>
      </c>
    </row>
    <row r="4524" spans="1:2">
      <c r="A4524">
        <v>4523</v>
      </c>
      <c r="B4524" s="119">
        <v>0.84392623075750628</v>
      </c>
    </row>
    <row r="4525" spans="1:2">
      <c r="A4525">
        <v>4524</v>
      </c>
      <c r="B4525" s="119">
        <v>0.28837067520195087</v>
      </c>
    </row>
    <row r="4526" spans="1:2">
      <c r="A4526">
        <v>4525</v>
      </c>
      <c r="B4526" s="119">
        <v>0.62170400853528418</v>
      </c>
    </row>
    <row r="4527" spans="1:2">
      <c r="A4527">
        <v>4526</v>
      </c>
      <c r="B4527" s="119">
        <v>0.95503734186861744</v>
      </c>
    </row>
    <row r="4528" spans="1:2">
      <c r="A4528">
        <v>4527</v>
      </c>
      <c r="B4528" s="119">
        <v>0.10318549001676573</v>
      </c>
    </row>
    <row r="4529" spans="1:2">
      <c r="A4529">
        <v>4528</v>
      </c>
      <c r="B4529" s="119">
        <v>0.43651882335009901</v>
      </c>
    </row>
    <row r="4530" spans="1:2">
      <c r="A4530">
        <v>4529</v>
      </c>
      <c r="B4530" s="119">
        <v>0.76985215668343232</v>
      </c>
    </row>
    <row r="4531" spans="1:2">
      <c r="A4531">
        <v>4530</v>
      </c>
      <c r="B4531" s="119">
        <v>0.21429660112787685</v>
      </c>
    </row>
    <row r="4532" spans="1:2">
      <c r="A4532">
        <v>4531</v>
      </c>
      <c r="B4532" s="119">
        <v>0.54762993446121011</v>
      </c>
    </row>
    <row r="4533" spans="1:2">
      <c r="A4533">
        <v>4532</v>
      </c>
      <c r="B4533" s="119">
        <v>0.88096326779454337</v>
      </c>
    </row>
    <row r="4534" spans="1:2">
      <c r="A4534">
        <v>4533</v>
      </c>
      <c r="B4534" s="119">
        <v>0.3254077122389879</v>
      </c>
    </row>
    <row r="4535" spans="1:2">
      <c r="A4535">
        <v>4534</v>
      </c>
      <c r="B4535" s="119">
        <v>0.65874104557232127</v>
      </c>
    </row>
    <row r="4536" spans="1:2">
      <c r="A4536">
        <v>4535</v>
      </c>
      <c r="B4536" s="119">
        <v>0.99207437890565453</v>
      </c>
    </row>
    <row r="4537" spans="1:2">
      <c r="A4537">
        <v>4536</v>
      </c>
      <c r="B4537" s="119">
        <v>8.5352842554488658E-3</v>
      </c>
    </row>
    <row r="4538" spans="1:2">
      <c r="A4538">
        <v>4537</v>
      </c>
      <c r="B4538" s="119">
        <v>0.34186861758878218</v>
      </c>
    </row>
    <row r="4539" spans="1:2">
      <c r="A4539">
        <v>4538</v>
      </c>
      <c r="B4539" s="119">
        <v>0.67520195092211543</v>
      </c>
    </row>
    <row r="4540" spans="1:2">
      <c r="A4540">
        <v>4539</v>
      </c>
      <c r="B4540" s="119">
        <v>0.11964639536655998</v>
      </c>
    </row>
    <row r="4541" spans="1:2">
      <c r="A4541">
        <v>4540</v>
      </c>
      <c r="B4541" s="119">
        <v>0.45297972869989328</v>
      </c>
    </row>
    <row r="4542" spans="1:2">
      <c r="A4542">
        <v>4541</v>
      </c>
      <c r="B4542" s="119">
        <v>0.78631306203322648</v>
      </c>
    </row>
    <row r="4543" spans="1:2">
      <c r="A4543">
        <v>4542</v>
      </c>
      <c r="B4543" s="119">
        <v>0.23075750647767107</v>
      </c>
    </row>
    <row r="4544" spans="1:2">
      <c r="A4544">
        <v>4543</v>
      </c>
      <c r="B4544" s="119">
        <v>0.56409083981100439</v>
      </c>
    </row>
    <row r="4545" spans="1:2">
      <c r="A4545">
        <v>4544</v>
      </c>
      <c r="B4545" s="119">
        <v>0.89742417314433764</v>
      </c>
    </row>
    <row r="4546" spans="1:2">
      <c r="A4546">
        <v>4545</v>
      </c>
      <c r="B4546" s="119">
        <v>4.5572321292485903E-2</v>
      </c>
    </row>
    <row r="4547" spans="1:2">
      <c r="A4547">
        <v>4546</v>
      </c>
      <c r="B4547" s="119">
        <v>0.37890565462581921</v>
      </c>
    </row>
    <row r="4548" spans="1:2">
      <c r="A4548">
        <v>4547</v>
      </c>
      <c r="B4548" s="119">
        <v>0.71223898795915253</v>
      </c>
    </row>
    <row r="4549" spans="1:2">
      <c r="A4549">
        <v>4548</v>
      </c>
      <c r="B4549" s="119">
        <v>0.156683432403597</v>
      </c>
    </row>
    <row r="4550" spans="1:2">
      <c r="A4550">
        <v>4549</v>
      </c>
      <c r="B4550" s="119">
        <v>0.49001676573693032</v>
      </c>
    </row>
    <row r="4551" spans="1:2">
      <c r="A4551">
        <v>4550</v>
      </c>
      <c r="B4551" s="119">
        <v>0.82335009907026346</v>
      </c>
    </row>
    <row r="4552" spans="1:2">
      <c r="A4552">
        <v>4551</v>
      </c>
      <c r="B4552" s="119">
        <v>0.26779454351470811</v>
      </c>
    </row>
    <row r="4553" spans="1:2">
      <c r="A4553">
        <v>4552</v>
      </c>
      <c r="B4553" s="119">
        <v>0.60112787684804136</v>
      </c>
    </row>
    <row r="4554" spans="1:2">
      <c r="A4554">
        <v>4553</v>
      </c>
      <c r="B4554" s="119">
        <v>0.93446121018137462</v>
      </c>
    </row>
    <row r="4555" spans="1:2">
      <c r="A4555">
        <v>4554</v>
      </c>
      <c r="B4555" s="119">
        <v>8.2609358329522944E-2</v>
      </c>
    </row>
    <row r="4556" spans="1:2">
      <c r="A4556">
        <v>4555</v>
      </c>
      <c r="B4556" s="119">
        <v>0.41594269166285625</v>
      </c>
    </row>
    <row r="4557" spans="1:2">
      <c r="A4557">
        <v>4556</v>
      </c>
      <c r="B4557" s="119">
        <v>0.7492760249961895</v>
      </c>
    </row>
    <row r="4558" spans="1:2">
      <c r="A4558">
        <v>4557</v>
      </c>
      <c r="B4558" s="119">
        <v>0.19372046944063404</v>
      </c>
    </row>
    <row r="4559" spans="1:2">
      <c r="A4559">
        <v>4558</v>
      </c>
      <c r="B4559" s="119">
        <v>0.52705380277396729</v>
      </c>
    </row>
    <row r="4560" spans="1:2">
      <c r="A4560">
        <v>4559</v>
      </c>
      <c r="B4560" s="119">
        <v>0.86038713610730055</v>
      </c>
    </row>
    <row r="4561" spans="1:2">
      <c r="A4561">
        <v>4560</v>
      </c>
      <c r="B4561" s="119">
        <v>0.30483158055174514</v>
      </c>
    </row>
    <row r="4562" spans="1:2">
      <c r="A4562">
        <v>4561</v>
      </c>
      <c r="B4562" s="119">
        <v>0.63816491388507846</v>
      </c>
    </row>
    <row r="4563" spans="1:2">
      <c r="A4563">
        <v>4562</v>
      </c>
      <c r="B4563" s="119">
        <v>0.97149824721841171</v>
      </c>
    </row>
    <row r="4564" spans="1:2">
      <c r="A4564">
        <v>4563</v>
      </c>
      <c r="B4564" s="119">
        <v>2.0880963267794542E-2</v>
      </c>
    </row>
    <row r="4565" spans="1:2">
      <c r="A4565">
        <v>4564</v>
      </c>
      <c r="B4565" s="119">
        <v>0.35421429660112785</v>
      </c>
    </row>
    <row r="4566" spans="1:2">
      <c r="A4566">
        <v>4565</v>
      </c>
      <c r="B4566" s="119">
        <v>0.68754762993446106</v>
      </c>
    </row>
    <row r="4567" spans="1:2">
      <c r="A4567">
        <v>4566</v>
      </c>
      <c r="B4567" s="119">
        <v>0.13199207437890564</v>
      </c>
    </row>
    <row r="4568" spans="1:2">
      <c r="A4568">
        <v>4567</v>
      </c>
      <c r="B4568" s="119">
        <v>0.46532540771223896</v>
      </c>
    </row>
    <row r="4569" spans="1:2">
      <c r="A4569">
        <v>4568</v>
      </c>
      <c r="B4569" s="119">
        <v>0.79865874104557222</v>
      </c>
    </row>
    <row r="4570" spans="1:2">
      <c r="A4570">
        <v>4569</v>
      </c>
      <c r="B4570" s="119">
        <v>0.24310318549001675</v>
      </c>
    </row>
    <row r="4571" spans="1:2">
      <c r="A4571">
        <v>4570</v>
      </c>
      <c r="B4571" s="119">
        <v>0.57643651882335012</v>
      </c>
    </row>
    <row r="4572" spans="1:2">
      <c r="A4572">
        <v>4571</v>
      </c>
      <c r="B4572" s="119">
        <v>0.90976985215668338</v>
      </c>
    </row>
    <row r="4573" spans="1:2">
      <c r="A4573">
        <v>4572</v>
      </c>
      <c r="B4573" s="119">
        <v>5.7918000304831581E-2</v>
      </c>
    </row>
    <row r="4574" spans="1:2">
      <c r="A4574">
        <v>4573</v>
      </c>
      <c r="B4574" s="119">
        <v>0.39125133363816489</v>
      </c>
    </row>
    <row r="4575" spans="1:2">
      <c r="A4575">
        <v>4574</v>
      </c>
      <c r="B4575" s="119">
        <v>0.72458466697149826</v>
      </c>
    </row>
    <row r="4576" spans="1:2">
      <c r="A4576">
        <v>4575</v>
      </c>
      <c r="B4576" s="119">
        <v>0.16902911141594268</v>
      </c>
    </row>
    <row r="4577" spans="1:2">
      <c r="A4577">
        <v>4576</v>
      </c>
      <c r="B4577" s="119">
        <v>0.50236244474927594</v>
      </c>
    </row>
    <row r="4578" spans="1:2">
      <c r="A4578">
        <v>4577</v>
      </c>
      <c r="B4578" s="119">
        <v>0.8356957780826092</v>
      </c>
    </row>
    <row r="4579" spans="1:2">
      <c r="A4579">
        <v>4578</v>
      </c>
      <c r="B4579" s="119">
        <v>0.28014022252705378</v>
      </c>
    </row>
    <row r="4580" spans="1:2">
      <c r="A4580">
        <v>4579</v>
      </c>
      <c r="B4580" s="119">
        <v>0.6134735558603871</v>
      </c>
    </row>
    <row r="4581" spans="1:2">
      <c r="A4581">
        <v>4580</v>
      </c>
      <c r="B4581" s="119">
        <v>0.94680688919372036</v>
      </c>
    </row>
    <row r="4582" spans="1:2">
      <c r="A4582">
        <v>4581</v>
      </c>
      <c r="B4582" s="119">
        <v>9.4955037341868623E-2</v>
      </c>
    </row>
    <row r="4583" spans="1:2">
      <c r="A4583">
        <v>4582</v>
      </c>
      <c r="B4583" s="119">
        <v>0.42828837067520192</v>
      </c>
    </row>
    <row r="4584" spans="1:2">
      <c r="A4584">
        <v>4583</v>
      </c>
      <c r="B4584" s="119">
        <v>0.76162170400853524</v>
      </c>
    </row>
    <row r="4585" spans="1:2">
      <c r="A4585">
        <v>4584</v>
      </c>
      <c r="B4585" s="119">
        <v>0.20606614845297971</v>
      </c>
    </row>
    <row r="4586" spans="1:2">
      <c r="A4586">
        <v>4585</v>
      </c>
      <c r="B4586" s="119">
        <v>0.53939948178631292</v>
      </c>
    </row>
    <row r="4587" spans="1:2">
      <c r="A4587">
        <v>4586</v>
      </c>
      <c r="B4587" s="119">
        <v>0.87273281511964618</v>
      </c>
    </row>
    <row r="4588" spans="1:2">
      <c r="A4588">
        <v>4587</v>
      </c>
      <c r="B4588" s="119">
        <v>0.31717725956409082</v>
      </c>
    </row>
    <row r="4589" spans="1:2">
      <c r="A4589">
        <v>4588</v>
      </c>
      <c r="B4589" s="119">
        <v>0.65051059289742408</v>
      </c>
    </row>
    <row r="4590" spans="1:2">
      <c r="A4590">
        <v>4589</v>
      </c>
      <c r="B4590" s="119">
        <v>0.98384392623075734</v>
      </c>
    </row>
    <row r="4591" spans="1:2">
      <c r="A4591">
        <v>4590</v>
      </c>
      <c r="B4591" s="119">
        <v>3.3226642280140224E-2</v>
      </c>
    </row>
    <row r="4592" spans="1:2">
      <c r="A4592">
        <v>4591</v>
      </c>
      <c r="B4592" s="119">
        <v>0.36655997561347353</v>
      </c>
    </row>
    <row r="4593" spans="1:2">
      <c r="A4593">
        <v>4592</v>
      </c>
      <c r="B4593" s="119">
        <v>0.69989330894680679</v>
      </c>
    </row>
    <row r="4594" spans="1:2">
      <c r="A4594">
        <v>4593</v>
      </c>
      <c r="B4594" s="119">
        <v>0.14433775339125132</v>
      </c>
    </row>
    <row r="4595" spans="1:2">
      <c r="A4595">
        <v>4594</v>
      </c>
      <c r="B4595" s="119">
        <v>0.47767108672458464</v>
      </c>
    </row>
    <row r="4596" spans="1:2">
      <c r="A4596">
        <v>4595</v>
      </c>
      <c r="B4596" s="119">
        <v>0.81100442005791784</v>
      </c>
    </row>
    <row r="4597" spans="1:2">
      <c r="A4597">
        <v>4596</v>
      </c>
      <c r="B4597" s="119">
        <v>0.25544886450236243</v>
      </c>
    </row>
    <row r="4598" spans="1:2">
      <c r="A4598">
        <v>4597</v>
      </c>
      <c r="B4598" s="119">
        <v>0.58878219783569574</v>
      </c>
    </row>
    <row r="4599" spans="1:2">
      <c r="A4599">
        <v>4598</v>
      </c>
      <c r="B4599" s="119">
        <v>0.922115531169029</v>
      </c>
    </row>
    <row r="4600" spans="1:2">
      <c r="A4600">
        <v>4599</v>
      </c>
      <c r="B4600" s="119">
        <v>7.0263679317177266E-2</v>
      </c>
    </row>
    <row r="4601" spans="1:2">
      <c r="A4601">
        <v>4600</v>
      </c>
      <c r="B4601" s="119">
        <v>0.40359701265051057</v>
      </c>
    </row>
    <row r="4602" spans="1:2">
      <c r="A4602">
        <v>4601</v>
      </c>
      <c r="B4602" s="119">
        <v>0.73693034598384388</v>
      </c>
    </row>
    <row r="4603" spans="1:2">
      <c r="A4603">
        <v>4602</v>
      </c>
      <c r="B4603" s="119">
        <v>0.18137479042828836</v>
      </c>
    </row>
    <row r="4604" spans="1:2">
      <c r="A4604">
        <v>4603</v>
      </c>
      <c r="B4604" s="119">
        <v>0.51470812376162167</v>
      </c>
    </row>
    <row r="4605" spans="1:2">
      <c r="A4605">
        <v>4604</v>
      </c>
      <c r="B4605" s="119">
        <v>0.84804145709495482</v>
      </c>
    </row>
    <row r="4606" spans="1:2">
      <c r="A4606">
        <v>4605</v>
      </c>
      <c r="B4606" s="119">
        <v>0.29248590153939946</v>
      </c>
    </row>
    <row r="4607" spans="1:2">
      <c r="A4607">
        <v>4606</v>
      </c>
      <c r="B4607" s="119">
        <v>0.62581923487273272</v>
      </c>
    </row>
    <row r="4608" spans="1:2">
      <c r="A4608">
        <v>4607</v>
      </c>
      <c r="B4608" s="119">
        <v>0.95915256820606598</v>
      </c>
    </row>
    <row r="4609" spans="1:2">
      <c r="A4609">
        <v>4608</v>
      </c>
      <c r="B4609" s="119">
        <v>0.1073007163542143</v>
      </c>
    </row>
    <row r="4610" spans="1:2">
      <c r="A4610">
        <v>4609</v>
      </c>
      <c r="B4610" s="119">
        <v>0.4406340496875476</v>
      </c>
    </row>
    <row r="4611" spans="1:2">
      <c r="A4611">
        <v>4610</v>
      </c>
      <c r="B4611" s="119">
        <v>0.77396738302088086</v>
      </c>
    </row>
    <row r="4612" spans="1:2">
      <c r="A4612">
        <v>4611</v>
      </c>
      <c r="B4612" s="119">
        <v>0.21841182746532539</v>
      </c>
    </row>
    <row r="4613" spans="1:2">
      <c r="A4613">
        <v>4612</v>
      </c>
      <c r="B4613" s="119">
        <v>0.55174516079865865</v>
      </c>
    </row>
    <row r="4614" spans="1:2">
      <c r="A4614">
        <v>4613</v>
      </c>
      <c r="B4614" s="119">
        <v>0.88507849413199191</v>
      </c>
    </row>
    <row r="4615" spans="1:2">
      <c r="A4615">
        <v>4614</v>
      </c>
      <c r="B4615" s="119">
        <v>0.3295229385764365</v>
      </c>
    </row>
    <row r="4616" spans="1:2">
      <c r="A4616">
        <v>4615</v>
      </c>
      <c r="B4616" s="119">
        <v>0.66285627190976981</v>
      </c>
    </row>
    <row r="4617" spans="1:2">
      <c r="A4617">
        <v>4616</v>
      </c>
      <c r="B4617" s="119">
        <v>0.99618960524310307</v>
      </c>
    </row>
    <row r="4618" spans="1:2">
      <c r="A4618">
        <v>4617</v>
      </c>
      <c r="B4618" s="119">
        <v>1.6765736930345982E-3</v>
      </c>
    </row>
    <row r="4619" spans="1:2">
      <c r="A4619">
        <v>4618</v>
      </c>
      <c r="B4619" s="119">
        <v>0.3350099070263679</v>
      </c>
    </row>
    <row r="4620" spans="1:2">
      <c r="A4620">
        <v>4619</v>
      </c>
      <c r="B4620" s="119">
        <v>0.66834324035970116</v>
      </c>
    </row>
    <row r="4621" spans="1:2">
      <c r="A4621">
        <v>4620</v>
      </c>
      <c r="B4621" s="119">
        <v>0.11278768480414571</v>
      </c>
    </row>
    <row r="4622" spans="1:2">
      <c r="A4622">
        <v>4621</v>
      </c>
      <c r="B4622" s="119">
        <v>0.44612101813747901</v>
      </c>
    </row>
    <row r="4623" spans="1:2">
      <c r="A4623">
        <v>4622</v>
      </c>
      <c r="B4623" s="119">
        <v>0.77945435147081221</v>
      </c>
    </row>
    <row r="4624" spans="1:2">
      <c r="A4624">
        <v>4623</v>
      </c>
      <c r="B4624" s="119">
        <v>0.22389879591525683</v>
      </c>
    </row>
    <row r="4625" spans="1:2">
      <c r="A4625">
        <v>4624</v>
      </c>
      <c r="B4625" s="119">
        <v>0.55723212924859011</v>
      </c>
    </row>
    <row r="4626" spans="1:2">
      <c r="A4626">
        <v>4625</v>
      </c>
      <c r="B4626" s="119">
        <v>0.89056546258192337</v>
      </c>
    </row>
    <row r="4627" spans="1:2">
      <c r="A4627">
        <v>4626</v>
      </c>
      <c r="B4627" s="119">
        <v>3.8713610730071631E-2</v>
      </c>
    </row>
    <row r="4628" spans="1:2">
      <c r="A4628">
        <v>4627</v>
      </c>
      <c r="B4628" s="119">
        <v>0.37204694406340494</v>
      </c>
    </row>
    <row r="4629" spans="1:2">
      <c r="A4629">
        <v>4628</v>
      </c>
      <c r="B4629" s="119">
        <v>0.70538027739673825</v>
      </c>
    </row>
    <row r="4630" spans="1:2">
      <c r="A4630">
        <v>4629</v>
      </c>
      <c r="B4630" s="119">
        <v>0.14982472184118276</v>
      </c>
    </row>
    <row r="4631" spans="1:2">
      <c r="A4631">
        <v>4630</v>
      </c>
      <c r="B4631" s="119">
        <v>0.48315805517451604</v>
      </c>
    </row>
    <row r="4632" spans="1:2">
      <c r="A4632">
        <v>4631</v>
      </c>
      <c r="B4632" s="119">
        <v>0.81649138850784919</v>
      </c>
    </row>
    <row r="4633" spans="1:2">
      <c r="A4633">
        <v>4632</v>
      </c>
      <c r="B4633" s="119">
        <v>0.26093583295229383</v>
      </c>
    </row>
    <row r="4634" spans="1:2">
      <c r="A4634">
        <v>4633</v>
      </c>
      <c r="B4634" s="119">
        <v>0.59426916628562709</v>
      </c>
    </row>
    <row r="4635" spans="1:2">
      <c r="A4635">
        <v>4634</v>
      </c>
      <c r="B4635" s="119">
        <v>0.92760249961896035</v>
      </c>
    </row>
    <row r="4636" spans="1:2">
      <c r="A4636">
        <v>4635</v>
      </c>
      <c r="B4636" s="119">
        <v>7.5750647767108673E-2</v>
      </c>
    </row>
    <row r="4637" spans="1:2">
      <c r="A4637">
        <v>4636</v>
      </c>
      <c r="B4637" s="119">
        <v>0.40908398110044197</v>
      </c>
    </row>
    <row r="4638" spans="1:2">
      <c r="A4638">
        <v>4637</v>
      </c>
      <c r="B4638" s="119">
        <v>0.74241731443377523</v>
      </c>
    </row>
    <row r="4639" spans="1:2">
      <c r="A4639">
        <v>4638</v>
      </c>
      <c r="B4639" s="119">
        <v>0.18686175887821979</v>
      </c>
    </row>
    <row r="4640" spans="1:2">
      <c r="A4640">
        <v>4639</v>
      </c>
      <c r="B4640" s="119">
        <v>0.52019509221155302</v>
      </c>
    </row>
    <row r="4641" spans="1:2">
      <c r="A4641">
        <v>4640</v>
      </c>
      <c r="B4641" s="119">
        <v>0.85352842554488628</v>
      </c>
    </row>
    <row r="4642" spans="1:2">
      <c r="A4642">
        <v>4641</v>
      </c>
      <c r="B4642" s="119">
        <v>0.29797286998933087</v>
      </c>
    </row>
    <row r="4643" spans="1:2">
      <c r="A4643">
        <v>4642</v>
      </c>
      <c r="B4643" s="119">
        <v>0.63130620332266418</v>
      </c>
    </row>
    <row r="4644" spans="1:2">
      <c r="A4644">
        <v>4643</v>
      </c>
      <c r="B4644" s="119">
        <v>0.96463953665599744</v>
      </c>
    </row>
    <row r="4645" spans="1:2">
      <c r="A4645">
        <v>4644</v>
      </c>
      <c r="B4645" s="119">
        <v>1.4022252705380277E-2</v>
      </c>
    </row>
    <row r="4646" spans="1:2">
      <c r="A4646">
        <v>4645</v>
      </c>
      <c r="B4646" s="119">
        <v>0.34735558603871358</v>
      </c>
    </row>
    <row r="4647" spans="1:2">
      <c r="A4647">
        <v>4646</v>
      </c>
      <c r="B4647" s="119">
        <v>0.68068891937204679</v>
      </c>
    </row>
    <row r="4648" spans="1:2">
      <c r="A4648">
        <v>4647</v>
      </c>
      <c r="B4648" s="119">
        <v>0.12513336381649137</v>
      </c>
    </row>
    <row r="4649" spans="1:2">
      <c r="A4649">
        <v>4648</v>
      </c>
      <c r="B4649" s="119">
        <v>0.45846669714982469</v>
      </c>
    </row>
    <row r="4650" spans="1:2">
      <c r="A4650">
        <v>4649</v>
      </c>
      <c r="B4650" s="119">
        <v>0.79180003048315795</v>
      </c>
    </row>
    <row r="4651" spans="1:2">
      <c r="A4651">
        <v>4650</v>
      </c>
      <c r="B4651" s="119">
        <v>0.2362444749276025</v>
      </c>
    </row>
    <row r="4652" spans="1:2">
      <c r="A4652">
        <v>4651</v>
      </c>
      <c r="B4652" s="119">
        <v>0.56957780826093585</v>
      </c>
    </row>
    <row r="4653" spans="1:2">
      <c r="A4653">
        <v>4652</v>
      </c>
      <c r="B4653" s="119">
        <v>0.90291114159426911</v>
      </c>
    </row>
    <row r="4654" spans="1:2">
      <c r="A4654">
        <v>4653</v>
      </c>
      <c r="B4654" s="119">
        <v>5.1059289742417309E-2</v>
      </c>
    </row>
    <row r="4655" spans="1:2">
      <c r="A4655">
        <v>4654</v>
      </c>
      <c r="B4655" s="119">
        <v>0.38439262307575062</v>
      </c>
    </row>
    <row r="4656" spans="1:2">
      <c r="A4656">
        <v>4655</v>
      </c>
      <c r="B4656" s="119">
        <v>0.71772595640908399</v>
      </c>
    </row>
    <row r="4657" spans="1:2">
      <c r="A4657">
        <v>4656</v>
      </c>
      <c r="B4657" s="119">
        <v>0.16217040085352843</v>
      </c>
    </row>
    <row r="4658" spans="1:2">
      <c r="A4658">
        <v>4657</v>
      </c>
      <c r="B4658" s="119">
        <v>0.49550373418686172</v>
      </c>
    </row>
    <row r="4659" spans="1:2">
      <c r="A4659">
        <v>4658</v>
      </c>
      <c r="B4659" s="119">
        <v>0.82883706752019493</v>
      </c>
    </row>
    <row r="4660" spans="1:2">
      <c r="A4660">
        <v>4659</v>
      </c>
      <c r="B4660" s="119">
        <v>0.27328151196463951</v>
      </c>
    </row>
    <row r="4661" spans="1:2">
      <c r="A4661">
        <v>4660</v>
      </c>
      <c r="B4661" s="119">
        <v>0.60661484529797283</v>
      </c>
    </row>
    <row r="4662" spans="1:2">
      <c r="A4662">
        <v>4661</v>
      </c>
      <c r="B4662" s="119">
        <v>0.93994817863130609</v>
      </c>
    </row>
    <row r="4663" spans="1:2">
      <c r="A4663">
        <v>4662</v>
      </c>
      <c r="B4663" s="119">
        <v>8.8096326779454351E-2</v>
      </c>
    </row>
    <row r="4664" spans="1:2">
      <c r="A4664">
        <v>4663</v>
      </c>
      <c r="B4664" s="119">
        <v>0.42142966011278765</v>
      </c>
    </row>
    <row r="4665" spans="1:2">
      <c r="A4665">
        <v>4664</v>
      </c>
      <c r="B4665" s="119">
        <v>0.75476299344612097</v>
      </c>
    </row>
    <row r="4666" spans="1:2">
      <c r="A4666">
        <v>4665</v>
      </c>
      <c r="B4666" s="119">
        <v>0.19920743789056547</v>
      </c>
    </row>
    <row r="4667" spans="1:2">
      <c r="A4667">
        <v>4666</v>
      </c>
      <c r="B4667" s="119">
        <v>0.53254077122389865</v>
      </c>
    </row>
    <row r="4668" spans="1:2">
      <c r="A4668">
        <v>4667</v>
      </c>
      <c r="B4668" s="119">
        <v>0.86587410455723191</v>
      </c>
    </row>
    <row r="4669" spans="1:2">
      <c r="A4669">
        <v>4668</v>
      </c>
      <c r="B4669" s="119">
        <v>0.31031854900167655</v>
      </c>
    </row>
    <row r="4670" spans="1:2">
      <c r="A4670">
        <v>4669</v>
      </c>
      <c r="B4670" s="119">
        <v>0.64365188233500981</v>
      </c>
    </row>
    <row r="4671" spans="1:2">
      <c r="A4671">
        <v>4670</v>
      </c>
      <c r="B4671" s="119">
        <v>0.97698521566834307</v>
      </c>
    </row>
    <row r="4672" spans="1:2">
      <c r="A4672">
        <v>4671</v>
      </c>
      <c r="B4672" s="119">
        <v>2.6367931717725952E-2</v>
      </c>
    </row>
    <row r="4673" spans="1:2">
      <c r="A4673">
        <v>4672</v>
      </c>
      <c r="B4673" s="119">
        <v>0.35970126505105926</v>
      </c>
    </row>
    <row r="4674" spans="1:2">
      <c r="A4674">
        <v>4673</v>
      </c>
      <c r="B4674" s="119">
        <v>0.69303459838439252</v>
      </c>
    </row>
    <row r="4675" spans="1:2">
      <c r="A4675">
        <v>4674</v>
      </c>
      <c r="B4675" s="119">
        <v>0.13747904282883708</v>
      </c>
    </row>
    <row r="4676" spans="1:2">
      <c r="A4676">
        <v>4675</v>
      </c>
      <c r="B4676" s="119">
        <v>0.47081237616217037</v>
      </c>
    </row>
    <row r="4677" spans="1:2">
      <c r="A4677">
        <v>4676</v>
      </c>
      <c r="B4677" s="119">
        <v>0.80414570949550357</v>
      </c>
    </row>
    <row r="4678" spans="1:2">
      <c r="A4678">
        <v>4677</v>
      </c>
      <c r="B4678" s="119">
        <v>0.24859015393994818</v>
      </c>
    </row>
    <row r="4679" spans="1:2">
      <c r="A4679">
        <v>4678</v>
      </c>
      <c r="B4679" s="119">
        <v>0.58192348727328147</v>
      </c>
    </row>
    <row r="4680" spans="1:2">
      <c r="A4680">
        <v>4679</v>
      </c>
      <c r="B4680" s="119">
        <v>0.91525682060661473</v>
      </c>
    </row>
    <row r="4681" spans="1:2">
      <c r="A4681">
        <v>4680</v>
      </c>
      <c r="B4681" s="119">
        <v>6.3404968754762994E-2</v>
      </c>
    </row>
    <row r="4682" spans="1:2">
      <c r="A4682">
        <v>4681</v>
      </c>
      <c r="B4682" s="119">
        <v>0.3967383020880963</v>
      </c>
    </row>
    <row r="4683" spans="1:2">
      <c r="A4683">
        <v>4682</v>
      </c>
      <c r="B4683" s="119">
        <v>0.73007163542142961</v>
      </c>
    </row>
    <row r="4684" spans="1:2">
      <c r="A4684">
        <v>4683</v>
      </c>
      <c r="B4684" s="119">
        <v>0.17451607986587411</v>
      </c>
    </row>
    <row r="4685" spans="1:2">
      <c r="A4685">
        <v>4684</v>
      </c>
      <c r="B4685" s="119">
        <v>0.5078494131992074</v>
      </c>
    </row>
    <row r="4686" spans="1:2">
      <c r="A4686">
        <v>4685</v>
      </c>
      <c r="B4686" s="119">
        <v>0.84118274653254055</v>
      </c>
    </row>
    <row r="4687" spans="1:2">
      <c r="A4687">
        <v>4686</v>
      </c>
      <c r="B4687" s="119">
        <v>0.28562719097698519</v>
      </c>
    </row>
    <row r="4688" spans="1:2">
      <c r="A4688">
        <v>4687</v>
      </c>
      <c r="B4688" s="119">
        <v>0.61896052431031845</v>
      </c>
    </row>
    <row r="4689" spans="1:2">
      <c r="A4689">
        <v>4688</v>
      </c>
      <c r="B4689" s="119">
        <v>0.95229385764365171</v>
      </c>
    </row>
    <row r="4690" spans="1:2">
      <c r="A4690">
        <v>4689</v>
      </c>
      <c r="B4690" s="119">
        <v>0.10044200579180003</v>
      </c>
    </row>
    <row r="4691" spans="1:2">
      <c r="A4691">
        <v>4690</v>
      </c>
      <c r="B4691" s="119">
        <v>0.43377533912513333</v>
      </c>
    </row>
    <row r="4692" spans="1:2">
      <c r="A4692">
        <v>4691</v>
      </c>
      <c r="B4692" s="119">
        <v>0.76710867245846659</v>
      </c>
    </row>
    <row r="4693" spans="1:2">
      <c r="A4693">
        <v>4692</v>
      </c>
      <c r="B4693" s="119">
        <v>0.21155311690291115</v>
      </c>
    </row>
    <row r="4694" spans="1:2">
      <c r="A4694">
        <v>4693</v>
      </c>
      <c r="B4694" s="119">
        <v>0.54488645023624438</v>
      </c>
    </row>
    <row r="4695" spans="1:2">
      <c r="A4695">
        <v>4694</v>
      </c>
      <c r="B4695" s="119">
        <v>0.87821978356957764</v>
      </c>
    </row>
    <row r="4696" spans="1:2">
      <c r="A4696">
        <v>4695</v>
      </c>
      <c r="B4696" s="119">
        <v>0.32266422801402223</v>
      </c>
    </row>
    <row r="4697" spans="1:2">
      <c r="A4697">
        <v>4696</v>
      </c>
      <c r="B4697" s="119">
        <v>0.65599756134735554</v>
      </c>
    </row>
    <row r="4698" spans="1:2">
      <c r="A4698">
        <v>4697</v>
      </c>
      <c r="B4698" s="119">
        <v>0.9893308946806888</v>
      </c>
    </row>
    <row r="4699" spans="1:2">
      <c r="A4699">
        <v>4698</v>
      </c>
      <c r="B4699" s="119">
        <v>5.7918000304831583E-3</v>
      </c>
    </row>
    <row r="4700" spans="1:2">
      <c r="A4700">
        <v>4699</v>
      </c>
      <c r="B4700" s="119">
        <v>0.33912513336381644</v>
      </c>
    </row>
    <row r="4701" spans="1:2">
      <c r="A4701">
        <v>4700</v>
      </c>
      <c r="B4701" s="119">
        <v>0.6724584666971497</v>
      </c>
    </row>
    <row r="4702" spans="1:2">
      <c r="A4702">
        <v>4701</v>
      </c>
      <c r="B4702" s="119">
        <v>0.11690291114159426</v>
      </c>
    </row>
    <row r="4703" spans="1:2">
      <c r="A4703">
        <v>4702</v>
      </c>
      <c r="B4703" s="119">
        <v>0.45023624447492755</v>
      </c>
    </row>
    <row r="4704" spans="1:2">
      <c r="A4704">
        <v>4703</v>
      </c>
      <c r="B4704" s="119">
        <v>0.78356957780826075</v>
      </c>
    </row>
    <row r="4705" spans="1:2">
      <c r="A4705">
        <v>4704</v>
      </c>
      <c r="B4705" s="119">
        <v>0.2280140222527054</v>
      </c>
    </row>
    <row r="4706" spans="1:2">
      <c r="A4706">
        <v>4705</v>
      </c>
      <c r="B4706" s="119">
        <v>0.56134735558603865</v>
      </c>
    </row>
    <row r="4707" spans="1:2">
      <c r="A4707">
        <v>4706</v>
      </c>
      <c r="B4707" s="119">
        <v>0.89468068891937191</v>
      </c>
    </row>
    <row r="4708" spans="1:2">
      <c r="A4708">
        <v>4707</v>
      </c>
      <c r="B4708" s="119">
        <v>4.2828837067520192E-2</v>
      </c>
    </row>
    <row r="4709" spans="1:2">
      <c r="A4709">
        <v>4708</v>
      </c>
      <c r="B4709" s="119">
        <v>0.37616217040085348</v>
      </c>
    </row>
    <row r="4710" spans="1:2">
      <c r="A4710">
        <v>4709</v>
      </c>
      <c r="B4710" s="119">
        <v>0.70949550373418679</v>
      </c>
    </row>
    <row r="4711" spans="1:2">
      <c r="A4711">
        <v>4710</v>
      </c>
      <c r="B4711" s="119">
        <v>0.15393994817863133</v>
      </c>
    </row>
    <row r="4712" spans="1:2">
      <c r="A4712">
        <v>4711</v>
      </c>
      <c r="B4712" s="119">
        <v>0.48727328151196458</v>
      </c>
    </row>
    <row r="4713" spans="1:2">
      <c r="A4713">
        <v>4712</v>
      </c>
      <c r="B4713" s="119">
        <v>0.82060661484529773</v>
      </c>
    </row>
    <row r="4714" spans="1:2">
      <c r="A4714">
        <v>4713</v>
      </c>
      <c r="B4714" s="119">
        <v>0.26505105928974237</v>
      </c>
    </row>
    <row r="4715" spans="1:2">
      <c r="A4715">
        <v>4714</v>
      </c>
      <c r="B4715" s="119">
        <v>0.59838439262307563</v>
      </c>
    </row>
    <row r="4716" spans="1:2">
      <c r="A4716">
        <v>4715</v>
      </c>
      <c r="B4716" s="119">
        <v>0.93171772595640889</v>
      </c>
    </row>
    <row r="4717" spans="1:2">
      <c r="A4717">
        <v>4716</v>
      </c>
      <c r="B4717" s="119">
        <v>7.9865874104557227E-2</v>
      </c>
    </row>
    <row r="4718" spans="1:2">
      <c r="A4718">
        <v>4717</v>
      </c>
      <c r="B4718" s="119">
        <v>0.41319920743789051</v>
      </c>
    </row>
    <row r="4719" spans="1:2">
      <c r="A4719">
        <v>4718</v>
      </c>
      <c r="B4719" s="119">
        <v>0.74653254077122377</v>
      </c>
    </row>
    <row r="4720" spans="1:2">
      <c r="A4720">
        <v>4719</v>
      </c>
      <c r="B4720" s="119">
        <v>0.19097698521566836</v>
      </c>
    </row>
    <row r="4721" spans="1:2">
      <c r="A4721">
        <v>4720</v>
      </c>
      <c r="B4721" s="119">
        <v>0.52431031854900156</v>
      </c>
    </row>
    <row r="4722" spans="1:2">
      <c r="A4722">
        <v>4721</v>
      </c>
      <c r="B4722" s="119">
        <v>0.85764365188233482</v>
      </c>
    </row>
    <row r="4723" spans="1:2">
      <c r="A4723">
        <v>4722</v>
      </c>
      <c r="B4723" s="119">
        <v>0.30208809632677941</v>
      </c>
    </row>
    <row r="4724" spans="1:2">
      <c r="A4724">
        <v>4723</v>
      </c>
      <c r="B4724" s="119">
        <v>0.63542142966011272</v>
      </c>
    </row>
    <row r="4725" spans="1:2">
      <c r="A4725">
        <v>4724</v>
      </c>
      <c r="B4725" s="119">
        <v>0.96875476299344598</v>
      </c>
    </row>
    <row r="4726" spans="1:2">
      <c r="A4726">
        <v>4725</v>
      </c>
      <c r="B4726" s="119">
        <v>1.8137479042828836E-2</v>
      </c>
    </row>
    <row r="4727" spans="1:2">
      <c r="A4727">
        <v>4726</v>
      </c>
      <c r="B4727" s="119">
        <v>0.35147081237616212</v>
      </c>
    </row>
    <row r="4728" spans="1:2">
      <c r="A4728">
        <v>4727</v>
      </c>
      <c r="B4728" s="119">
        <v>0.68480414570949533</v>
      </c>
    </row>
    <row r="4729" spans="1:2">
      <c r="A4729">
        <v>4728</v>
      </c>
      <c r="B4729" s="119">
        <v>0.12924859015393997</v>
      </c>
    </row>
    <row r="4730" spans="1:2">
      <c r="A4730">
        <v>4729</v>
      </c>
      <c r="B4730" s="119">
        <v>0.46258192348727323</v>
      </c>
    </row>
    <row r="4731" spans="1:2">
      <c r="A4731">
        <v>4730</v>
      </c>
      <c r="B4731" s="119">
        <v>0.79591525682060649</v>
      </c>
    </row>
    <row r="4732" spans="1:2">
      <c r="A4732">
        <v>4731</v>
      </c>
      <c r="B4732" s="119">
        <v>0.24035970126505107</v>
      </c>
    </row>
    <row r="4733" spans="1:2">
      <c r="A4733">
        <v>4732</v>
      </c>
      <c r="B4733" s="119">
        <v>0.57369303459838439</v>
      </c>
    </row>
    <row r="4734" spans="1:2">
      <c r="A4734">
        <v>4733</v>
      </c>
      <c r="B4734" s="119">
        <v>0.90702636793171765</v>
      </c>
    </row>
    <row r="4735" spans="1:2">
      <c r="A4735">
        <v>4734</v>
      </c>
      <c r="B4735" s="119">
        <v>5.5174516079865871E-2</v>
      </c>
    </row>
    <row r="4736" spans="1:2">
      <c r="A4736">
        <v>4735</v>
      </c>
      <c r="B4736" s="119">
        <v>0.38850784941319916</v>
      </c>
    </row>
    <row r="4737" spans="1:2">
      <c r="A4737">
        <v>4736</v>
      </c>
      <c r="B4737" s="119">
        <v>0.72184118274653253</v>
      </c>
    </row>
    <row r="4738" spans="1:2">
      <c r="A4738">
        <v>4737</v>
      </c>
      <c r="B4738" s="119">
        <v>0.166285627190977</v>
      </c>
    </row>
    <row r="4739" spans="1:2">
      <c r="A4739">
        <v>4738</v>
      </c>
      <c r="B4739" s="119">
        <v>0.49961896052431026</v>
      </c>
    </row>
    <row r="4740" spans="1:2">
      <c r="A4740">
        <v>4739</v>
      </c>
      <c r="B4740" s="119">
        <v>0.83295229385764347</v>
      </c>
    </row>
    <row r="4741" spans="1:2">
      <c r="A4741">
        <v>4740</v>
      </c>
      <c r="B4741" s="119">
        <v>0.27739673830208805</v>
      </c>
    </row>
    <row r="4742" spans="1:2">
      <c r="A4742">
        <v>4741</v>
      </c>
      <c r="B4742" s="119">
        <v>0.61073007163542137</v>
      </c>
    </row>
    <row r="4743" spans="1:2">
      <c r="A4743">
        <v>4742</v>
      </c>
      <c r="B4743" s="119">
        <v>0.94406340496875463</v>
      </c>
    </row>
    <row r="4744" spans="1:2">
      <c r="A4744">
        <v>4743</v>
      </c>
      <c r="B4744" s="119">
        <v>9.2211553116902906E-2</v>
      </c>
    </row>
    <row r="4745" spans="1:2">
      <c r="A4745">
        <v>4744</v>
      </c>
      <c r="B4745" s="119">
        <v>0.42554488645023619</v>
      </c>
    </row>
    <row r="4746" spans="1:2">
      <c r="A4746">
        <v>4745</v>
      </c>
      <c r="B4746" s="119">
        <v>0.75887821978356951</v>
      </c>
    </row>
    <row r="4747" spans="1:2">
      <c r="A4747">
        <v>4746</v>
      </c>
      <c r="B4747" s="119">
        <v>0.20332266422801404</v>
      </c>
    </row>
    <row r="4748" spans="1:2">
      <c r="A4748">
        <v>4747</v>
      </c>
      <c r="B4748" s="119">
        <v>0.53665599756134719</v>
      </c>
    </row>
    <row r="4749" spans="1:2">
      <c r="A4749">
        <v>4748</v>
      </c>
      <c r="B4749" s="119">
        <v>0.86998933089468045</v>
      </c>
    </row>
    <row r="4750" spans="1:2">
      <c r="A4750">
        <v>4749</v>
      </c>
      <c r="B4750" s="119">
        <v>0.31443377533912509</v>
      </c>
    </row>
    <row r="4751" spans="1:2">
      <c r="A4751">
        <v>4750</v>
      </c>
      <c r="B4751" s="119">
        <v>0.64776710867245835</v>
      </c>
    </row>
    <row r="4752" spans="1:2">
      <c r="A4752">
        <v>4751</v>
      </c>
      <c r="B4752" s="119">
        <v>0.98110044200579161</v>
      </c>
    </row>
    <row r="4753" spans="1:2">
      <c r="A4753">
        <v>4752</v>
      </c>
      <c r="B4753" s="119">
        <v>3.0483158055174514E-2</v>
      </c>
    </row>
    <row r="4754" spans="1:2">
      <c r="A4754">
        <v>4753</v>
      </c>
      <c r="B4754" s="119">
        <v>0.3638164913885078</v>
      </c>
    </row>
    <row r="4755" spans="1:2">
      <c r="A4755">
        <v>4754</v>
      </c>
      <c r="B4755" s="119">
        <v>0.69714982472184106</v>
      </c>
    </row>
    <row r="4756" spans="1:2">
      <c r="A4756">
        <v>4755</v>
      </c>
      <c r="B4756" s="119">
        <v>0.14159426916628565</v>
      </c>
    </row>
    <row r="4757" spans="1:2">
      <c r="A4757">
        <v>4756</v>
      </c>
      <c r="B4757" s="119">
        <v>0.47492760249961891</v>
      </c>
    </row>
    <row r="4758" spans="1:2">
      <c r="A4758">
        <v>4757</v>
      </c>
      <c r="B4758" s="119">
        <v>0.80826093583295211</v>
      </c>
    </row>
    <row r="4759" spans="1:2">
      <c r="A4759">
        <v>4758</v>
      </c>
      <c r="B4759" s="119">
        <v>0.2527053802773967</v>
      </c>
    </row>
    <row r="4760" spans="1:2">
      <c r="A4760">
        <v>4759</v>
      </c>
      <c r="B4760" s="119">
        <v>0.58603871361073001</v>
      </c>
    </row>
    <row r="4761" spans="1:2">
      <c r="A4761">
        <v>4760</v>
      </c>
      <c r="B4761" s="119">
        <v>0.91937204694406327</v>
      </c>
    </row>
    <row r="4762" spans="1:2">
      <c r="A4762">
        <v>4761</v>
      </c>
      <c r="B4762" s="119">
        <v>6.7520195092211549E-2</v>
      </c>
    </row>
    <row r="4763" spans="1:2">
      <c r="A4763">
        <v>4762</v>
      </c>
      <c r="B4763" s="119">
        <v>0.40085352842554484</v>
      </c>
    </row>
    <row r="4764" spans="1:2">
      <c r="A4764">
        <v>4763</v>
      </c>
      <c r="B4764" s="119">
        <v>0.73418686175887815</v>
      </c>
    </row>
    <row r="4765" spans="1:2">
      <c r="A4765">
        <v>4764</v>
      </c>
      <c r="B4765" s="119">
        <v>0.17863130620332268</v>
      </c>
    </row>
    <row r="4766" spans="1:2">
      <c r="A4766">
        <v>4765</v>
      </c>
      <c r="B4766" s="119">
        <v>0.51196463953665594</v>
      </c>
    </row>
    <row r="4767" spans="1:2">
      <c r="A4767">
        <v>4766</v>
      </c>
      <c r="B4767" s="119">
        <v>0.84529797286998909</v>
      </c>
    </row>
    <row r="4768" spans="1:2">
      <c r="A4768">
        <v>4767</v>
      </c>
      <c r="B4768" s="119">
        <v>0.28974241731443373</v>
      </c>
    </row>
    <row r="4769" spans="1:2">
      <c r="A4769">
        <v>4768</v>
      </c>
      <c r="B4769" s="119">
        <v>0.62307575064776699</v>
      </c>
    </row>
    <row r="4770" spans="1:2">
      <c r="A4770">
        <v>4769</v>
      </c>
      <c r="B4770" s="119">
        <v>0.95640908398110025</v>
      </c>
    </row>
    <row r="4771" spans="1:2">
      <c r="A4771">
        <v>4770</v>
      </c>
      <c r="B4771" s="119">
        <v>0.10455723212924858</v>
      </c>
    </row>
    <row r="4772" spans="1:2">
      <c r="A4772">
        <v>4771</v>
      </c>
      <c r="B4772" s="119">
        <v>0.43789056546258187</v>
      </c>
    </row>
    <row r="4773" spans="1:2">
      <c r="A4773">
        <v>4772</v>
      </c>
      <c r="B4773" s="119">
        <v>0.77122389879591513</v>
      </c>
    </row>
    <row r="4774" spans="1:2">
      <c r="A4774">
        <v>4773</v>
      </c>
      <c r="B4774" s="119">
        <v>0.21566834324035972</v>
      </c>
    </row>
    <row r="4775" spans="1:2">
      <c r="A4775">
        <v>4774</v>
      </c>
      <c r="B4775" s="119">
        <v>0.54900167657369292</v>
      </c>
    </row>
    <row r="4776" spans="1:2">
      <c r="A4776">
        <v>4775</v>
      </c>
      <c r="B4776" s="119">
        <v>0.88233500990702618</v>
      </c>
    </row>
    <row r="4777" spans="1:2">
      <c r="A4777">
        <v>4776</v>
      </c>
      <c r="B4777" s="119">
        <v>0.32677945435147077</v>
      </c>
    </row>
    <row r="4778" spans="1:2">
      <c r="A4778">
        <v>4777</v>
      </c>
      <c r="B4778" s="119">
        <v>0.66011278768480408</v>
      </c>
    </row>
    <row r="4779" spans="1:2">
      <c r="A4779">
        <v>4778</v>
      </c>
      <c r="B4779" s="119">
        <v>0.99344612101813734</v>
      </c>
    </row>
    <row r="4780" spans="1:2">
      <c r="A4780">
        <v>4779</v>
      </c>
      <c r="B4780" s="119">
        <v>9.9070263679317191E-3</v>
      </c>
    </row>
    <row r="4781" spans="1:2">
      <c r="A4781">
        <v>4780</v>
      </c>
      <c r="B4781" s="119">
        <v>0.34324035970126504</v>
      </c>
    </row>
    <row r="4782" spans="1:2">
      <c r="A4782">
        <v>4781</v>
      </c>
      <c r="B4782" s="119">
        <v>0.67657369303459824</v>
      </c>
    </row>
    <row r="4783" spans="1:2">
      <c r="A4783">
        <v>4782</v>
      </c>
      <c r="B4783" s="119">
        <v>0.12101813747904283</v>
      </c>
    </row>
    <row r="4784" spans="1:2">
      <c r="A4784">
        <v>4783</v>
      </c>
      <c r="B4784" s="119">
        <v>0.45435147081237615</v>
      </c>
    </row>
    <row r="4785" spans="1:2">
      <c r="A4785">
        <v>4784</v>
      </c>
      <c r="B4785" s="119">
        <v>0.78768480414570929</v>
      </c>
    </row>
    <row r="4786" spans="1:2">
      <c r="A4786">
        <v>4785</v>
      </c>
      <c r="B4786" s="119">
        <v>0.23212924859015394</v>
      </c>
    </row>
    <row r="4787" spans="1:2">
      <c r="A4787">
        <v>4786</v>
      </c>
      <c r="B4787" s="119">
        <v>0.5654625819234872</v>
      </c>
    </row>
    <row r="4788" spans="1:2">
      <c r="A4788">
        <v>4787</v>
      </c>
      <c r="B4788" s="119">
        <v>0.89879591525682045</v>
      </c>
    </row>
    <row r="4789" spans="1:2">
      <c r="A4789">
        <v>4788</v>
      </c>
      <c r="B4789" s="119">
        <v>4.6944063404968754E-2</v>
      </c>
    </row>
    <row r="4790" spans="1:2">
      <c r="A4790">
        <v>4789</v>
      </c>
      <c r="B4790" s="119">
        <v>0.38027739673830208</v>
      </c>
    </row>
    <row r="4791" spans="1:2">
      <c r="A4791">
        <v>4790</v>
      </c>
      <c r="B4791" s="119">
        <v>0.71361073007163534</v>
      </c>
    </row>
    <row r="4792" spans="1:2">
      <c r="A4792">
        <v>4791</v>
      </c>
      <c r="B4792" s="119">
        <v>0.15805517451607987</v>
      </c>
    </row>
    <row r="4793" spans="1:2">
      <c r="A4793">
        <v>4792</v>
      </c>
      <c r="B4793" s="119">
        <v>0.49138850784941318</v>
      </c>
    </row>
    <row r="4794" spans="1:2">
      <c r="A4794">
        <v>4793</v>
      </c>
      <c r="B4794" s="119">
        <v>0.82472184118274627</v>
      </c>
    </row>
    <row r="4795" spans="1:2">
      <c r="A4795">
        <v>4794</v>
      </c>
      <c r="B4795" s="119">
        <v>0.26916628562719097</v>
      </c>
    </row>
    <row r="4796" spans="1:2">
      <c r="A4796">
        <v>4795</v>
      </c>
      <c r="B4796" s="119">
        <v>0.60249961896052417</v>
      </c>
    </row>
    <row r="4797" spans="1:2">
      <c r="A4797">
        <v>4796</v>
      </c>
      <c r="B4797" s="119">
        <v>0.93583295229385743</v>
      </c>
    </row>
    <row r="4798" spans="1:2">
      <c r="A4798">
        <v>4797</v>
      </c>
      <c r="B4798" s="119">
        <v>8.3981100442005796E-2</v>
      </c>
    </row>
    <row r="4799" spans="1:2">
      <c r="A4799">
        <v>4798</v>
      </c>
      <c r="B4799" s="119">
        <v>0.41731443377533911</v>
      </c>
    </row>
    <row r="4800" spans="1:2">
      <c r="A4800">
        <v>4799</v>
      </c>
      <c r="B4800" s="119">
        <v>0.75064776710867231</v>
      </c>
    </row>
    <row r="4801" spans="1:2">
      <c r="A4801">
        <v>4800</v>
      </c>
      <c r="B4801" s="119">
        <v>0.1950922115531169</v>
      </c>
    </row>
    <row r="4802" spans="1:2">
      <c r="A4802">
        <v>4801</v>
      </c>
      <c r="B4802" s="119">
        <v>0.5284255448864501</v>
      </c>
    </row>
    <row r="4803" spans="1:2">
      <c r="A4803">
        <v>4802</v>
      </c>
      <c r="B4803" s="119">
        <v>0.86175887821978336</v>
      </c>
    </row>
    <row r="4804" spans="1:2">
      <c r="A4804">
        <v>4803</v>
      </c>
      <c r="B4804" s="119">
        <v>0.30620332266422801</v>
      </c>
    </row>
    <row r="4805" spans="1:2">
      <c r="A4805">
        <v>4804</v>
      </c>
      <c r="B4805" s="119">
        <v>0.63953665599756127</v>
      </c>
    </row>
    <row r="4806" spans="1:2">
      <c r="A4806">
        <v>4805</v>
      </c>
      <c r="B4806" s="119">
        <v>0.97286998933089452</v>
      </c>
    </row>
    <row r="4807" spans="1:2">
      <c r="A4807">
        <v>4806</v>
      </c>
      <c r="B4807" s="119">
        <v>2.2252705380277394E-2</v>
      </c>
    </row>
    <row r="4808" spans="1:2">
      <c r="A4808">
        <v>4807</v>
      </c>
      <c r="B4808" s="119">
        <v>0.35558603871361072</v>
      </c>
    </row>
    <row r="4809" spans="1:2">
      <c r="A4809">
        <v>4808</v>
      </c>
      <c r="B4809" s="119">
        <v>0.68891937204694387</v>
      </c>
    </row>
    <row r="4810" spans="1:2">
      <c r="A4810">
        <v>4809</v>
      </c>
      <c r="B4810" s="119">
        <v>0.13336381649138851</v>
      </c>
    </row>
    <row r="4811" spans="1:2">
      <c r="A4811">
        <v>4810</v>
      </c>
      <c r="B4811" s="119">
        <v>0.46669714982472182</v>
      </c>
    </row>
    <row r="4812" spans="1:2">
      <c r="A4812">
        <v>4811</v>
      </c>
      <c r="B4812" s="119">
        <v>0.80003048315805503</v>
      </c>
    </row>
    <row r="4813" spans="1:2">
      <c r="A4813">
        <v>4812</v>
      </c>
      <c r="B4813" s="119">
        <v>0.24447492760249961</v>
      </c>
    </row>
    <row r="4814" spans="1:2">
      <c r="A4814">
        <v>4813</v>
      </c>
      <c r="B4814" s="119">
        <v>0.57780826093583293</v>
      </c>
    </row>
    <row r="4815" spans="1:2">
      <c r="A4815">
        <v>4814</v>
      </c>
      <c r="B4815" s="119">
        <v>0.91114159426916619</v>
      </c>
    </row>
    <row r="4816" spans="1:2">
      <c r="A4816">
        <v>4815</v>
      </c>
      <c r="B4816" s="119">
        <v>5.9289742417314432E-2</v>
      </c>
    </row>
    <row r="4817" spans="1:2">
      <c r="A4817">
        <v>4816</v>
      </c>
      <c r="B4817" s="119">
        <v>0.39262307575064775</v>
      </c>
    </row>
    <row r="4818" spans="1:2">
      <c r="A4818">
        <v>4817</v>
      </c>
      <c r="B4818" s="119">
        <v>0.72595640908398107</v>
      </c>
    </row>
    <row r="4819" spans="1:2">
      <c r="A4819">
        <v>4818</v>
      </c>
      <c r="B4819" s="119">
        <v>0.17040085352842554</v>
      </c>
    </row>
    <row r="4820" spans="1:2">
      <c r="A4820">
        <v>4819</v>
      </c>
      <c r="B4820" s="119">
        <v>0.50373418686175875</v>
      </c>
    </row>
    <row r="4821" spans="1:2">
      <c r="A4821">
        <v>4820</v>
      </c>
      <c r="B4821" s="119">
        <v>0.83706752019509201</v>
      </c>
    </row>
    <row r="4822" spans="1:2">
      <c r="A4822">
        <v>4821</v>
      </c>
      <c r="B4822" s="119">
        <v>0.28151196463953665</v>
      </c>
    </row>
    <row r="4823" spans="1:2">
      <c r="A4823">
        <v>4822</v>
      </c>
      <c r="B4823" s="119">
        <v>0.61484529797286991</v>
      </c>
    </row>
    <row r="4824" spans="1:2">
      <c r="A4824">
        <v>4823</v>
      </c>
      <c r="B4824" s="119">
        <v>0.94817863130620317</v>
      </c>
    </row>
    <row r="4825" spans="1:2">
      <c r="A4825">
        <v>4824</v>
      </c>
      <c r="B4825" s="119">
        <v>9.6326779454351474E-2</v>
      </c>
    </row>
    <row r="4826" spans="1:2">
      <c r="A4826">
        <v>4825</v>
      </c>
      <c r="B4826" s="119">
        <v>0.42966011278768479</v>
      </c>
    </row>
    <row r="4827" spans="1:2">
      <c r="A4827">
        <v>4826</v>
      </c>
      <c r="B4827" s="119">
        <v>0.76299344612101805</v>
      </c>
    </row>
    <row r="4828" spans="1:2">
      <c r="A4828">
        <v>4827</v>
      </c>
      <c r="B4828" s="119">
        <v>0.20743789056546258</v>
      </c>
    </row>
    <row r="4829" spans="1:2">
      <c r="A4829">
        <v>4828</v>
      </c>
      <c r="B4829" s="119">
        <v>0.54077122389879573</v>
      </c>
    </row>
    <row r="4830" spans="1:2">
      <c r="A4830">
        <v>4829</v>
      </c>
      <c r="B4830" s="119">
        <v>0.87410455723212899</v>
      </c>
    </row>
    <row r="4831" spans="1:2">
      <c r="A4831">
        <v>4830</v>
      </c>
      <c r="B4831" s="119">
        <v>0.31854900167657368</v>
      </c>
    </row>
    <row r="4832" spans="1:2">
      <c r="A4832">
        <v>4831</v>
      </c>
      <c r="B4832" s="119">
        <v>0.65188233500990689</v>
      </c>
    </row>
    <row r="4833" spans="1:2">
      <c r="A4833">
        <v>4832</v>
      </c>
      <c r="B4833" s="119">
        <v>0.98521566834324015</v>
      </c>
    </row>
    <row r="4834" spans="1:2">
      <c r="A4834">
        <v>4833</v>
      </c>
      <c r="B4834" s="119">
        <v>3.4598384392623076E-2</v>
      </c>
    </row>
    <row r="4835" spans="1:2">
      <c r="A4835">
        <v>4834</v>
      </c>
      <c r="B4835" s="119">
        <v>0.3679317177259564</v>
      </c>
    </row>
    <row r="4836" spans="1:2">
      <c r="A4836">
        <v>4835</v>
      </c>
      <c r="B4836" s="119">
        <v>0.7012650510592896</v>
      </c>
    </row>
    <row r="4837" spans="1:2">
      <c r="A4837">
        <v>4836</v>
      </c>
      <c r="B4837" s="119">
        <v>0.14570949550373419</v>
      </c>
    </row>
    <row r="4838" spans="1:2">
      <c r="A4838">
        <v>4837</v>
      </c>
      <c r="B4838" s="119">
        <v>0.4790428288370675</v>
      </c>
    </row>
    <row r="4839" spans="1:2">
      <c r="A4839">
        <v>4838</v>
      </c>
      <c r="B4839" s="119">
        <v>0.81237616217040065</v>
      </c>
    </row>
    <row r="4840" spans="1:2">
      <c r="A4840">
        <v>4839</v>
      </c>
      <c r="B4840" s="119">
        <v>0.25682060661484529</v>
      </c>
    </row>
    <row r="4841" spans="1:2">
      <c r="A4841">
        <v>4840</v>
      </c>
      <c r="B4841" s="119">
        <v>0.59015393994817855</v>
      </c>
    </row>
    <row r="4842" spans="1:2">
      <c r="A4842">
        <v>4841</v>
      </c>
      <c r="B4842" s="119">
        <v>0.92348727328151181</v>
      </c>
    </row>
    <row r="4843" spans="1:2">
      <c r="A4843">
        <v>4842</v>
      </c>
      <c r="B4843" s="119">
        <v>7.1635421429660118E-2</v>
      </c>
    </row>
    <row r="4844" spans="1:2">
      <c r="A4844">
        <v>4843</v>
      </c>
      <c r="B4844" s="119">
        <v>0.40496875476299343</v>
      </c>
    </row>
    <row r="4845" spans="1:2">
      <c r="A4845">
        <v>4844</v>
      </c>
      <c r="B4845" s="119">
        <v>0.73830208809632669</v>
      </c>
    </row>
    <row r="4846" spans="1:2">
      <c r="A4846">
        <v>4845</v>
      </c>
      <c r="B4846" s="119">
        <v>0.18274653254077122</v>
      </c>
    </row>
    <row r="4847" spans="1:2">
      <c r="A4847">
        <v>4846</v>
      </c>
      <c r="B4847" s="119">
        <v>0.51607986587410448</v>
      </c>
    </row>
    <row r="4848" spans="1:2">
      <c r="A4848">
        <v>4847</v>
      </c>
      <c r="B4848" s="119">
        <v>0.84941319920743763</v>
      </c>
    </row>
    <row r="4849" spans="1:2">
      <c r="A4849">
        <v>4848</v>
      </c>
      <c r="B4849" s="119">
        <v>0.29385764365188233</v>
      </c>
    </row>
    <row r="4850" spans="1:2">
      <c r="A4850">
        <v>4849</v>
      </c>
      <c r="B4850" s="119">
        <v>0.62719097698521553</v>
      </c>
    </row>
    <row r="4851" spans="1:2">
      <c r="A4851">
        <v>4850</v>
      </c>
      <c r="B4851" s="119">
        <v>0.96052431031854879</v>
      </c>
    </row>
    <row r="4852" spans="1:2">
      <c r="A4852">
        <v>4851</v>
      </c>
      <c r="B4852" s="119">
        <v>0.10867245846669715</v>
      </c>
    </row>
    <row r="4853" spans="1:2">
      <c r="A4853">
        <v>4852</v>
      </c>
      <c r="B4853" s="119">
        <v>0.44200579180003047</v>
      </c>
    </row>
    <row r="4854" spans="1:2">
      <c r="A4854">
        <v>4853</v>
      </c>
      <c r="B4854" s="119">
        <v>0.77533912513336367</v>
      </c>
    </row>
    <row r="4855" spans="1:2">
      <c r="A4855">
        <v>4854</v>
      </c>
      <c r="B4855" s="119">
        <v>0.21978356957780826</v>
      </c>
    </row>
    <row r="4856" spans="1:2">
      <c r="A4856">
        <v>4855</v>
      </c>
      <c r="B4856" s="119">
        <v>0.55311690291114146</v>
      </c>
    </row>
    <row r="4857" spans="1:2">
      <c r="A4857">
        <v>4856</v>
      </c>
      <c r="B4857" s="119">
        <v>0.88645023624447472</v>
      </c>
    </row>
    <row r="4858" spans="1:2">
      <c r="A4858">
        <v>4857</v>
      </c>
      <c r="B4858" s="119">
        <v>0.33089468068891936</v>
      </c>
    </row>
    <row r="4859" spans="1:2">
      <c r="A4859">
        <v>4858</v>
      </c>
      <c r="B4859" s="119">
        <v>0.66422801402225262</v>
      </c>
    </row>
    <row r="4860" spans="1:2">
      <c r="A4860">
        <v>4859</v>
      </c>
      <c r="B4860" s="119">
        <v>0.99756134735558588</v>
      </c>
    </row>
    <row r="4861" spans="1:2">
      <c r="A4861">
        <v>4860</v>
      </c>
      <c r="B4861" s="119">
        <v>3.0483158055174516E-3</v>
      </c>
    </row>
    <row r="4862" spans="1:2">
      <c r="A4862">
        <v>4861</v>
      </c>
      <c r="B4862" s="119">
        <v>0.33638164913885077</v>
      </c>
    </row>
    <row r="4863" spans="1:2">
      <c r="A4863">
        <v>4862</v>
      </c>
      <c r="B4863" s="119">
        <v>0.66971498247218408</v>
      </c>
    </row>
    <row r="4864" spans="1:2">
      <c r="A4864">
        <v>4863</v>
      </c>
      <c r="B4864" s="119">
        <v>0.11415942691662856</v>
      </c>
    </row>
    <row r="4865" spans="1:2">
      <c r="A4865">
        <v>4864</v>
      </c>
      <c r="B4865" s="119">
        <v>0.44749276024996187</v>
      </c>
    </row>
    <row r="4866" spans="1:2">
      <c r="A4866">
        <v>4865</v>
      </c>
      <c r="B4866" s="119">
        <v>0.78082609358329513</v>
      </c>
    </row>
    <row r="4867" spans="1:2">
      <c r="A4867">
        <v>4866</v>
      </c>
      <c r="B4867" s="119">
        <v>0.22527053802773966</v>
      </c>
    </row>
    <row r="4868" spans="1:2">
      <c r="A4868">
        <v>4867</v>
      </c>
      <c r="B4868" s="119">
        <v>0.55860387136107303</v>
      </c>
    </row>
    <row r="4869" spans="1:2">
      <c r="A4869">
        <v>4868</v>
      </c>
      <c r="B4869" s="119">
        <v>0.89193720469440629</v>
      </c>
    </row>
    <row r="4870" spans="1:2">
      <c r="A4870">
        <v>4869</v>
      </c>
      <c r="B4870" s="119">
        <v>4.0085352842554482E-2</v>
      </c>
    </row>
    <row r="4871" spans="1:2">
      <c r="A4871">
        <v>4870</v>
      </c>
      <c r="B4871" s="119">
        <v>0.3734186861758878</v>
      </c>
    </row>
    <row r="4872" spans="1:2">
      <c r="A4872">
        <v>4871</v>
      </c>
      <c r="B4872" s="119">
        <v>0.70675201950922117</v>
      </c>
    </row>
    <row r="4873" spans="1:2">
      <c r="A4873">
        <v>4872</v>
      </c>
      <c r="B4873" s="119">
        <v>0.15119646395366559</v>
      </c>
    </row>
    <row r="4874" spans="1:2">
      <c r="A4874">
        <v>4873</v>
      </c>
      <c r="B4874" s="119">
        <v>0.48452979728699891</v>
      </c>
    </row>
    <row r="4875" spans="1:2">
      <c r="A4875">
        <v>4874</v>
      </c>
      <c r="B4875" s="119">
        <v>0.81786313062033211</v>
      </c>
    </row>
    <row r="4876" spans="1:2">
      <c r="A4876">
        <v>4875</v>
      </c>
      <c r="B4876" s="119">
        <v>0.2623075750647767</v>
      </c>
    </row>
    <row r="4877" spans="1:2">
      <c r="A4877">
        <v>4876</v>
      </c>
      <c r="B4877" s="119">
        <v>0.59564090839811001</v>
      </c>
    </row>
    <row r="4878" spans="1:2">
      <c r="A4878">
        <v>4877</v>
      </c>
      <c r="B4878" s="119">
        <v>0.92897424173144327</v>
      </c>
    </row>
    <row r="4879" spans="1:2">
      <c r="A4879">
        <v>4878</v>
      </c>
      <c r="B4879" s="119">
        <v>7.7122389879591524E-2</v>
      </c>
    </row>
    <row r="4880" spans="1:2">
      <c r="A4880">
        <v>4879</v>
      </c>
      <c r="B4880" s="119">
        <v>0.41045572321292484</v>
      </c>
    </row>
    <row r="4881" spans="1:2">
      <c r="A4881">
        <v>4880</v>
      </c>
      <c r="B4881" s="119">
        <v>0.74378905654625815</v>
      </c>
    </row>
    <row r="4882" spans="1:2">
      <c r="A4882">
        <v>4881</v>
      </c>
      <c r="B4882" s="119">
        <v>0.18823350099070263</v>
      </c>
    </row>
    <row r="4883" spans="1:2">
      <c r="A4883">
        <v>4882</v>
      </c>
      <c r="B4883" s="119">
        <v>0.52156683432403594</v>
      </c>
    </row>
    <row r="4884" spans="1:2">
      <c r="A4884">
        <v>4883</v>
      </c>
      <c r="B4884" s="119">
        <v>0.8549001676573692</v>
      </c>
    </row>
    <row r="4885" spans="1:2">
      <c r="A4885">
        <v>4884</v>
      </c>
      <c r="B4885" s="119">
        <v>0.29934461210181373</v>
      </c>
    </row>
    <row r="4886" spans="1:2">
      <c r="A4886">
        <v>4885</v>
      </c>
      <c r="B4886" s="119">
        <v>0.6326779454351471</v>
      </c>
    </row>
    <row r="4887" spans="1:2">
      <c r="A4887">
        <v>4886</v>
      </c>
      <c r="B4887" s="119">
        <v>0.96601127876848036</v>
      </c>
    </row>
    <row r="4888" spans="1:2">
      <c r="A4888">
        <v>4887</v>
      </c>
      <c r="B4888" s="119">
        <v>1.5393994817863131E-2</v>
      </c>
    </row>
    <row r="4889" spans="1:2">
      <c r="A4889">
        <v>4888</v>
      </c>
      <c r="B4889" s="119">
        <v>0.34872732815119645</v>
      </c>
    </row>
    <row r="4890" spans="1:2">
      <c r="A4890">
        <v>4889</v>
      </c>
      <c r="B4890" s="119">
        <v>0.68206066148452971</v>
      </c>
    </row>
    <row r="4891" spans="1:2">
      <c r="A4891">
        <v>4890</v>
      </c>
      <c r="B4891" s="119">
        <v>0.12650510592897424</v>
      </c>
    </row>
    <row r="4892" spans="1:2">
      <c r="A4892">
        <v>4891</v>
      </c>
      <c r="B4892" s="119">
        <v>0.45983843926230755</v>
      </c>
    </row>
    <row r="4893" spans="1:2">
      <c r="A4893">
        <v>4892</v>
      </c>
      <c r="B4893" s="119">
        <v>0.79317177259564087</v>
      </c>
    </row>
    <row r="4894" spans="1:2">
      <c r="A4894">
        <v>4893</v>
      </c>
      <c r="B4894" s="119">
        <v>0.23761621704008534</v>
      </c>
    </row>
    <row r="4895" spans="1:2">
      <c r="A4895">
        <v>4894</v>
      </c>
      <c r="B4895" s="119">
        <v>0.57094955037341877</v>
      </c>
    </row>
    <row r="4896" spans="1:2">
      <c r="A4896">
        <v>4895</v>
      </c>
      <c r="B4896" s="119">
        <v>0.90428288370675203</v>
      </c>
    </row>
    <row r="4897" spans="1:2">
      <c r="A4897">
        <v>4896</v>
      </c>
      <c r="B4897" s="119">
        <v>5.2431031854900161E-2</v>
      </c>
    </row>
    <row r="4898" spans="1:2">
      <c r="A4898">
        <v>4897</v>
      </c>
      <c r="B4898" s="119">
        <v>0.38576436518823348</v>
      </c>
    </row>
    <row r="4899" spans="1:2">
      <c r="A4899">
        <v>4898</v>
      </c>
      <c r="B4899" s="119">
        <v>0.71909769852156691</v>
      </c>
    </row>
    <row r="4900" spans="1:2">
      <c r="A4900">
        <v>4899</v>
      </c>
      <c r="B4900" s="119">
        <v>0.16354214296601127</v>
      </c>
    </row>
    <row r="4901" spans="1:2">
      <c r="A4901">
        <v>4900</v>
      </c>
      <c r="B4901" s="119">
        <v>0.49687547629934459</v>
      </c>
    </row>
    <row r="4902" spans="1:2">
      <c r="A4902">
        <v>4901</v>
      </c>
      <c r="B4902" s="119">
        <v>0.83020880963267785</v>
      </c>
    </row>
    <row r="4903" spans="1:2">
      <c r="A4903">
        <v>4902</v>
      </c>
      <c r="B4903" s="119">
        <v>0.27465325407712238</v>
      </c>
    </row>
    <row r="4904" spans="1:2">
      <c r="A4904">
        <v>4903</v>
      </c>
      <c r="B4904" s="119">
        <v>0.60798658741045575</v>
      </c>
    </row>
    <row r="4905" spans="1:2">
      <c r="A4905">
        <v>4904</v>
      </c>
      <c r="B4905" s="119">
        <v>0.94131992074378901</v>
      </c>
    </row>
    <row r="4906" spans="1:2">
      <c r="A4906">
        <v>4905</v>
      </c>
      <c r="B4906" s="119">
        <v>8.9468068891937202E-2</v>
      </c>
    </row>
    <row r="4907" spans="1:2">
      <c r="A4907">
        <v>4906</v>
      </c>
      <c r="B4907" s="119">
        <v>0.42280140222527052</v>
      </c>
    </row>
    <row r="4908" spans="1:2">
      <c r="A4908">
        <v>4907</v>
      </c>
      <c r="B4908" s="119">
        <v>0.75613473555860389</v>
      </c>
    </row>
    <row r="4909" spans="1:2">
      <c r="A4909">
        <v>4908</v>
      </c>
      <c r="B4909" s="119">
        <v>0.20057918000304831</v>
      </c>
    </row>
    <row r="4910" spans="1:2">
      <c r="A4910">
        <v>4909</v>
      </c>
      <c r="B4910" s="119">
        <v>0.53391251333638157</v>
      </c>
    </row>
    <row r="4911" spans="1:2">
      <c r="A4911">
        <v>4910</v>
      </c>
      <c r="B4911" s="119">
        <v>0.86724584666971483</v>
      </c>
    </row>
    <row r="4912" spans="1:2">
      <c r="A4912">
        <v>4911</v>
      </c>
      <c r="B4912" s="119">
        <v>0.31169029111415941</v>
      </c>
    </row>
    <row r="4913" spans="1:2">
      <c r="A4913">
        <v>4912</v>
      </c>
      <c r="B4913" s="119">
        <v>0.64502362444749273</v>
      </c>
    </row>
    <row r="4914" spans="1:2">
      <c r="A4914">
        <v>4913</v>
      </c>
      <c r="B4914" s="119">
        <v>0.97835695778082599</v>
      </c>
    </row>
    <row r="4915" spans="1:2">
      <c r="A4915">
        <v>4914</v>
      </c>
      <c r="B4915" s="119">
        <v>2.7739673830208807E-2</v>
      </c>
    </row>
    <row r="4916" spans="1:2">
      <c r="A4916">
        <v>4915</v>
      </c>
      <c r="B4916" s="119">
        <v>0.36107300716354213</v>
      </c>
    </row>
    <row r="4917" spans="1:2">
      <c r="A4917">
        <v>4916</v>
      </c>
      <c r="B4917" s="119">
        <v>0.69440634049687544</v>
      </c>
    </row>
    <row r="4918" spans="1:2">
      <c r="A4918">
        <v>4917</v>
      </c>
      <c r="B4918" s="119">
        <v>0.13885078494131992</v>
      </c>
    </row>
    <row r="4919" spans="1:2">
      <c r="A4919">
        <v>4918</v>
      </c>
      <c r="B4919" s="119">
        <v>0.47218411827465323</v>
      </c>
    </row>
    <row r="4920" spans="1:2">
      <c r="A4920">
        <v>4919</v>
      </c>
      <c r="B4920" s="119">
        <v>0.80551745160798649</v>
      </c>
    </row>
    <row r="4921" spans="1:2">
      <c r="A4921">
        <v>4920</v>
      </c>
      <c r="B4921" s="119">
        <v>0.24996189605243102</v>
      </c>
    </row>
    <row r="4922" spans="1:2">
      <c r="A4922">
        <v>4921</v>
      </c>
      <c r="B4922" s="119">
        <v>0.58329522938576439</v>
      </c>
    </row>
    <row r="4923" spans="1:2">
      <c r="A4923">
        <v>4922</v>
      </c>
      <c r="B4923" s="119">
        <v>0.91662856271909765</v>
      </c>
    </row>
    <row r="4924" spans="1:2">
      <c r="A4924">
        <v>4923</v>
      </c>
      <c r="B4924" s="119">
        <v>6.4776710867245846E-2</v>
      </c>
    </row>
    <row r="4925" spans="1:2">
      <c r="A4925">
        <v>4924</v>
      </c>
      <c r="B4925" s="119">
        <v>0.39811004420057916</v>
      </c>
    </row>
    <row r="4926" spans="1:2">
      <c r="A4926">
        <v>4925</v>
      </c>
      <c r="B4926" s="119">
        <v>0.73144337753391253</v>
      </c>
    </row>
    <row r="4927" spans="1:2">
      <c r="A4927">
        <v>4926</v>
      </c>
      <c r="B4927" s="119">
        <v>0.17588782197835695</v>
      </c>
    </row>
    <row r="4928" spans="1:2">
      <c r="A4928">
        <v>4927</v>
      </c>
      <c r="B4928" s="119">
        <v>0.50922115531169032</v>
      </c>
    </row>
    <row r="4929" spans="1:2">
      <c r="A4929">
        <v>4928</v>
      </c>
      <c r="B4929" s="119">
        <v>0.84255448864502347</v>
      </c>
    </row>
    <row r="4930" spans="1:2">
      <c r="A4930">
        <v>4929</v>
      </c>
      <c r="B4930" s="119">
        <v>0.28699893308946806</v>
      </c>
    </row>
    <row r="4931" spans="1:2">
      <c r="A4931">
        <v>4930</v>
      </c>
      <c r="B4931" s="119">
        <v>0.62033226642280137</v>
      </c>
    </row>
    <row r="4932" spans="1:2">
      <c r="A4932">
        <v>4931</v>
      </c>
      <c r="B4932" s="119">
        <v>0.95366559975613463</v>
      </c>
    </row>
    <row r="4933" spans="1:2">
      <c r="A4933">
        <v>4932</v>
      </c>
      <c r="B4933" s="119">
        <v>0.10181374790428288</v>
      </c>
    </row>
    <row r="4934" spans="1:2">
      <c r="A4934">
        <v>4933</v>
      </c>
      <c r="B4934" s="119">
        <v>0.4351470812376162</v>
      </c>
    </row>
    <row r="4935" spans="1:2">
      <c r="A4935">
        <v>4934</v>
      </c>
      <c r="B4935" s="119">
        <v>0.76848041457094951</v>
      </c>
    </row>
    <row r="4936" spans="1:2">
      <c r="A4936">
        <v>4935</v>
      </c>
      <c r="B4936" s="119">
        <v>0.21292485901539399</v>
      </c>
    </row>
    <row r="4937" spans="1:2">
      <c r="A4937">
        <v>4936</v>
      </c>
      <c r="B4937" s="119">
        <v>0.5462581923487273</v>
      </c>
    </row>
    <row r="4938" spans="1:2">
      <c r="A4938">
        <v>4937</v>
      </c>
      <c r="B4938" s="119">
        <v>0.87959152568206056</v>
      </c>
    </row>
    <row r="4939" spans="1:2">
      <c r="A4939">
        <v>4938</v>
      </c>
      <c r="B4939" s="119">
        <v>0.32403597012650509</v>
      </c>
    </row>
    <row r="4940" spans="1:2">
      <c r="A4940">
        <v>4939</v>
      </c>
      <c r="B4940" s="119">
        <v>0.65736930345983846</v>
      </c>
    </row>
    <row r="4941" spans="1:2">
      <c r="A4941">
        <v>4940</v>
      </c>
      <c r="B4941" s="119">
        <v>0.99070263679317172</v>
      </c>
    </row>
    <row r="4942" spans="1:2">
      <c r="A4942">
        <v>4941</v>
      </c>
      <c r="B4942" s="119">
        <v>7.1635421429660116E-3</v>
      </c>
    </row>
    <row r="4943" spans="1:2">
      <c r="A4943">
        <v>4942</v>
      </c>
      <c r="B4943" s="119">
        <v>0.34049687547629931</v>
      </c>
    </row>
    <row r="4944" spans="1:2">
      <c r="A4944">
        <v>4943</v>
      </c>
      <c r="B4944" s="119">
        <v>0.67383020880963262</v>
      </c>
    </row>
    <row r="4945" spans="1:2">
      <c r="A4945">
        <v>4944</v>
      </c>
      <c r="B4945" s="119">
        <v>0.11827465325407711</v>
      </c>
    </row>
    <row r="4946" spans="1:2">
      <c r="A4946">
        <v>4945</v>
      </c>
      <c r="B4946" s="119">
        <v>0.45160798658741041</v>
      </c>
    </row>
    <row r="4947" spans="1:2">
      <c r="A4947">
        <v>4946</v>
      </c>
      <c r="B4947" s="119">
        <v>0.78494131992074367</v>
      </c>
    </row>
    <row r="4948" spans="1:2">
      <c r="A4948">
        <v>4947</v>
      </c>
      <c r="B4948" s="119">
        <v>0.22938576436518823</v>
      </c>
    </row>
    <row r="4949" spans="1:2">
      <c r="A4949">
        <v>4948</v>
      </c>
      <c r="B4949" s="119">
        <v>0.56271909769852158</v>
      </c>
    </row>
    <row r="4950" spans="1:2">
      <c r="A4950">
        <v>4949</v>
      </c>
      <c r="B4950" s="119">
        <v>0.89605243103185483</v>
      </c>
    </row>
    <row r="4951" spans="1:2">
      <c r="A4951">
        <v>4950</v>
      </c>
      <c r="B4951" s="119">
        <v>4.4200579180003044E-2</v>
      </c>
    </row>
    <row r="4952" spans="1:2">
      <c r="A4952">
        <v>4951</v>
      </c>
      <c r="B4952" s="119">
        <v>0.37753391251333634</v>
      </c>
    </row>
    <row r="4953" spans="1:2">
      <c r="A4953">
        <v>4952</v>
      </c>
      <c r="B4953" s="119">
        <v>0.71086724584666972</v>
      </c>
    </row>
    <row r="4954" spans="1:2">
      <c r="A4954">
        <v>4953</v>
      </c>
      <c r="B4954" s="119">
        <v>0.15531169029111416</v>
      </c>
    </row>
    <row r="4955" spans="1:2">
      <c r="A4955">
        <v>4954</v>
      </c>
      <c r="B4955" s="119">
        <v>0.48864502362444745</v>
      </c>
    </row>
    <row r="4956" spans="1:2">
      <c r="A4956">
        <v>4955</v>
      </c>
      <c r="B4956" s="119">
        <v>0.82197835695778065</v>
      </c>
    </row>
    <row r="4957" spans="1:2">
      <c r="A4957">
        <v>4956</v>
      </c>
      <c r="B4957" s="119">
        <v>0.26642280140222524</v>
      </c>
    </row>
    <row r="4958" spans="1:2">
      <c r="A4958">
        <v>4957</v>
      </c>
      <c r="B4958" s="119">
        <v>0.59975613473555855</v>
      </c>
    </row>
    <row r="4959" spans="1:2">
      <c r="A4959">
        <v>4958</v>
      </c>
      <c r="B4959" s="119">
        <v>0.93308946806889181</v>
      </c>
    </row>
    <row r="4960" spans="1:2">
      <c r="A4960">
        <v>4959</v>
      </c>
      <c r="B4960" s="119">
        <v>8.1237616217040079E-2</v>
      </c>
    </row>
    <row r="4961" spans="1:2">
      <c r="A4961">
        <v>4960</v>
      </c>
      <c r="B4961" s="119">
        <v>0.41457094955037338</v>
      </c>
    </row>
    <row r="4962" spans="1:2">
      <c r="A4962">
        <v>4961</v>
      </c>
      <c r="B4962" s="119">
        <v>0.74790428288370669</v>
      </c>
    </row>
    <row r="4963" spans="1:2">
      <c r="A4963">
        <v>4962</v>
      </c>
      <c r="B4963" s="119">
        <v>0.1923487273281512</v>
      </c>
    </row>
    <row r="4964" spans="1:2">
      <c r="A4964">
        <v>4963</v>
      </c>
      <c r="B4964" s="119">
        <v>0.52568206066148448</v>
      </c>
    </row>
    <row r="4965" spans="1:2">
      <c r="A4965">
        <v>4964</v>
      </c>
      <c r="B4965" s="119">
        <v>0.85901539399481774</v>
      </c>
    </row>
    <row r="4966" spans="1:2">
      <c r="A4966">
        <v>4965</v>
      </c>
      <c r="B4966" s="119">
        <v>0.30345983843926227</v>
      </c>
    </row>
    <row r="4967" spans="1:2">
      <c r="A4967">
        <v>4966</v>
      </c>
      <c r="B4967" s="119">
        <v>0.63679317177259565</v>
      </c>
    </row>
    <row r="4968" spans="1:2">
      <c r="A4968">
        <v>4967</v>
      </c>
      <c r="B4968" s="119">
        <v>0.9701265051059289</v>
      </c>
    </row>
    <row r="4969" spans="1:2">
      <c r="A4969">
        <v>4968</v>
      </c>
      <c r="B4969" s="119">
        <v>1.9509221155311691E-2</v>
      </c>
    </row>
    <row r="4970" spans="1:2">
      <c r="A4970">
        <v>4969</v>
      </c>
      <c r="B4970" s="119">
        <v>0.35284255448864499</v>
      </c>
    </row>
    <row r="4971" spans="1:2">
      <c r="A4971">
        <v>4970</v>
      </c>
      <c r="B4971" s="119">
        <v>0.68617588782197825</v>
      </c>
    </row>
    <row r="4972" spans="1:2">
      <c r="A4972">
        <v>4971</v>
      </c>
      <c r="B4972" s="119">
        <v>0.13062033226642281</v>
      </c>
    </row>
    <row r="4973" spans="1:2">
      <c r="A4973">
        <v>4972</v>
      </c>
      <c r="B4973" s="119">
        <v>0.46395366559975609</v>
      </c>
    </row>
    <row r="4974" spans="1:2">
      <c r="A4974">
        <v>4973</v>
      </c>
      <c r="B4974" s="119">
        <v>0.79728699893308941</v>
      </c>
    </row>
    <row r="4975" spans="1:2">
      <c r="A4975">
        <v>4974</v>
      </c>
      <c r="B4975" s="119">
        <v>0.24173144337753391</v>
      </c>
    </row>
    <row r="4976" spans="1:2">
      <c r="A4976">
        <v>4975</v>
      </c>
      <c r="B4976" s="119">
        <v>0.57506477671086731</v>
      </c>
    </row>
    <row r="4977" spans="1:2">
      <c r="A4977">
        <v>4976</v>
      </c>
      <c r="B4977" s="119">
        <v>0.90839811004420057</v>
      </c>
    </row>
    <row r="4978" spans="1:2">
      <c r="A4978">
        <v>4977</v>
      </c>
      <c r="B4978" s="119">
        <v>5.6546258192348722E-2</v>
      </c>
    </row>
    <row r="4979" spans="1:2">
      <c r="A4979">
        <v>4978</v>
      </c>
      <c r="B4979" s="119">
        <v>0.38987959152568202</v>
      </c>
    </row>
    <row r="4980" spans="1:2">
      <c r="A4980">
        <v>4979</v>
      </c>
      <c r="B4980" s="119">
        <v>0.72321292485901545</v>
      </c>
    </row>
    <row r="4981" spans="1:2">
      <c r="A4981">
        <v>4980</v>
      </c>
      <c r="B4981" s="119">
        <v>0.16765736930345984</v>
      </c>
    </row>
    <row r="4982" spans="1:2">
      <c r="A4982">
        <v>4981</v>
      </c>
      <c r="B4982" s="119">
        <v>0.50099070263679313</v>
      </c>
    </row>
    <row r="4983" spans="1:2">
      <c r="A4983">
        <v>4982</v>
      </c>
      <c r="B4983" s="119">
        <v>0.83432403597012639</v>
      </c>
    </row>
    <row r="4984" spans="1:2">
      <c r="A4984">
        <v>4983</v>
      </c>
      <c r="B4984" s="119">
        <v>0.27876848041457092</v>
      </c>
    </row>
    <row r="4985" spans="1:2">
      <c r="A4985">
        <v>4984</v>
      </c>
      <c r="B4985" s="119">
        <v>0.61210181374790429</v>
      </c>
    </row>
    <row r="4986" spans="1:2">
      <c r="A4986">
        <v>4985</v>
      </c>
      <c r="B4986" s="119">
        <v>0.94543514708123755</v>
      </c>
    </row>
    <row r="4987" spans="1:2">
      <c r="A4987">
        <v>4986</v>
      </c>
      <c r="B4987" s="119">
        <v>9.3583295229385757E-2</v>
      </c>
    </row>
    <row r="4988" spans="1:2">
      <c r="A4988">
        <v>4987</v>
      </c>
      <c r="B4988" s="119">
        <v>0.42691662856271906</v>
      </c>
    </row>
    <row r="4989" spans="1:2">
      <c r="A4989">
        <v>4988</v>
      </c>
      <c r="B4989" s="119">
        <v>0.76024996189605243</v>
      </c>
    </row>
    <row r="4990" spans="1:2">
      <c r="A4990">
        <v>4989</v>
      </c>
      <c r="B4990" s="119">
        <v>0.20469440634049688</v>
      </c>
    </row>
    <row r="4991" spans="1:2">
      <c r="A4991">
        <v>4990</v>
      </c>
      <c r="B4991" s="119">
        <v>0.53802773967383011</v>
      </c>
    </row>
    <row r="4992" spans="1:2">
      <c r="A4992">
        <v>4991</v>
      </c>
      <c r="B4992" s="119">
        <v>0.87136107300716337</v>
      </c>
    </row>
    <row r="4993" spans="1:2">
      <c r="A4993">
        <v>4992</v>
      </c>
      <c r="B4993" s="119">
        <v>0.31580551745160795</v>
      </c>
    </row>
    <row r="4994" spans="1:2">
      <c r="A4994">
        <v>4993</v>
      </c>
      <c r="B4994" s="119">
        <v>0.64913885078494127</v>
      </c>
    </row>
    <row r="4995" spans="1:2">
      <c r="A4995">
        <v>4994</v>
      </c>
      <c r="B4995" s="119">
        <v>0.98247218411827453</v>
      </c>
    </row>
    <row r="4996" spans="1:2">
      <c r="A4996">
        <v>4995</v>
      </c>
      <c r="B4996" s="119">
        <v>3.1854900167657366E-2</v>
      </c>
    </row>
    <row r="4997" spans="1:2">
      <c r="A4997">
        <v>4996</v>
      </c>
      <c r="B4997" s="119">
        <v>0.36518823350099067</v>
      </c>
    </row>
    <row r="4998" spans="1:2">
      <c r="A4998">
        <v>4997</v>
      </c>
      <c r="B4998" s="119">
        <v>0.69852156683432398</v>
      </c>
    </row>
    <row r="4999" spans="1:2">
      <c r="A4999">
        <v>4998</v>
      </c>
      <c r="B4999" s="119">
        <v>0.14296601127876848</v>
      </c>
    </row>
    <row r="5000" spans="1:2">
      <c r="A5000">
        <v>4999</v>
      </c>
      <c r="B5000" s="119">
        <v>0.47629934461210177</v>
      </c>
    </row>
    <row r="5001" spans="1:2">
      <c r="A5001">
        <v>5000</v>
      </c>
      <c r="B5001" s="119">
        <v>0.80963267794543503</v>
      </c>
    </row>
    <row r="5002" spans="1:2">
      <c r="A5002">
        <v>5001</v>
      </c>
      <c r="B5002" s="119">
        <v>0.25407712238987956</v>
      </c>
    </row>
    <row r="5003" spans="1:2">
      <c r="A5003">
        <v>5002</v>
      </c>
      <c r="B5003" s="119">
        <v>0.58741045572321293</v>
      </c>
    </row>
    <row r="5004" spans="1:2">
      <c r="A5004">
        <v>5003</v>
      </c>
      <c r="B5004" s="119">
        <v>0.92074378905654619</v>
      </c>
    </row>
    <row r="5005" spans="1:2">
      <c r="A5005">
        <v>5004</v>
      </c>
      <c r="B5005" s="119">
        <v>6.8891937204694401E-2</v>
      </c>
    </row>
    <row r="5006" spans="1:2">
      <c r="A5006">
        <v>5005</v>
      </c>
      <c r="B5006" s="119">
        <v>0.4022252705380277</v>
      </c>
    </row>
    <row r="5007" spans="1:2">
      <c r="A5007">
        <v>5006</v>
      </c>
      <c r="B5007" s="119">
        <v>0.73555860387136107</v>
      </c>
    </row>
    <row r="5008" spans="1:2">
      <c r="A5008">
        <v>5007</v>
      </c>
      <c r="B5008" s="119">
        <v>0.18000304831580552</v>
      </c>
    </row>
    <row r="5009" spans="1:2">
      <c r="A5009">
        <v>5008</v>
      </c>
      <c r="B5009" s="119">
        <v>0.51333638164913886</v>
      </c>
    </row>
    <row r="5010" spans="1:2">
      <c r="A5010">
        <v>5009</v>
      </c>
      <c r="B5010" s="119">
        <v>0.84666971498247201</v>
      </c>
    </row>
    <row r="5011" spans="1:2">
      <c r="A5011">
        <v>5010</v>
      </c>
      <c r="B5011" s="119">
        <v>0.2911141594269166</v>
      </c>
    </row>
    <row r="5012" spans="1:2">
      <c r="A5012">
        <v>5011</v>
      </c>
      <c r="B5012" s="119">
        <v>0.62444749276024991</v>
      </c>
    </row>
    <row r="5013" spans="1:2">
      <c r="A5013">
        <v>5012</v>
      </c>
      <c r="B5013" s="119">
        <v>0.95778082609358317</v>
      </c>
    </row>
    <row r="5014" spans="1:2">
      <c r="A5014">
        <v>5013</v>
      </c>
      <c r="B5014" s="119">
        <v>0.10592897424173144</v>
      </c>
    </row>
    <row r="5015" spans="1:2">
      <c r="A5015">
        <v>5014</v>
      </c>
      <c r="B5015" s="119">
        <v>0.43926230757506474</v>
      </c>
    </row>
    <row r="5016" spans="1:2">
      <c r="A5016">
        <v>5015</v>
      </c>
      <c r="B5016" s="119">
        <v>0.77259564090839805</v>
      </c>
    </row>
    <row r="5017" spans="1:2">
      <c r="A5017">
        <v>5016</v>
      </c>
      <c r="B5017" s="119">
        <v>0.21704008535284255</v>
      </c>
    </row>
    <row r="5018" spans="1:2">
      <c r="A5018">
        <v>5017</v>
      </c>
      <c r="B5018" s="119">
        <v>0.55037341868617584</v>
      </c>
    </row>
    <row r="5019" spans="1:2">
      <c r="A5019">
        <v>5018</v>
      </c>
      <c r="B5019" s="119">
        <v>0.8837067520195091</v>
      </c>
    </row>
    <row r="5020" spans="1:2">
      <c r="A5020">
        <v>5019</v>
      </c>
      <c r="B5020" s="119">
        <v>0.32815119646395363</v>
      </c>
    </row>
    <row r="5021" spans="1:2">
      <c r="A5021">
        <v>5020</v>
      </c>
      <c r="B5021" s="119">
        <v>0.661484529797287</v>
      </c>
    </row>
    <row r="5022" spans="1:2">
      <c r="A5022">
        <v>5021</v>
      </c>
      <c r="B5022" s="119">
        <v>0.99481786313062026</v>
      </c>
    </row>
    <row r="5023" spans="1:2">
      <c r="A5023">
        <v>5022</v>
      </c>
      <c r="B5023" s="119">
        <v>1.1278768480414572E-2</v>
      </c>
    </row>
    <row r="5024" spans="1:2">
      <c r="A5024">
        <v>5023</v>
      </c>
      <c r="B5024" s="119">
        <v>0.34461210181374791</v>
      </c>
    </row>
    <row r="5025" spans="1:2">
      <c r="A5025">
        <v>5024</v>
      </c>
      <c r="B5025" s="119">
        <v>0.67794543514708117</v>
      </c>
    </row>
    <row r="5026" spans="1:2">
      <c r="A5026">
        <v>5025</v>
      </c>
      <c r="B5026" s="119">
        <v>0.12238987959152568</v>
      </c>
    </row>
    <row r="5027" spans="1:2">
      <c r="A5027">
        <v>5026</v>
      </c>
      <c r="B5027" s="119">
        <v>0.45572321292485901</v>
      </c>
    </row>
    <row r="5028" spans="1:2">
      <c r="A5028">
        <v>5027</v>
      </c>
      <c r="B5028" s="119">
        <v>0.78905654625819222</v>
      </c>
    </row>
    <row r="5029" spans="1:2">
      <c r="A5029">
        <v>5028</v>
      </c>
      <c r="B5029" s="119">
        <v>0.23350099070263677</v>
      </c>
    </row>
    <row r="5030" spans="1:2">
      <c r="A5030">
        <v>5029</v>
      </c>
      <c r="B5030" s="119">
        <v>0.56683432403597012</v>
      </c>
    </row>
    <row r="5031" spans="1:2">
      <c r="A5031">
        <v>5030</v>
      </c>
      <c r="B5031" s="119">
        <v>0.90016765736930338</v>
      </c>
    </row>
    <row r="5032" spans="1:2">
      <c r="A5032">
        <v>5031</v>
      </c>
      <c r="B5032" s="119">
        <v>4.8315805517451606E-2</v>
      </c>
    </row>
    <row r="5033" spans="1:2">
      <c r="A5033">
        <v>5032</v>
      </c>
      <c r="B5033" s="119">
        <v>0.38164913885078494</v>
      </c>
    </row>
    <row r="5034" spans="1:2">
      <c r="A5034">
        <v>5033</v>
      </c>
      <c r="B5034" s="119">
        <v>0.71498247218411826</v>
      </c>
    </row>
    <row r="5035" spans="1:2">
      <c r="A5035">
        <v>5034</v>
      </c>
      <c r="B5035" s="119">
        <v>0.1594269166285627</v>
      </c>
    </row>
    <row r="5036" spans="1:2">
      <c r="A5036">
        <v>5035</v>
      </c>
      <c r="B5036" s="119">
        <v>0.49276024996189605</v>
      </c>
    </row>
    <row r="5037" spans="1:2">
      <c r="A5037">
        <v>5036</v>
      </c>
      <c r="B5037" s="119">
        <v>0.82609358329522919</v>
      </c>
    </row>
    <row r="5038" spans="1:2">
      <c r="A5038">
        <v>5037</v>
      </c>
      <c r="B5038" s="119">
        <v>0.27053802773967384</v>
      </c>
    </row>
    <row r="5039" spans="1:2">
      <c r="A5039">
        <v>5038</v>
      </c>
      <c r="B5039" s="119">
        <v>0.6038713610730071</v>
      </c>
    </row>
    <row r="5040" spans="1:2">
      <c r="A5040">
        <v>5039</v>
      </c>
      <c r="B5040" s="119">
        <v>0.93720469440634036</v>
      </c>
    </row>
    <row r="5041" spans="1:2">
      <c r="A5041">
        <v>5040</v>
      </c>
      <c r="B5041" s="119">
        <v>8.5352842554488648E-2</v>
      </c>
    </row>
    <row r="5042" spans="1:2">
      <c r="A5042">
        <v>5041</v>
      </c>
      <c r="B5042" s="119">
        <v>0.41868617588782198</v>
      </c>
    </row>
    <row r="5043" spans="1:2">
      <c r="A5043">
        <v>5042</v>
      </c>
      <c r="B5043" s="119">
        <v>0.75201950922115524</v>
      </c>
    </row>
    <row r="5044" spans="1:2">
      <c r="A5044">
        <v>5043</v>
      </c>
      <c r="B5044" s="119">
        <v>0.19646395366559974</v>
      </c>
    </row>
    <row r="5045" spans="1:2">
      <c r="A5045">
        <v>5044</v>
      </c>
      <c r="B5045" s="119">
        <v>0.52979728699893303</v>
      </c>
    </row>
    <row r="5046" spans="1:2">
      <c r="A5046">
        <v>5045</v>
      </c>
      <c r="B5046" s="119">
        <v>0.86313062033226629</v>
      </c>
    </row>
    <row r="5047" spans="1:2">
      <c r="A5047">
        <v>5046</v>
      </c>
      <c r="B5047" s="119">
        <v>0.30757506477671087</v>
      </c>
    </row>
    <row r="5048" spans="1:2">
      <c r="A5048">
        <v>5047</v>
      </c>
      <c r="B5048" s="119">
        <v>0.64090839811004419</v>
      </c>
    </row>
    <row r="5049" spans="1:2">
      <c r="A5049">
        <v>5048</v>
      </c>
      <c r="B5049" s="119">
        <v>0.97424173144337745</v>
      </c>
    </row>
    <row r="5050" spans="1:2">
      <c r="A5050">
        <v>5049</v>
      </c>
      <c r="B5050" s="119">
        <v>2.3624447492760249E-2</v>
      </c>
    </row>
    <row r="5051" spans="1:2">
      <c r="A5051">
        <v>5050</v>
      </c>
      <c r="B5051" s="119">
        <v>0.35695778082609358</v>
      </c>
    </row>
    <row r="5052" spans="1:2">
      <c r="A5052">
        <v>5051</v>
      </c>
      <c r="B5052" s="119">
        <v>0.69029111415942679</v>
      </c>
    </row>
    <row r="5053" spans="1:2">
      <c r="A5053">
        <v>5052</v>
      </c>
      <c r="B5053" s="119">
        <v>0.13473555860387135</v>
      </c>
    </row>
    <row r="5054" spans="1:2">
      <c r="A5054">
        <v>5053</v>
      </c>
      <c r="B5054" s="119">
        <v>0.46806889193720469</v>
      </c>
    </row>
    <row r="5055" spans="1:2">
      <c r="A5055">
        <v>5054</v>
      </c>
      <c r="B5055" s="119">
        <v>0.80140222527053795</v>
      </c>
    </row>
    <row r="5056" spans="1:2">
      <c r="A5056">
        <v>5055</v>
      </c>
      <c r="B5056" s="119">
        <v>0.24584666971498245</v>
      </c>
    </row>
    <row r="5057" spans="1:2">
      <c r="A5057">
        <v>5056</v>
      </c>
      <c r="B5057" s="119">
        <v>0.57918000304831585</v>
      </c>
    </row>
    <row r="5058" spans="1:2">
      <c r="A5058">
        <v>5057</v>
      </c>
      <c r="B5058" s="119">
        <v>0.91251333638164911</v>
      </c>
    </row>
    <row r="5059" spans="1:2">
      <c r="A5059">
        <v>5058</v>
      </c>
      <c r="B5059" s="119">
        <v>6.0661484529797284E-2</v>
      </c>
    </row>
    <row r="5060" spans="1:2">
      <c r="A5060">
        <v>5059</v>
      </c>
      <c r="B5060" s="119">
        <v>0.39399481786313062</v>
      </c>
    </row>
    <row r="5061" spans="1:2">
      <c r="A5061">
        <v>5060</v>
      </c>
      <c r="B5061" s="119">
        <v>0.72732815119646399</v>
      </c>
    </row>
    <row r="5062" spans="1:2">
      <c r="A5062">
        <v>5061</v>
      </c>
      <c r="B5062" s="119">
        <v>0.17177259564090838</v>
      </c>
    </row>
    <row r="5063" spans="1:2">
      <c r="A5063">
        <v>5062</v>
      </c>
      <c r="B5063" s="119">
        <v>0.50510592897424167</v>
      </c>
    </row>
    <row r="5064" spans="1:2">
      <c r="A5064">
        <v>5063</v>
      </c>
      <c r="B5064" s="119">
        <v>0.83843926230757493</v>
      </c>
    </row>
    <row r="5065" spans="1:2">
      <c r="A5065">
        <v>5064</v>
      </c>
      <c r="B5065" s="119">
        <v>0.28288370675201951</v>
      </c>
    </row>
    <row r="5066" spans="1:2">
      <c r="A5066">
        <v>5065</v>
      </c>
      <c r="B5066" s="119">
        <v>0.61621704008535283</v>
      </c>
    </row>
    <row r="5067" spans="1:2">
      <c r="A5067">
        <v>5066</v>
      </c>
      <c r="B5067" s="119">
        <v>0.94955037341868609</v>
      </c>
    </row>
    <row r="5068" spans="1:2">
      <c r="A5068">
        <v>5067</v>
      </c>
      <c r="B5068" s="119">
        <v>9.7698521566834326E-2</v>
      </c>
    </row>
    <row r="5069" spans="1:2">
      <c r="A5069">
        <v>5068</v>
      </c>
      <c r="B5069" s="119">
        <v>0.43103185490016765</v>
      </c>
    </row>
    <row r="5070" spans="1:2">
      <c r="A5070">
        <v>5069</v>
      </c>
      <c r="B5070" s="119">
        <v>0.76436518823350097</v>
      </c>
    </row>
    <row r="5071" spans="1:2">
      <c r="A5071">
        <v>5070</v>
      </c>
      <c r="B5071" s="119">
        <v>0.20880963267794542</v>
      </c>
    </row>
    <row r="5072" spans="1:2">
      <c r="A5072">
        <v>5071</v>
      </c>
      <c r="B5072" s="119">
        <v>0.54214296601127865</v>
      </c>
    </row>
    <row r="5073" spans="1:2">
      <c r="A5073">
        <v>5072</v>
      </c>
      <c r="B5073" s="119">
        <v>0.87547629934461191</v>
      </c>
    </row>
    <row r="5074" spans="1:2">
      <c r="A5074">
        <v>5073</v>
      </c>
      <c r="B5074" s="119">
        <v>0.31992074378905655</v>
      </c>
    </row>
    <row r="5075" spans="1:2">
      <c r="A5075">
        <v>5074</v>
      </c>
      <c r="B5075" s="119">
        <v>0.65325407712238981</v>
      </c>
    </row>
    <row r="5076" spans="1:2">
      <c r="A5076">
        <v>5075</v>
      </c>
      <c r="B5076" s="119">
        <v>0.98658741045572307</v>
      </c>
    </row>
    <row r="5077" spans="1:2">
      <c r="A5077">
        <v>5076</v>
      </c>
      <c r="B5077" s="119">
        <v>3.5970126505105927E-2</v>
      </c>
    </row>
    <row r="5078" spans="1:2">
      <c r="A5078">
        <v>5077</v>
      </c>
      <c r="B5078" s="119">
        <v>0.36930345983843926</v>
      </c>
    </row>
    <row r="5079" spans="1:2">
      <c r="A5079">
        <v>5078</v>
      </c>
      <c r="B5079" s="119">
        <v>0.70263679317177252</v>
      </c>
    </row>
    <row r="5080" spans="1:2">
      <c r="A5080">
        <v>5079</v>
      </c>
      <c r="B5080" s="119">
        <v>0.14708123761621703</v>
      </c>
    </row>
    <row r="5081" spans="1:2">
      <c r="A5081">
        <v>5080</v>
      </c>
      <c r="B5081" s="119">
        <v>0.48041457094955037</v>
      </c>
    </row>
    <row r="5082" spans="1:2">
      <c r="A5082">
        <v>5081</v>
      </c>
      <c r="B5082" s="119">
        <v>0.81374790428288357</v>
      </c>
    </row>
    <row r="5083" spans="1:2">
      <c r="A5083">
        <v>5082</v>
      </c>
      <c r="B5083" s="119">
        <v>0.25819234872732816</v>
      </c>
    </row>
    <row r="5084" spans="1:2">
      <c r="A5084">
        <v>5083</v>
      </c>
      <c r="B5084" s="119">
        <v>0.59152568206066147</v>
      </c>
    </row>
    <row r="5085" spans="1:2">
      <c r="A5085">
        <v>5084</v>
      </c>
      <c r="B5085" s="119">
        <v>0.92485901539399473</v>
      </c>
    </row>
    <row r="5086" spans="1:2">
      <c r="A5086">
        <v>5085</v>
      </c>
      <c r="B5086" s="119">
        <v>7.3007163542142969E-2</v>
      </c>
    </row>
    <row r="5087" spans="1:2">
      <c r="A5087">
        <v>5086</v>
      </c>
      <c r="B5087" s="119">
        <v>0.4063404968754763</v>
      </c>
    </row>
    <row r="5088" spans="1:2">
      <c r="A5088">
        <v>5087</v>
      </c>
      <c r="B5088" s="119">
        <v>0.73967383020880961</v>
      </c>
    </row>
    <row r="5089" spans="1:2">
      <c r="A5089">
        <v>5088</v>
      </c>
      <c r="B5089" s="119">
        <v>0.18411827465325406</v>
      </c>
    </row>
    <row r="5090" spans="1:2">
      <c r="A5090">
        <v>5089</v>
      </c>
      <c r="B5090" s="119">
        <v>0.5174516079865874</v>
      </c>
    </row>
    <row r="5091" spans="1:2">
      <c r="A5091">
        <v>5090</v>
      </c>
      <c r="B5091" s="119">
        <v>0.85078494131992055</v>
      </c>
    </row>
    <row r="5092" spans="1:2">
      <c r="A5092">
        <v>5091</v>
      </c>
      <c r="B5092" s="119">
        <v>0.29522938576436519</v>
      </c>
    </row>
    <row r="5093" spans="1:2">
      <c r="A5093">
        <v>5092</v>
      </c>
      <c r="B5093" s="119">
        <v>0.62856271909769845</v>
      </c>
    </row>
    <row r="5094" spans="1:2">
      <c r="A5094">
        <v>5093</v>
      </c>
      <c r="B5094" s="119">
        <v>0.96189605243103171</v>
      </c>
    </row>
    <row r="5095" spans="1:2">
      <c r="A5095">
        <v>5094</v>
      </c>
      <c r="B5095" s="119">
        <v>0.11004420057918</v>
      </c>
    </row>
    <row r="5096" spans="1:2">
      <c r="A5096">
        <v>5095</v>
      </c>
      <c r="B5096" s="119">
        <v>0.44337753391251333</v>
      </c>
    </row>
    <row r="5097" spans="1:2">
      <c r="A5097">
        <v>5096</v>
      </c>
      <c r="B5097" s="119">
        <v>0.77671086724584659</v>
      </c>
    </row>
    <row r="5098" spans="1:2">
      <c r="A5098">
        <v>5097</v>
      </c>
      <c r="B5098" s="119">
        <v>0.2211553116902911</v>
      </c>
    </row>
    <row r="5099" spans="1:2">
      <c r="A5099">
        <v>5098</v>
      </c>
      <c r="B5099" s="119">
        <v>0.55448864502362438</v>
      </c>
    </row>
    <row r="5100" spans="1:2">
      <c r="A5100">
        <v>5099</v>
      </c>
      <c r="B5100" s="119">
        <v>0.88782197835695764</v>
      </c>
    </row>
    <row r="5101" spans="1:2">
      <c r="A5101">
        <v>5100</v>
      </c>
      <c r="B5101" s="119">
        <v>0.33226642280140223</v>
      </c>
    </row>
    <row r="5102" spans="1:2">
      <c r="A5102">
        <v>5101</v>
      </c>
      <c r="B5102" s="119">
        <v>0.66559975613473554</v>
      </c>
    </row>
    <row r="5103" spans="1:2">
      <c r="A5103">
        <v>5102</v>
      </c>
      <c r="B5103" s="119">
        <v>0.9989330894680688</v>
      </c>
    </row>
    <row r="5104" spans="1:2">
      <c r="A5104">
        <v>5103</v>
      </c>
      <c r="B5104" s="119">
        <v>7.6207895137936289E-4</v>
      </c>
    </row>
    <row r="5105" spans="1:2">
      <c r="A5105">
        <v>5104</v>
      </c>
      <c r="B5105" s="119">
        <v>0.33409541228471268</v>
      </c>
    </row>
    <row r="5106" spans="1:2">
      <c r="A5106">
        <v>5105</v>
      </c>
      <c r="B5106" s="119">
        <v>0.66742874561804599</v>
      </c>
    </row>
    <row r="5107" spans="1:2">
      <c r="A5107">
        <v>5106</v>
      </c>
      <c r="B5107" s="119">
        <v>0.11187319006249047</v>
      </c>
    </row>
    <row r="5108" spans="1:2">
      <c r="A5108">
        <v>5107</v>
      </c>
      <c r="B5108" s="119">
        <v>0.44520652339582378</v>
      </c>
    </row>
    <row r="5109" spans="1:2">
      <c r="A5109">
        <v>5108</v>
      </c>
      <c r="B5109" s="119">
        <v>0.77853985672915704</v>
      </c>
    </row>
    <row r="5110" spans="1:2">
      <c r="A5110">
        <v>5109</v>
      </c>
      <c r="B5110" s="119">
        <v>0.22298430117360157</v>
      </c>
    </row>
    <row r="5111" spans="1:2">
      <c r="A5111">
        <v>5110</v>
      </c>
      <c r="B5111" s="119">
        <v>0.55631763450693494</v>
      </c>
    </row>
    <row r="5112" spans="1:2">
      <c r="A5112">
        <v>5111</v>
      </c>
      <c r="B5112" s="119">
        <v>0.8896509678402682</v>
      </c>
    </row>
    <row r="5113" spans="1:2">
      <c r="A5113">
        <v>5112</v>
      </c>
      <c r="B5113" s="119">
        <v>3.7799115988416399E-2</v>
      </c>
    </row>
    <row r="5114" spans="1:2">
      <c r="A5114">
        <v>5113</v>
      </c>
      <c r="B5114" s="119">
        <v>0.37113244932174971</v>
      </c>
    </row>
    <row r="5115" spans="1:2">
      <c r="A5115">
        <v>5114</v>
      </c>
      <c r="B5115" s="119">
        <v>0.70446578265508308</v>
      </c>
    </row>
    <row r="5116" spans="1:2">
      <c r="A5116">
        <v>5115</v>
      </c>
      <c r="B5116" s="119">
        <v>0.1489102270995275</v>
      </c>
    </row>
    <row r="5117" spans="1:2">
      <c r="A5117">
        <v>5116</v>
      </c>
      <c r="B5117" s="119">
        <v>0.48224356043286082</v>
      </c>
    </row>
    <row r="5118" spans="1:2">
      <c r="A5118">
        <v>5117</v>
      </c>
      <c r="B5118" s="119">
        <v>0.81557689376619402</v>
      </c>
    </row>
    <row r="5119" spans="1:2">
      <c r="A5119">
        <v>5118</v>
      </c>
      <c r="B5119" s="119">
        <v>0.26002133821063861</v>
      </c>
    </row>
    <row r="5120" spans="1:2">
      <c r="A5120">
        <v>5119</v>
      </c>
      <c r="B5120" s="119">
        <v>0.59335467154397192</v>
      </c>
    </row>
    <row r="5121" spans="1:2">
      <c r="A5121">
        <v>5120</v>
      </c>
      <c r="B5121" s="119">
        <v>0.92668800487730518</v>
      </c>
    </row>
    <row r="5122" spans="1:2">
      <c r="A5122">
        <v>5121</v>
      </c>
      <c r="B5122" s="119">
        <v>7.4836153025453434E-2</v>
      </c>
    </row>
    <row r="5123" spans="1:2">
      <c r="A5123">
        <v>5122</v>
      </c>
      <c r="B5123" s="119">
        <v>0.40816948635878675</v>
      </c>
    </row>
    <row r="5124" spans="1:2">
      <c r="A5124">
        <v>5123</v>
      </c>
      <c r="B5124" s="119">
        <v>0.74150281969212006</v>
      </c>
    </row>
    <row r="5125" spans="1:2">
      <c r="A5125">
        <v>5124</v>
      </c>
      <c r="B5125" s="119">
        <v>0.18594726413656454</v>
      </c>
    </row>
    <row r="5126" spans="1:2">
      <c r="A5126">
        <v>5125</v>
      </c>
      <c r="B5126" s="119">
        <v>0.51928059746989785</v>
      </c>
    </row>
    <row r="5127" spans="1:2">
      <c r="A5127">
        <v>5126</v>
      </c>
      <c r="B5127" s="119">
        <v>0.85261393080323111</v>
      </c>
    </row>
    <row r="5128" spans="1:2">
      <c r="A5128">
        <v>5127</v>
      </c>
      <c r="B5128" s="119">
        <v>0.29705837524767564</v>
      </c>
    </row>
    <row r="5129" spans="1:2">
      <c r="A5129">
        <v>5128</v>
      </c>
      <c r="B5129" s="119">
        <v>0.63039170858100901</v>
      </c>
    </row>
    <row r="5130" spans="1:2">
      <c r="A5130">
        <v>5129</v>
      </c>
      <c r="B5130" s="119">
        <v>0.96372504191434227</v>
      </c>
    </row>
    <row r="5131" spans="1:2">
      <c r="A5131">
        <v>5130</v>
      </c>
      <c r="B5131" s="119">
        <v>1.3107757963725042E-2</v>
      </c>
    </row>
    <row r="5132" spans="1:2">
      <c r="A5132">
        <v>5131</v>
      </c>
      <c r="B5132" s="119">
        <v>0.34644109129705836</v>
      </c>
    </row>
    <row r="5133" spans="1:2">
      <c r="A5133">
        <v>5132</v>
      </c>
      <c r="B5133" s="119">
        <v>0.67977442463039162</v>
      </c>
    </row>
    <row r="5134" spans="1:2">
      <c r="A5134">
        <v>5133</v>
      </c>
      <c r="B5134" s="119">
        <v>0.12421886907483615</v>
      </c>
    </row>
    <row r="5135" spans="1:2">
      <c r="A5135">
        <v>5134</v>
      </c>
      <c r="B5135" s="119">
        <v>0.45755220240816946</v>
      </c>
    </row>
    <row r="5136" spans="1:2">
      <c r="A5136">
        <v>5135</v>
      </c>
      <c r="B5136" s="119">
        <v>0.79088553574150278</v>
      </c>
    </row>
    <row r="5137" spans="1:2">
      <c r="A5137">
        <v>5136</v>
      </c>
      <c r="B5137" s="119">
        <v>0.23532998018594725</v>
      </c>
    </row>
    <row r="5138" spans="1:2">
      <c r="A5138">
        <v>5137</v>
      </c>
      <c r="B5138" s="119">
        <v>0.56866331351928068</v>
      </c>
    </row>
    <row r="5139" spans="1:2">
      <c r="A5139">
        <v>5138</v>
      </c>
      <c r="B5139" s="119">
        <v>0.90199664685261394</v>
      </c>
    </row>
    <row r="5140" spans="1:2">
      <c r="A5140">
        <v>5139</v>
      </c>
      <c r="B5140" s="119">
        <v>5.0144795000762077E-2</v>
      </c>
    </row>
    <row r="5141" spans="1:2">
      <c r="A5141">
        <v>5140</v>
      </c>
      <c r="B5141" s="119">
        <v>0.38347812833409539</v>
      </c>
    </row>
    <row r="5142" spans="1:2">
      <c r="A5142">
        <v>5141</v>
      </c>
      <c r="B5142" s="119">
        <v>0.71681146166742882</v>
      </c>
    </row>
    <row r="5143" spans="1:2">
      <c r="A5143">
        <v>5142</v>
      </c>
      <c r="B5143" s="119">
        <v>0.16125590611187318</v>
      </c>
    </row>
    <row r="5144" spans="1:2">
      <c r="A5144">
        <v>5143</v>
      </c>
      <c r="B5144" s="119">
        <v>0.4945892394452065</v>
      </c>
    </row>
    <row r="5145" spans="1:2">
      <c r="A5145">
        <v>5144</v>
      </c>
      <c r="B5145" s="119">
        <v>0.82792257277853976</v>
      </c>
    </row>
    <row r="5146" spans="1:2">
      <c r="A5146">
        <v>5145</v>
      </c>
      <c r="B5146" s="119">
        <v>0.27236701722298429</v>
      </c>
    </row>
    <row r="5147" spans="1:2">
      <c r="A5147">
        <v>5146</v>
      </c>
      <c r="B5147" s="119">
        <v>0.60570035055631766</v>
      </c>
    </row>
    <row r="5148" spans="1:2">
      <c r="A5148">
        <v>5147</v>
      </c>
      <c r="B5148" s="119">
        <v>0.93903368388965092</v>
      </c>
    </row>
    <row r="5149" spans="1:2">
      <c r="A5149">
        <v>5148</v>
      </c>
      <c r="B5149" s="119">
        <v>8.7181832037799112E-2</v>
      </c>
    </row>
    <row r="5150" spans="1:2">
      <c r="A5150">
        <v>5149</v>
      </c>
      <c r="B5150" s="119">
        <v>0.42051516537113243</v>
      </c>
    </row>
    <row r="5151" spans="1:2">
      <c r="A5151">
        <v>5150</v>
      </c>
      <c r="B5151" s="119">
        <v>0.7538484987044658</v>
      </c>
    </row>
    <row r="5152" spans="1:2">
      <c r="A5152">
        <v>5151</v>
      </c>
      <c r="B5152" s="119">
        <v>0.19829294314891022</v>
      </c>
    </row>
    <row r="5153" spans="1:2">
      <c r="A5153">
        <v>5152</v>
      </c>
      <c r="B5153" s="119">
        <v>0.53162627648224348</v>
      </c>
    </row>
    <row r="5154" spans="1:2">
      <c r="A5154">
        <v>5153</v>
      </c>
      <c r="B5154" s="119">
        <v>0.86495960981557674</v>
      </c>
    </row>
    <row r="5155" spans="1:2">
      <c r="A5155">
        <v>5154</v>
      </c>
      <c r="B5155" s="119">
        <v>0.30940405426002132</v>
      </c>
    </row>
    <row r="5156" spans="1:2">
      <c r="A5156">
        <v>5155</v>
      </c>
      <c r="B5156" s="119">
        <v>0.64273738759335464</v>
      </c>
    </row>
    <row r="5157" spans="1:2">
      <c r="A5157">
        <v>5156</v>
      </c>
      <c r="B5157" s="119">
        <v>0.9760707209266879</v>
      </c>
    </row>
    <row r="5158" spans="1:2">
      <c r="A5158">
        <v>5157</v>
      </c>
      <c r="B5158" s="119">
        <v>2.5453436976070717E-2</v>
      </c>
    </row>
    <row r="5159" spans="1:2">
      <c r="A5159">
        <v>5158</v>
      </c>
      <c r="B5159" s="119">
        <v>0.35878677030940404</v>
      </c>
    </row>
    <row r="5160" spans="1:2">
      <c r="A5160">
        <v>5159</v>
      </c>
      <c r="B5160" s="119">
        <v>0.69212010364273735</v>
      </c>
    </row>
    <row r="5161" spans="1:2">
      <c r="A5161">
        <v>5160</v>
      </c>
      <c r="B5161" s="119">
        <v>0.13656454808718183</v>
      </c>
    </row>
    <row r="5162" spans="1:2">
      <c r="A5162">
        <v>5161</v>
      </c>
      <c r="B5162" s="119">
        <v>0.46989788142051514</v>
      </c>
    </row>
    <row r="5163" spans="1:2">
      <c r="A5163">
        <v>5162</v>
      </c>
      <c r="B5163" s="119">
        <v>0.8032312147538484</v>
      </c>
    </row>
    <row r="5164" spans="1:2">
      <c r="A5164">
        <v>5163</v>
      </c>
      <c r="B5164" s="119">
        <v>0.24767565919829293</v>
      </c>
    </row>
    <row r="5165" spans="1:2">
      <c r="A5165">
        <v>5164</v>
      </c>
      <c r="B5165" s="119">
        <v>0.5810089925316263</v>
      </c>
    </row>
    <row r="5166" spans="1:2">
      <c r="A5166">
        <v>5165</v>
      </c>
      <c r="B5166" s="119">
        <v>0.91434232586495956</v>
      </c>
    </row>
    <row r="5167" spans="1:2">
      <c r="A5167">
        <v>5166</v>
      </c>
      <c r="B5167" s="119">
        <v>6.2490474013107755E-2</v>
      </c>
    </row>
    <row r="5168" spans="1:2">
      <c r="A5168">
        <v>5167</v>
      </c>
      <c r="B5168" s="119">
        <v>0.39582380734644107</v>
      </c>
    </row>
    <row r="5169" spans="1:2">
      <c r="A5169">
        <v>5168</v>
      </c>
      <c r="B5169" s="119">
        <v>0.72915714067977444</v>
      </c>
    </row>
    <row r="5170" spans="1:2">
      <c r="A5170">
        <v>5169</v>
      </c>
      <c r="B5170" s="119">
        <v>0.17360158512421886</v>
      </c>
    </row>
    <row r="5171" spans="1:2">
      <c r="A5171">
        <v>5170</v>
      </c>
      <c r="B5171" s="119">
        <v>0.50693491845755223</v>
      </c>
    </row>
    <row r="5172" spans="1:2">
      <c r="A5172">
        <v>5171</v>
      </c>
      <c r="B5172" s="119">
        <v>0.84026825179088538</v>
      </c>
    </row>
    <row r="5173" spans="1:2">
      <c r="A5173">
        <v>5172</v>
      </c>
      <c r="B5173" s="119">
        <v>0.28471269623532997</v>
      </c>
    </row>
    <row r="5174" spans="1:2">
      <c r="A5174">
        <v>5173</v>
      </c>
      <c r="B5174" s="119">
        <v>0.61804602956866328</v>
      </c>
    </row>
    <row r="5175" spans="1:2">
      <c r="A5175">
        <v>5174</v>
      </c>
      <c r="B5175" s="119">
        <v>0.95137936290199654</v>
      </c>
    </row>
    <row r="5176" spans="1:2">
      <c r="A5176">
        <v>5175</v>
      </c>
      <c r="B5176" s="119">
        <v>9.952751105014479E-2</v>
      </c>
    </row>
    <row r="5177" spans="1:2">
      <c r="A5177">
        <v>5176</v>
      </c>
      <c r="B5177" s="119">
        <v>0.4328608443834781</v>
      </c>
    </row>
    <row r="5178" spans="1:2">
      <c r="A5178">
        <v>5177</v>
      </c>
      <c r="B5178" s="119">
        <v>0.76619417771681142</v>
      </c>
    </row>
    <row r="5179" spans="1:2">
      <c r="A5179">
        <v>5178</v>
      </c>
      <c r="B5179" s="119">
        <v>0.2106386221612559</v>
      </c>
    </row>
    <row r="5180" spans="1:2">
      <c r="A5180">
        <v>5179</v>
      </c>
      <c r="B5180" s="119">
        <v>0.54397195549458921</v>
      </c>
    </row>
    <row r="5181" spans="1:2">
      <c r="A5181">
        <v>5180</v>
      </c>
      <c r="B5181" s="119">
        <v>0.87730528882792247</v>
      </c>
    </row>
    <row r="5182" spans="1:2">
      <c r="A5182">
        <v>5181</v>
      </c>
      <c r="B5182" s="119">
        <v>0.321749733272367</v>
      </c>
    </row>
    <row r="5183" spans="1:2">
      <c r="A5183">
        <v>5182</v>
      </c>
      <c r="B5183" s="119">
        <v>0.65508306660570037</v>
      </c>
    </row>
    <row r="5184" spans="1:2">
      <c r="A5184">
        <v>5183</v>
      </c>
      <c r="B5184" s="119">
        <v>0.98841639993903363</v>
      </c>
    </row>
    <row r="5185" spans="1:2">
      <c r="A5185">
        <v>5184</v>
      </c>
      <c r="B5185" s="119">
        <v>4.8773052888279227E-3</v>
      </c>
    </row>
    <row r="5186" spans="1:2">
      <c r="A5186">
        <v>5185</v>
      </c>
      <c r="B5186" s="119">
        <v>0.33821063862216122</v>
      </c>
    </row>
    <row r="5187" spans="1:2">
      <c r="A5187">
        <v>5186</v>
      </c>
      <c r="B5187" s="119">
        <v>0.67154397195549453</v>
      </c>
    </row>
    <row r="5188" spans="1:2">
      <c r="A5188">
        <v>5187</v>
      </c>
      <c r="B5188" s="119">
        <v>0.11598841639993902</v>
      </c>
    </row>
    <row r="5189" spans="1:2">
      <c r="A5189">
        <v>5188</v>
      </c>
      <c r="B5189" s="119">
        <v>0.44932174973327232</v>
      </c>
    </row>
    <row r="5190" spans="1:2">
      <c r="A5190">
        <v>5189</v>
      </c>
      <c r="B5190" s="119">
        <v>0.78265508306660558</v>
      </c>
    </row>
    <row r="5191" spans="1:2">
      <c r="A5191">
        <v>5190</v>
      </c>
      <c r="B5191" s="119">
        <v>0.22709952751105014</v>
      </c>
    </row>
    <row r="5192" spans="1:2">
      <c r="A5192">
        <v>5191</v>
      </c>
      <c r="B5192" s="119">
        <v>0.56043286084438348</v>
      </c>
    </row>
    <row r="5193" spans="1:2">
      <c r="A5193">
        <v>5192</v>
      </c>
      <c r="B5193" s="119">
        <v>0.89376619417771674</v>
      </c>
    </row>
    <row r="5194" spans="1:2">
      <c r="A5194">
        <v>5193</v>
      </c>
      <c r="B5194" s="119">
        <v>4.191434232586496E-2</v>
      </c>
    </row>
    <row r="5195" spans="1:2">
      <c r="A5195">
        <v>5194</v>
      </c>
      <c r="B5195" s="119">
        <v>0.37524767565919825</v>
      </c>
    </row>
    <row r="5196" spans="1:2">
      <c r="A5196">
        <v>5195</v>
      </c>
      <c r="B5196" s="119">
        <v>0.70858100899253162</v>
      </c>
    </row>
    <row r="5197" spans="1:2">
      <c r="A5197">
        <v>5196</v>
      </c>
      <c r="B5197" s="119">
        <v>0.15302545343697607</v>
      </c>
    </row>
    <row r="5198" spans="1:2">
      <c r="A5198">
        <v>5197</v>
      </c>
      <c r="B5198" s="119">
        <v>0.48635878677030936</v>
      </c>
    </row>
    <row r="5199" spans="1:2">
      <c r="A5199">
        <v>5198</v>
      </c>
      <c r="B5199" s="119">
        <v>0.81969212010364256</v>
      </c>
    </row>
    <row r="5200" spans="1:2">
      <c r="A5200">
        <v>5199</v>
      </c>
      <c r="B5200" s="119">
        <v>0.26413656454808715</v>
      </c>
    </row>
    <row r="5201" spans="1:2">
      <c r="A5201">
        <v>5200</v>
      </c>
      <c r="B5201" s="119">
        <v>0.59746989788142046</v>
      </c>
    </row>
    <row r="5202" spans="1:2">
      <c r="A5202">
        <v>5201</v>
      </c>
      <c r="B5202" s="119">
        <v>0.93080323121475372</v>
      </c>
    </row>
    <row r="5203" spans="1:2">
      <c r="A5203">
        <v>5202</v>
      </c>
      <c r="B5203" s="119">
        <v>7.8951379362901988E-2</v>
      </c>
    </row>
    <row r="5204" spans="1:2">
      <c r="A5204">
        <v>5203</v>
      </c>
      <c r="B5204" s="119">
        <v>0.41228471269623529</v>
      </c>
    </row>
    <row r="5205" spans="1:2">
      <c r="A5205">
        <v>5204</v>
      </c>
      <c r="B5205" s="119">
        <v>0.7456180460295686</v>
      </c>
    </row>
    <row r="5206" spans="1:2">
      <c r="A5206">
        <v>5205</v>
      </c>
      <c r="B5206" s="119">
        <v>0.19006249047401311</v>
      </c>
    </row>
    <row r="5207" spans="1:2">
      <c r="A5207">
        <v>5206</v>
      </c>
      <c r="B5207" s="119">
        <v>0.52339582380734639</v>
      </c>
    </row>
    <row r="5208" spans="1:2">
      <c r="A5208">
        <v>5207</v>
      </c>
      <c r="B5208" s="119">
        <v>0.85672915714067965</v>
      </c>
    </row>
    <row r="5209" spans="1:2">
      <c r="A5209">
        <v>5208</v>
      </c>
      <c r="B5209" s="119">
        <v>0.30117360158512418</v>
      </c>
    </row>
    <row r="5210" spans="1:2">
      <c r="A5210">
        <v>5209</v>
      </c>
      <c r="B5210" s="119">
        <v>0.63450693491845755</v>
      </c>
    </row>
    <row r="5211" spans="1:2">
      <c r="A5211">
        <v>5210</v>
      </c>
      <c r="B5211" s="119">
        <v>0.96784026825179081</v>
      </c>
    </row>
    <row r="5212" spans="1:2">
      <c r="A5212">
        <v>5211</v>
      </c>
      <c r="B5212" s="119">
        <v>1.72229843011736E-2</v>
      </c>
    </row>
    <row r="5213" spans="1:2">
      <c r="A5213">
        <v>5212</v>
      </c>
      <c r="B5213" s="119">
        <v>0.3505563176345069</v>
      </c>
    </row>
    <row r="5214" spans="1:2">
      <c r="A5214">
        <v>5213</v>
      </c>
      <c r="B5214" s="119">
        <v>0.68388965096784016</v>
      </c>
    </row>
    <row r="5215" spans="1:2">
      <c r="A5215">
        <v>5214</v>
      </c>
      <c r="B5215" s="119">
        <v>0.12833409541228472</v>
      </c>
    </row>
    <row r="5216" spans="1:2">
      <c r="A5216">
        <v>5215</v>
      </c>
      <c r="B5216" s="119">
        <v>0.461667428745618</v>
      </c>
    </row>
    <row r="5217" spans="1:2">
      <c r="A5217">
        <v>5216</v>
      </c>
      <c r="B5217" s="119">
        <v>0.79500076207895132</v>
      </c>
    </row>
    <row r="5218" spans="1:2">
      <c r="A5218">
        <v>5217</v>
      </c>
      <c r="B5218" s="119">
        <v>0.23944520652339582</v>
      </c>
    </row>
    <row r="5219" spans="1:2">
      <c r="A5219">
        <v>5218</v>
      </c>
      <c r="B5219" s="119">
        <v>0.57277853985672922</v>
      </c>
    </row>
    <row r="5220" spans="1:2">
      <c r="A5220">
        <v>5219</v>
      </c>
      <c r="B5220" s="119">
        <v>0.90611187319006248</v>
      </c>
    </row>
    <row r="5221" spans="1:2">
      <c r="A5221">
        <v>5220</v>
      </c>
      <c r="B5221" s="119">
        <v>5.4260021338210639E-2</v>
      </c>
    </row>
    <row r="5222" spans="1:2">
      <c r="A5222">
        <v>5221</v>
      </c>
      <c r="B5222" s="119">
        <v>0.38759335467154393</v>
      </c>
    </row>
    <row r="5223" spans="1:2">
      <c r="A5223">
        <v>5222</v>
      </c>
      <c r="B5223" s="119">
        <v>0.72092668800487736</v>
      </c>
    </row>
    <row r="5224" spans="1:2">
      <c r="A5224">
        <v>5223</v>
      </c>
      <c r="B5224" s="119">
        <v>0.16537113244932175</v>
      </c>
    </row>
    <row r="5225" spans="1:2">
      <c r="A5225">
        <v>5224</v>
      </c>
      <c r="B5225" s="119">
        <v>0.49870446578265504</v>
      </c>
    </row>
    <row r="5226" spans="1:2">
      <c r="A5226">
        <v>5225</v>
      </c>
      <c r="B5226" s="119">
        <v>0.8320377991159883</v>
      </c>
    </row>
    <row r="5227" spans="1:2">
      <c r="A5227">
        <v>5226</v>
      </c>
      <c r="B5227" s="119">
        <v>0.27648224356043283</v>
      </c>
    </row>
    <row r="5228" spans="1:2">
      <c r="A5228">
        <v>5227</v>
      </c>
      <c r="B5228" s="119">
        <v>0.6098155768937662</v>
      </c>
    </row>
    <row r="5229" spans="1:2">
      <c r="A5229">
        <v>5228</v>
      </c>
      <c r="B5229" s="119">
        <v>0.94314891022709946</v>
      </c>
    </row>
    <row r="5230" spans="1:2">
      <c r="A5230">
        <v>5229</v>
      </c>
      <c r="B5230" s="119">
        <v>9.1297058375247667E-2</v>
      </c>
    </row>
    <row r="5231" spans="1:2">
      <c r="A5231">
        <v>5230</v>
      </c>
      <c r="B5231" s="119">
        <v>0.42463039170858097</v>
      </c>
    </row>
    <row r="5232" spans="1:2">
      <c r="A5232">
        <v>5231</v>
      </c>
      <c r="B5232" s="119">
        <v>0.75796372504191434</v>
      </c>
    </row>
    <row r="5233" spans="1:2">
      <c r="A5233">
        <v>5232</v>
      </c>
      <c r="B5233" s="119">
        <v>0.20240816948635879</v>
      </c>
    </row>
    <row r="5234" spans="1:2">
      <c r="A5234">
        <v>5233</v>
      </c>
      <c r="B5234" s="119">
        <v>0.53574150281969202</v>
      </c>
    </row>
    <row r="5235" spans="1:2">
      <c r="A5235">
        <v>5234</v>
      </c>
      <c r="B5235" s="119">
        <v>0.86907483615302528</v>
      </c>
    </row>
    <row r="5236" spans="1:2">
      <c r="A5236">
        <v>5235</v>
      </c>
      <c r="B5236" s="119">
        <v>0.31351928059746986</v>
      </c>
    </row>
    <row r="5237" spans="1:2">
      <c r="A5237">
        <v>5236</v>
      </c>
      <c r="B5237" s="119">
        <v>0.64685261393080318</v>
      </c>
    </row>
    <row r="5238" spans="1:2">
      <c r="A5238">
        <v>5237</v>
      </c>
      <c r="B5238" s="119">
        <v>0.98018594726413644</v>
      </c>
    </row>
    <row r="5239" spans="1:2">
      <c r="A5239">
        <v>5238</v>
      </c>
      <c r="B5239" s="119">
        <v>2.9568663313519278E-2</v>
      </c>
    </row>
    <row r="5240" spans="1:2">
      <c r="A5240">
        <v>5239</v>
      </c>
      <c r="B5240" s="119">
        <v>0.36290199664685258</v>
      </c>
    </row>
    <row r="5241" spans="1:2">
      <c r="A5241">
        <v>5240</v>
      </c>
      <c r="B5241" s="119">
        <v>0.69623532998018589</v>
      </c>
    </row>
    <row r="5242" spans="1:2">
      <c r="A5242">
        <v>5241</v>
      </c>
      <c r="B5242" s="119">
        <v>0.14067977442463039</v>
      </c>
    </row>
    <row r="5243" spans="1:2">
      <c r="A5243">
        <v>5242</v>
      </c>
      <c r="B5243" s="119">
        <v>0.47401310775796368</v>
      </c>
    </row>
    <row r="5244" spans="1:2">
      <c r="A5244">
        <v>5243</v>
      </c>
      <c r="B5244" s="119">
        <v>0.80734644109129694</v>
      </c>
    </row>
    <row r="5245" spans="1:2">
      <c r="A5245">
        <v>5244</v>
      </c>
      <c r="B5245" s="119">
        <v>0.25179088553574147</v>
      </c>
    </row>
    <row r="5246" spans="1:2">
      <c r="A5246">
        <v>5245</v>
      </c>
      <c r="B5246" s="119">
        <v>0.58512421886907484</v>
      </c>
    </row>
    <row r="5247" spans="1:2">
      <c r="A5247">
        <v>5246</v>
      </c>
      <c r="B5247" s="119">
        <v>0.9184575522024081</v>
      </c>
    </row>
    <row r="5248" spans="1:2">
      <c r="A5248">
        <v>5247</v>
      </c>
      <c r="B5248" s="119">
        <v>6.660570035055631E-2</v>
      </c>
    </row>
    <row r="5249" spans="1:2">
      <c r="A5249">
        <v>5248</v>
      </c>
      <c r="B5249" s="119">
        <v>0.39993903368388961</v>
      </c>
    </row>
    <row r="5250" spans="1:2">
      <c r="A5250">
        <v>5249</v>
      </c>
      <c r="B5250" s="119">
        <v>0.73327236701722298</v>
      </c>
    </row>
    <row r="5251" spans="1:2">
      <c r="A5251">
        <v>5250</v>
      </c>
      <c r="B5251" s="119">
        <v>0.17771681146166743</v>
      </c>
    </row>
    <row r="5252" spans="1:2">
      <c r="A5252">
        <v>5251</v>
      </c>
      <c r="B5252" s="119">
        <v>0.51105014479500077</v>
      </c>
    </row>
    <row r="5253" spans="1:2">
      <c r="A5253">
        <v>5252</v>
      </c>
      <c r="B5253" s="119">
        <v>0.84438347812833392</v>
      </c>
    </row>
    <row r="5254" spans="1:2">
      <c r="A5254">
        <v>5253</v>
      </c>
      <c r="B5254" s="119">
        <v>0.28882792257277851</v>
      </c>
    </row>
    <row r="5255" spans="1:2">
      <c r="A5255">
        <v>5254</v>
      </c>
      <c r="B5255" s="119">
        <v>0.62216125590611182</v>
      </c>
    </row>
    <row r="5256" spans="1:2">
      <c r="A5256">
        <v>5255</v>
      </c>
      <c r="B5256" s="119">
        <v>0.95549458923944508</v>
      </c>
    </row>
    <row r="5257" spans="1:2">
      <c r="A5257">
        <v>5256</v>
      </c>
      <c r="B5257" s="119">
        <v>0.10364273738759334</v>
      </c>
    </row>
    <row r="5258" spans="1:2">
      <c r="A5258">
        <v>5257</v>
      </c>
      <c r="B5258" s="119">
        <v>0.43697607072092665</v>
      </c>
    </row>
    <row r="5259" spans="1:2">
      <c r="A5259">
        <v>5258</v>
      </c>
      <c r="B5259" s="119">
        <v>0.77030940405425996</v>
      </c>
    </row>
    <row r="5260" spans="1:2">
      <c r="A5260">
        <v>5259</v>
      </c>
      <c r="B5260" s="119">
        <v>0.21475384849870446</v>
      </c>
    </row>
    <row r="5261" spans="1:2">
      <c r="A5261">
        <v>5260</v>
      </c>
      <c r="B5261" s="119">
        <v>0.54808718183203775</v>
      </c>
    </row>
    <row r="5262" spans="1:2">
      <c r="A5262">
        <v>5261</v>
      </c>
      <c r="B5262" s="119">
        <v>0.88142051516537101</v>
      </c>
    </row>
    <row r="5263" spans="1:2">
      <c r="A5263">
        <v>5262</v>
      </c>
      <c r="B5263" s="119">
        <v>0.32586495960981554</v>
      </c>
    </row>
    <row r="5264" spans="1:2">
      <c r="A5264">
        <v>5263</v>
      </c>
      <c r="B5264" s="119">
        <v>0.65919829294314891</v>
      </c>
    </row>
    <row r="5265" spans="1:2">
      <c r="A5265">
        <v>5264</v>
      </c>
      <c r="B5265" s="119">
        <v>0.99253162627648217</v>
      </c>
    </row>
    <row r="5266" spans="1:2">
      <c r="A5266">
        <v>5265</v>
      </c>
      <c r="B5266" s="119">
        <v>8.9925316262764836E-3</v>
      </c>
    </row>
    <row r="5267" spans="1:2">
      <c r="A5267">
        <v>5266</v>
      </c>
      <c r="B5267" s="119">
        <v>0.34232586495960982</v>
      </c>
    </row>
    <row r="5268" spans="1:2">
      <c r="A5268">
        <v>5267</v>
      </c>
      <c r="B5268" s="119">
        <v>0.67565919829294308</v>
      </c>
    </row>
    <row r="5269" spans="1:2">
      <c r="A5269">
        <v>5268</v>
      </c>
      <c r="B5269" s="119">
        <v>0.12010364273738759</v>
      </c>
    </row>
    <row r="5270" spans="1:2">
      <c r="A5270">
        <v>5269</v>
      </c>
      <c r="B5270" s="119">
        <v>0.45343697607072092</v>
      </c>
    </row>
    <row r="5271" spans="1:2">
      <c r="A5271">
        <v>5270</v>
      </c>
      <c r="B5271" s="119">
        <v>0.78677030940405412</v>
      </c>
    </row>
    <row r="5272" spans="1:2">
      <c r="A5272">
        <v>5271</v>
      </c>
      <c r="B5272" s="119">
        <v>0.23121475384849868</v>
      </c>
    </row>
    <row r="5273" spans="1:2">
      <c r="A5273">
        <v>5272</v>
      </c>
      <c r="B5273" s="119">
        <v>0.56454808718183203</v>
      </c>
    </row>
    <row r="5274" spans="1:2">
      <c r="A5274">
        <v>5273</v>
      </c>
      <c r="B5274" s="119">
        <v>0.89788142051516528</v>
      </c>
    </row>
    <row r="5275" spans="1:2">
      <c r="A5275">
        <v>5274</v>
      </c>
      <c r="B5275" s="119">
        <v>4.6029568663313522E-2</v>
      </c>
    </row>
    <row r="5276" spans="1:2">
      <c r="A5276">
        <v>5275</v>
      </c>
      <c r="B5276" s="119">
        <v>0.37936290199664685</v>
      </c>
    </row>
    <row r="5277" spans="1:2">
      <c r="A5277">
        <v>5276</v>
      </c>
      <c r="B5277" s="119">
        <v>0.71269623532998017</v>
      </c>
    </row>
    <row r="5278" spans="1:2">
      <c r="A5278">
        <v>5277</v>
      </c>
      <c r="B5278" s="119">
        <v>0.15714067977442461</v>
      </c>
    </row>
    <row r="5279" spans="1:2">
      <c r="A5279">
        <v>5278</v>
      </c>
      <c r="B5279" s="119">
        <v>0.49047401310775796</v>
      </c>
    </row>
    <row r="5280" spans="1:2">
      <c r="A5280">
        <v>5279</v>
      </c>
      <c r="B5280" s="119">
        <v>0.8238073464410911</v>
      </c>
    </row>
    <row r="5281" spans="1:2">
      <c r="A5281">
        <v>5280</v>
      </c>
      <c r="B5281" s="119">
        <v>0.26825179088553575</v>
      </c>
    </row>
    <row r="5282" spans="1:2">
      <c r="A5282">
        <v>5281</v>
      </c>
      <c r="B5282" s="119">
        <v>0.60158512421886901</v>
      </c>
    </row>
    <row r="5283" spans="1:2">
      <c r="A5283">
        <v>5282</v>
      </c>
      <c r="B5283" s="119">
        <v>0.93491845755220226</v>
      </c>
    </row>
    <row r="5284" spans="1:2">
      <c r="A5284">
        <v>5283</v>
      </c>
      <c r="B5284" s="119">
        <v>8.3066605700350557E-2</v>
      </c>
    </row>
    <row r="5285" spans="1:2">
      <c r="A5285">
        <v>5284</v>
      </c>
      <c r="B5285" s="119">
        <v>0.41639993903368389</v>
      </c>
    </row>
    <row r="5286" spans="1:2">
      <c r="A5286">
        <v>5285</v>
      </c>
      <c r="B5286" s="119">
        <v>0.74973327236701715</v>
      </c>
    </row>
    <row r="5287" spans="1:2">
      <c r="A5287">
        <v>5286</v>
      </c>
      <c r="B5287" s="119">
        <v>0.19417771681146165</v>
      </c>
    </row>
    <row r="5288" spans="1:2">
      <c r="A5288">
        <v>5287</v>
      </c>
      <c r="B5288" s="119">
        <v>0.52751105014479494</v>
      </c>
    </row>
    <row r="5289" spans="1:2">
      <c r="A5289">
        <v>5288</v>
      </c>
      <c r="B5289" s="119">
        <v>0.86084438347812819</v>
      </c>
    </row>
    <row r="5290" spans="1:2">
      <c r="A5290">
        <v>5289</v>
      </c>
      <c r="B5290" s="119">
        <v>0.30528882792257278</v>
      </c>
    </row>
    <row r="5291" spans="1:2">
      <c r="A5291">
        <v>5290</v>
      </c>
      <c r="B5291" s="119">
        <v>0.6386221612559061</v>
      </c>
    </row>
    <row r="5292" spans="1:2">
      <c r="A5292">
        <v>5291</v>
      </c>
      <c r="B5292" s="119">
        <v>0.97195549458923935</v>
      </c>
    </row>
    <row r="5293" spans="1:2">
      <c r="A5293">
        <v>5292</v>
      </c>
      <c r="B5293" s="119">
        <v>2.1338210638622158E-2</v>
      </c>
    </row>
    <row r="5294" spans="1:2">
      <c r="A5294">
        <v>5293</v>
      </c>
      <c r="B5294" s="119">
        <v>0.35467154397195549</v>
      </c>
    </row>
    <row r="5295" spans="1:2">
      <c r="A5295">
        <v>5294</v>
      </c>
      <c r="B5295" s="119">
        <v>0.6880048773052887</v>
      </c>
    </row>
    <row r="5296" spans="1:2">
      <c r="A5296">
        <v>5295</v>
      </c>
      <c r="B5296" s="119">
        <v>0.13244932174973326</v>
      </c>
    </row>
    <row r="5297" spans="1:2">
      <c r="A5297">
        <v>5296</v>
      </c>
      <c r="B5297" s="119">
        <v>0.4657826550830666</v>
      </c>
    </row>
    <row r="5298" spans="1:2">
      <c r="A5298">
        <v>5297</v>
      </c>
      <c r="B5298" s="119">
        <v>0.79911598841639986</v>
      </c>
    </row>
    <row r="5299" spans="1:2">
      <c r="A5299">
        <v>5298</v>
      </c>
      <c r="B5299" s="119">
        <v>0.24356043286084436</v>
      </c>
    </row>
    <row r="5300" spans="1:2">
      <c r="A5300">
        <v>5299</v>
      </c>
      <c r="B5300" s="119">
        <v>0.57689376619417776</v>
      </c>
    </row>
    <row r="5301" spans="1:2">
      <c r="A5301">
        <v>5300</v>
      </c>
      <c r="B5301" s="119">
        <v>0.91022709952751102</v>
      </c>
    </row>
    <row r="5302" spans="1:2">
      <c r="A5302">
        <v>5301</v>
      </c>
      <c r="B5302" s="119">
        <v>5.83752476756592E-2</v>
      </c>
    </row>
    <row r="5303" spans="1:2">
      <c r="A5303">
        <v>5302</v>
      </c>
      <c r="B5303" s="119">
        <v>0.39170858100899253</v>
      </c>
    </row>
    <row r="5304" spans="1:2">
      <c r="A5304">
        <v>5303</v>
      </c>
      <c r="B5304" s="119">
        <v>0.7250419143423259</v>
      </c>
    </row>
    <row r="5305" spans="1:2">
      <c r="A5305">
        <v>5304</v>
      </c>
      <c r="B5305" s="119">
        <v>0.16948635878677029</v>
      </c>
    </row>
    <row r="5306" spans="1:2">
      <c r="A5306">
        <v>5305</v>
      </c>
      <c r="B5306" s="119">
        <v>0.50281969212010358</v>
      </c>
    </row>
    <row r="5307" spans="1:2">
      <c r="A5307">
        <v>5306</v>
      </c>
      <c r="B5307" s="119">
        <v>0.83615302545343684</v>
      </c>
    </row>
    <row r="5308" spans="1:2">
      <c r="A5308">
        <v>5307</v>
      </c>
      <c r="B5308" s="119">
        <v>0.28059746989788142</v>
      </c>
    </row>
    <row r="5309" spans="1:2">
      <c r="A5309">
        <v>5308</v>
      </c>
      <c r="B5309" s="119">
        <v>0.61393080323121474</v>
      </c>
    </row>
    <row r="5310" spans="1:2">
      <c r="A5310">
        <v>5309</v>
      </c>
      <c r="B5310" s="119">
        <v>0.947264136564548</v>
      </c>
    </row>
    <row r="5311" spans="1:2">
      <c r="A5311">
        <v>5310</v>
      </c>
      <c r="B5311" s="119">
        <v>9.5412284712696235E-2</v>
      </c>
    </row>
    <row r="5312" spans="1:2">
      <c r="A5312">
        <v>5311</v>
      </c>
      <c r="B5312" s="119">
        <v>0.42874561804602956</v>
      </c>
    </row>
    <row r="5313" spans="1:2">
      <c r="A5313">
        <v>5312</v>
      </c>
      <c r="B5313" s="119">
        <v>0.76207895137936288</v>
      </c>
    </row>
    <row r="5314" spans="1:2">
      <c r="A5314">
        <v>5313</v>
      </c>
      <c r="B5314" s="119">
        <v>0.20652339582380733</v>
      </c>
    </row>
    <row r="5315" spans="1:2">
      <c r="A5315">
        <v>5314</v>
      </c>
      <c r="B5315" s="119">
        <v>0.53985672915714056</v>
      </c>
    </row>
    <row r="5316" spans="1:2">
      <c r="A5316">
        <v>5315</v>
      </c>
      <c r="B5316" s="119">
        <v>0.87319006249047382</v>
      </c>
    </row>
    <row r="5317" spans="1:2">
      <c r="A5317">
        <v>5316</v>
      </c>
      <c r="B5317" s="119">
        <v>0.31763450693491846</v>
      </c>
    </row>
    <row r="5318" spans="1:2">
      <c r="A5318">
        <v>5317</v>
      </c>
      <c r="B5318" s="119">
        <v>0.65096784026825172</v>
      </c>
    </row>
    <row r="5319" spans="1:2">
      <c r="A5319">
        <v>5318</v>
      </c>
      <c r="B5319" s="119">
        <v>0.98430117360158498</v>
      </c>
    </row>
    <row r="5320" spans="1:2">
      <c r="A5320">
        <v>5319</v>
      </c>
      <c r="B5320" s="119">
        <v>3.3683889650967844E-2</v>
      </c>
    </row>
    <row r="5321" spans="1:2">
      <c r="A5321">
        <v>5320</v>
      </c>
      <c r="B5321" s="119">
        <v>0.36701722298430117</v>
      </c>
    </row>
    <row r="5322" spans="1:2">
      <c r="A5322">
        <v>5321</v>
      </c>
      <c r="B5322" s="119">
        <v>0.70035055631763443</v>
      </c>
    </row>
    <row r="5323" spans="1:2">
      <c r="A5323">
        <v>5322</v>
      </c>
      <c r="B5323" s="119">
        <v>0.14479500076207893</v>
      </c>
    </row>
    <row r="5324" spans="1:2">
      <c r="A5324">
        <v>5323</v>
      </c>
      <c r="B5324" s="119">
        <v>0.47812833409541228</v>
      </c>
    </row>
    <row r="5325" spans="1:2">
      <c r="A5325">
        <v>5324</v>
      </c>
      <c r="B5325" s="119">
        <v>0.81146166742874548</v>
      </c>
    </row>
    <row r="5326" spans="1:2">
      <c r="A5326">
        <v>5325</v>
      </c>
      <c r="B5326" s="119">
        <v>0.25590611187319007</v>
      </c>
    </row>
    <row r="5327" spans="1:2">
      <c r="A5327">
        <v>5326</v>
      </c>
      <c r="B5327" s="119">
        <v>0.58923944520652338</v>
      </c>
    </row>
    <row r="5328" spans="1:2">
      <c r="A5328">
        <v>5327</v>
      </c>
      <c r="B5328" s="119">
        <v>0.92257277853985664</v>
      </c>
    </row>
    <row r="5329" spans="1:2">
      <c r="A5329">
        <v>5328</v>
      </c>
      <c r="B5329" s="119">
        <v>7.0720926688004879E-2</v>
      </c>
    </row>
    <row r="5330" spans="1:2">
      <c r="A5330">
        <v>5329</v>
      </c>
      <c r="B5330" s="119">
        <v>0.40405426002133821</v>
      </c>
    </row>
    <row r="5331" spans="1:2">
      <c r="A5331">
        <v>5330</v>
      </c>
      <c r="B5331" s="119">
        <v>0.73738759335467152</v>
      </c>
    </row>
    <row r="5332" spans="1:2">
      <c r="A5332">
        <v>5331</v>
      </c>
      <c r="B5332" s="119">
        <v>0.18183203779911597</v>
      </c>
    </row>
    <row r="5333" spans="1:2">
      <c r="A5333">
        <v>5332</v>
      </c>
      <c r="B5333" s="119">
        <v>0.51516537113244931</v>
      </c>
    </row>
    <row r="5334" spans="1:2">
      <c r="A5334">
        <v>5333</v>
      </c>
      <c r="B5334" s="119">
        <v>0.84849870446578246</v>
      </c>
    </row>
    <row r="5335" spans="1:2">
      <c r="A5335">
        <v>5334</v>
      </c>
      <c r="B5335" s="119">
        <v>0.2929431489102271</v>
      </c>
    </row>
    <row r="5336" spans="1:2">
      <c r="A5336">
        <v>5335</v>
      </c>
      <c r="B5336" s="119">
        <v>0.62627648224356036</v>
      </c>
    </row>
    <row r="5337" spans="1:2">
      <c r="A5337">
        <v>5336</v>
      </c>
      <c r="B5337" s="119">
        <v>0.95960981557689362</v>
      </c>
    </row>
    <row r="5338" spans="1:2">
      <c r="A5338">
        <v>5337</v>
      </c>
      <c r="B5338" s="119">
        <v>0.10775796372504191</v>
      </c>
    </row>
    <row r="5339" spans="1:2">
      <c r="A5339">
        <v>5338</v>
      </c>
      <c r="B5339" s="119">
        <v>0.44109129705837524</v>
      </c>
    </row>
    <row r="5340" spans="1:2">
      <c r="A5340">
        <v>5339</v>
      </c>
      <c r="B5340" s="119">
        <v>0.7744246303917085</v>
      </c>
    </row>
    <row r="5341" spans="1:2">
      <c r="A5341">
        <v>5340</v>
      </c>
      <c r="B5341" s="119">
        <v>0.218869074836153</v>
      </c>
    </row>
    <row r="5342" spans="1:2">
      <c r="A5342">
        <v>5341</v>
      </c>
      <c r="B5342" s="119">
        <v>0.55220240816948629</v>
      </c>
    </row>
    <row r="5343" spans="1:2">
      <c r="A5343">
        <v>5342</v>
      </c>
      <c r="B5343" s="119">
        <v>0.88553574150281955</v>
      </c>
    </row>
    <row r="5344" spans="1:2">
      <c r="A5344">
        <v>5343</v>
      </c>
      <c r="B5344" s="119">
        <v>0.32998018594726414</v>
      </c>
    </row>
    <row r="5345" spans="1:2">
      <c r="A5345">
        <v>5344</v>
      </c>
      <c r="B5345" s="119">
        <v>0.66331351928059745</v>
      </c>
    </row>
    <row r="5346" spans="1:2">
      <c r="A5346">
        <v>5345</v>
      </c>
      <c r="B5346" s="119">
        <v>0.99664685261393071</v>
      </c>
    </row>
    <row r="5347" spans="1:2">
      <c r="A5347">
        <v>5346</v>
      </c>
      <c r="B5347" s="119">
        <v>2.133821063862216E-3</v>
      </c>
    </row>
    <row r="5348" spans="1:2">
      <c r="A5348">
        <v>5347</v>
      </c>
      <c r="B5348" s="119">
        <v>0.33546715439719554</v>
      </c>
    </row>
    <row r="5349" spans="1:2">
      <c r="A5349">
        <v>5348</v>
      </c>
      <c r="B5349" s="119">
        <v>0.6688004877305288</v>
      </c>
    </row>
    <row r="5350" spans="1:2">
      <c r="A5350">
        <v>5349</v>
      </c>
      <c r="B5350" s="119">
        <v>0.11324493217497332</v>
      </c>
    </row>
    <row r="5351" spans="1:2">
      <c r="A5351">
        <v>5350</v>
      </c>
      <c r="B5351" s="119">
        <v>0.44657826550830665</v>
      </c>
    </row>
    <row r="5352" spans="1:2">
      <c r="A5352">
        <v>5351</v>
      </c>
      <c r="B5352" s="119">
        <v>0.77991159884163985</v>
      </c>
    </row>
    <row r="5353" spans="1:2">
      <c r="A5353">
        <v>5352</v>
      </c>
      <c r="B5353" s="119">
        <v>0.22435604328608444</v>
      </c>
    </row>
    <row r="5354" spans="1:2">
      <c r="A5354">
        <v>5353</v>
      </c>
      <c r="B5354" s="119">
        <v>0.55768937661941775</v>
      </c>
    </row>
    <row r="5355" spans="1:2">
      <c r="A5355">
        <v>5354</v>
      </c>
      <c r="B5355" s="119">
        <v>0.89102270995275101</v>
      </c>
    </row>
    <row r="5356" spans="1:2">
      <c r="A5356">
        <v>5355</v>
      </c>
      <c r="B5356" s="119">
        <v>3.917085810089925E-2</v>
      </c>
    </row>
    <row r="5357" spans="1:2">
      <c r="A5357">
        <v>5356</v>
      </c>
      <c r="B5357" s="119">
        <v>0.37250419143423258</v>
      </c>
    </row>
    <row r="5358" spans="1:2">
      <c r="A5358">
        <v>5357</v>
      </c>
      <c r="B5358" s="119">
        <v>0.70583752476756589</v>
      </c>
    </row>
    <row r="5359" spans="1:2">
      <c r="A5359">
        <v>5358</v>
      </c>
      <c r="B5359" s="119">
        <v>0.15028196921201037</v>
      </c>
    </row>
    <row r="5360" spans="1:2">
      <c r="A5360">
        <v>5359</v>
      </c>
      <c r="B5360" s="119">
        <v>0.48361530254534368</v>
      </c>
    </row>
    <row r="5361" spans="1:2">
      <c r="A5361">
        <v>5360</v>
      </c>
      <c r="B5361" s="119">
        <v>0.81694863587867683</v>
      </c>
    </row>
    <row r="5362" spans="1:2">
      <c r="A5362">
        <v>5361</v>
      </c>
      <c r="B5362" s="119">
        <v>0.26139308032312147</v>
      </c>
    </row>
    <row r="5363" spans="1:2">
      <c r="A5363">
        <v>5362</v>
      </c>
      <c r="B5363" s="119">
        <v>0.59472641365645473</v>
      </c>
    </row>
    <row r="5364" spans="1:2">
      <c r="A5364">
        <v>5363</v>
      </c>
      <c r="B5364" s="119">
        <v>0.92805974698978799</v>
      </c>
    </row>
    <row r="5365" spans="1:2">
      <c r="A5365">
        <v>5364</v>
      </c>
      <c r="B5365" s="119">
        <v>7.6207895137936285E-2</v>
      </c>
    </row>
    <row r="5366" spans="1:2">
      <c r="A5366">
        <v>5365</v>
      </c>
      <c r="B5366" s="119">
        <v>0.40954122847126961</v>
      </c>
    </row>
    <row r="5367" spans="1:2">
      <c r="A5367">
        <v>5366</v>
      </c>
      <c r="B5367" s="119">
        <v>0.74287456180460287</v>
      </c>
    </row>
    <row r="5368" spans="1:2">
      <c r="A5368">
        <v>5367</v>
      </c>
      <c r="B5368" s="119">
        <v>0.1873190062490474</v>
      </c>
    </row>
    <row r="5369" spans="1:2">
      <c r="A5369">
        <v>5368</v>
      </c>
      <c r="B5369" s="119">
        <v>0.52065233958238066</v>
      </c>
    </row>
    <row r="5370" spans="1:2">
      <c r="A5370">
        <v>5369</v>
      </c>
      <c r="B5370" s="119">
        <v>0.85398567291571392</v>
      </c>
    </row>
    <row r="5371" spans="1:2">
      <c r="A5371">
        <v>5370</v>
      </c>
      <c r="B5371" s="119">
        <v>0.29843011736015851</v>
      </c>
    </row>
    <row r="5372" spans="1:2">
      <c r="A5372">
        <v>5371</v>
      </c>
      <c r="B5372" s="119">
        <v>0.63176345069349182</v>
      </c>
    </row>
    <row r="5373" spans="1:2">
      <c r="A5373">
        <v>5372</v>
      </c>
      <c r="B5373" s="119">
        <v>0.96509678402682508</v>
      </c>
    </row>
    <row r="5374" spans="1:2">
      <c r="A5374">
        <v>5373</v>
      </c>
      <c r="B5374" s="119">
        <v>1.4479500076207895E-2</v>
      </c>
    </row>
    <row r="5375" spans="1:2">
      <c r="A5375">
        <v>5374</v>
      </c>
      <c r="B5375" s="119">
        <v>0.34781283340954122</v>
      </c>
    </row>
    <row r="5376" spans="1:2">
      <c r="A5376">
        <v>5375</v>
      </c>
      <c r="B5376" s="119">
        <v>0.68114616674287443</v>
      </c>
    </row>
    <row r="5377" spans="1:2">
      <c r="A5377">
        <v>5376</v>
      </c>
      <c r="B5377" s="119">
        <v>0.12559061118731901</v>
      </c>
    </row>
    <row r="5378" spans="1:2">
      <c r="A5378">
        <v>5377</v>
      </c>
      <c r="B5378" s="119">
        <v>0.45892394452065233</v>
      </c>
    </row>
    <row r="5379" spans="1:2">
      <c r="A5379">
        <v>5378</v>
      </c>
      <c r="B5379" s="119">
        <v>0.79225727785398559</v>
      </c>
    </row>
    <row r="5380" spans="1:2">
      <c r="A5380">
        <v>5379</v>
      </c>
      <c r="B5380" s="119">
        <v>0.23670172229843012</v>
      </c>
    </row>
    <row r="5381" spans="1:2">
      <c r="A5381">
        <v>5380</v>
      </c>
      <c r="B5381" s="119">
        <v>0.57003505563176349</v>
      </c>
    </row>
    <row r="5382" spans="1:2">
      <c r="A5382">
        <v>5381</v>
      </c>
      <c r="B5382" s="119">
        <v>0.90336838896509675</v>
      </c>
    </row>
    <row r="5383" spans="1:2">
      <c r="A5383">
        <v>5382</v>
      </c>
      <c r="B5383" s="119">
        <v>5.1516537113244928E-2</v>
      </c>
    </row>
    <row r="5384" spans="1:2">
      <c r="A5384">
        <v>5383</v>
      </c>
      <c r="B5384" s="119">
        <v>0.38484987044657826</v>
      </c>
    </row>
    <row r="5385" spans="1:2">
      <c r="A5385">
        <v>5384</v>
      </c>
      <c r="B5385" s="119">
        <v>0.71818320377991163</v>
      </c>
    </row>
    <row r="5386" spans="1:2">
      <c r="A5386">
        <v>5385</v>
      </c>
      <c r="B5386" s="119">
        <v>0.16262764822435605</v>
      </c>
    </row>
    <row r="5387" spans="1:2">
      <c r="A5387">
        <v>5386</v>
      </c>
      <c r="B5387" s="119">
        <v>0.49596098155768936</v>
      </c>
    </row>
    <row r="5388" spans="1:2">
      <c r="A5388">
        <v>5387</v>
      </c>
      <c r="B5388" s="119">
        <v>0.82929431489102257</v>
      </c>
    </row>
    <row r="5389" spans="1:2">
      <c r="A5389">
        <v>5388</v>
      </c>
      <c r="B5389" s="119">
        <v>0.27373875933546715</v>
      </c>
    </row>
    <row r="5390" spans="1:2">
      <c r="A5390">
        <v>5389</v>
      </c>
      <c r="B5390" s="119">
        <v>0.60707209266880047</v>
      </c>
    </row>
    <row r="5391" spans="1:2">
      <c r="A5391">
        <v>5390</v>
      </c>
      <c r="B5391" s="119">
        <v>0.94040542600213373</v>
      </c>
    </row>
    <row r="5392" spans="1:2">
      <c r="A5392">
        <v>5391</v>
      </c>
      <c r="B5392" s="119">
        <v>8.8553574150281963E-2</v>
      </c>
    </row>
    <row r="5393" spans="1:2">
      <c r="A5393">
        <v>5392</v>
      </c>
      <c r="B5393" s="119">
        <v>0.42188690748361529</v>
      </c>
    </row>
    <row r="5394" spans="1:2">
      <c r="A5394">
        <v>5393</v>
      </c>
      <c r="B5394" s="119">
        <v>0.75522024081694861</v>
      </c>
    </row>
    <row r="5395" spans="1:2">
      <c r="A5395">
        <v>5394</v>
      </c>
      <c r="B5395" s="119">
        <v>0.19966468526139308</v>
      </c>
    </row>
    <row r="5396" spans="1:2">
      <c r="A5396">
        <v>5395</v>
      </c>
      <c r="B5396" s="119">
        <v>0.53299801859472629</v>
      </c>
    </row>
    <row r="5397" spans="1:2">
      <c r="A5397">
        <v>5396</v>
      </c>
      <c r="B5397" s="119">
        <v>0.86633135192805955</v>
      </c>
    </row>
    <row r="5398" spans="1:2">
      <c r="A5398">
        <v>5397</v>
      </c>
      <c r="B5398" s="119">
        <v>0.31077579637250419</v>
      </c>
    </row>
    <row r="5399" spans="1:2">
      <c r="A5399">
        <v>5398</v>
      </c>
      <c r="B5399" s="119">
        <v>0.64410912970583745</v>
      </c>
    </row>
    <row r="5400" spans="1:2">
      <c r="A5400">
        <v>5399</v>
      </c>
      <c r="B5400" s="119">
        <v>0.97744246303917071</v>
      </c>
    </row>
    <row r="5401" spans="1:2">
      <c r="A5401">
        <v>5400</v>
      </c>
      <c r="B5401" s="119">
        <v>2.6825179088553568E-2</v>
      </c>
    </row>
    <row r="5402" spans="1:2">
      <c r="A5402">
        <v>5401</v>
      </c>
      <c r="B5402" s="119">
        <v>0.3601585124218869</v>
      </c>
    </row>
    <row r="5403" spans="1:2">
      <c r="A5403">
        <v>5402</v>
      </c>
      <c r="B5403" s="119">
        <v>0.69349184575522016</v>
      </c>
    </row>
    <row r="5404" spans="1:2">
      <c r="A5404">
        <v>5403</v>
      </c>
      <c r="B5404" s="119">
        <v>0.13793629019966469</v>
      </c>
    </row>
    <row r="5405" spans="1:2">
      <c r="A5405">
        <v>5404</v>
      </c>
      <c r="B5405" s="119">
        <v>0.47126962353299801</v>
      </c>
    </row>
    <row r="5406" spans="1:2">
      <c r="A5406">
        <v>5405</v>
      </c>
      <c r="B5406" s="119">
        <v>0.80460295686633121</v>
      </c>
    </row>
    <row r="5407" spans="1:2">
      <c r="A5407">
        <v>5406</v>
      </c>
      <c r="B5407" s="119">
        <v>0.2490474013107758</v>
      </c>
    </row>
    <row r="5408" spans="1:2">
      <c r="A5408">
        <v>5407</v>
      </c>
      <c r="B5408" s="119">
        <v>0.58238073464410911</v>
      </c>
    </row>
    <row r="5409" spans="1:2">
      <c r="A5409">
        <v>5408</v>
      </c>
      <c r="B5409" s="119">
        <v>0.91571406797744237</v>
      </c>
    </row>
    <row r="5410" spans="1:2">
      <c r="A5410">
        <v>5409</v>
      </c>
      <c r="B5410" s="119">
        <v>6.3862216125590607E-2</v>
      </c>
    </row>
    <row r="5411" spans="1:2">
      <c r="A5411">
        <v>5410</v>
      </c>
      <c r="B5411" s="119">
        <v>0.39719554945892394</v>
      </c>
    </row>
    <row r="5412" spans="1:2">
      <c r="A5412">
        <v>5411</v>
      </c>
      <c r="B5412" s="119">
        <v>0.73052888279225725</v>
      </c>
    </row>
    <row r="5413" spans="1:2">
      <c r="A5413">
        <v>5412</v>
      </c>
      <c r="B5413" s="119">
        <v>0.17497332723670173</v>
      </c>
    </row>
    <row r="5414" spans="1:2">
      <c r="A5414">
        <v>5413</v>
      </c>
      <c r="B5414" s="119">
        <v>0.50830666057003504</v>
      </c>
    </row>
    <row r="5415" spans="1:2">
      <c r="A5415">
        <v>5414</v>
      </c>
      <c r="B5415" s="119">
        <v>0.84163999390336819</v>
      </c>
    </row>
    <row r="5416" spans="1:2">
      <c r="A5416">
        <v>5415</v>
      </c>
      <c r="B5416" s="119">
        <v>0.28608443834781283</v>
      </c>
    </row>
    <row r="5417" spans="1:2">
      <c r="A5417">
        <v>5416</v>
      </c>
      <c r="B5417" s="119">
        <v>0.61941777168114609</v>
      </c>
    </row>
    <row r="5418" spans="1:2">
      <c r="A5418">
        <v>5417</v>
      </c>
      <c r="B5418" s="119">
        <v>0.95275110501447935</v>
      </c>
    </row>
    <row r="5419" spans="1:2">
      <c r="A5419">
        <v>5418</v>
      </c>
      <c r="B5419" s="119">
        <v>0.10089925316262764</v>
      </c>
    </row>
    <row r="5420" spans="1:2">
      <c r="A5420">
        <v>5419</v>
      </c>
      <c r="B5420" s="119">
        <v>0.43423258649596097</v>
      </c>
    </row>
    <row r="5421" spans="1:2">
      <c r="A5421">
        <v>5420</v>
      </c>
      <c r="B5421" s="119">
        <v>0.76756591982929423</v>
      </c>
    </row>
    <row r="5422" spans="1:2">
      <c r="A5422">
        <v>5421</v>
      </c>
      <c r="B5422" s="119">
        <v>0.21201036427373876</v>
      </c>
    </row>
    <row r="5423" spans="1:2">
      <c r="A5423">
        <v>5422</v>
      </c>
      <c r="B5423" s="119">
        <v>0.54534369760707202</v>
      </c>
    </row>
    <row r="5424" spans="1:2">
      <c r="A5424">
        <v>5423</v>
      </c>
      <c r="B5424" s="119">
        <v>0.87867703094040528</v>
      </c>
    </row>
    <row r="5425" spans="1:2">
      <c r="A5425">
        <v>5424</v>
      </c>
      <c r="B5425" s="119">
        <v>0.32312147538484987</v>
      </c>
    </row>
    <row r="5426" spans="1:2">
      <c r="A5426">
        <v>5425</v>
      </c>
      <c r="B5426" s="119">
        <v>0.65645480871818318</v>
      </c>
    </row>
    <row r="5427" spans="1:2">
      <c r="A5427">
        <v>5426</v>
      </c>
      <c r="B5427" s="119">
        <v>0.98978814205151644</v>
      </c>
    </row>
    <row r="5428" spans="1:2">
      <c r="A5428">
        <v>5427</v>
      </c>
      <c r="B5428" s="119">
        <v>6.249047401310776E-3</v>
      </c>
    </row>
    <row r="5429" spans="1:2">
      <c r="A5429">
        <v>5428</v>
      </c>
      <c r="B5429" s="119">
        <v>0.33958238073464408</v>
      </c>
    </row>
    <row r="5430" spans="1:2">
      <c r="A5430">
        <v>5429</v>
      </c>
      <c r="B5430" s="119">
        <v>0.67291571406797734</v>
      </c>
    </row>
    <row r="5431" spans="1:2">
      <c r="A5431">
        <v>5430</v>
      </c>
      <c r="B5431" s="119">
        <v>0.11736015851242187</v>
      </c>
    </row>
    <row r="5432" spans="1:2">
      <c r="A5432">
        <v>5431</v>
      </c>
      <c r="B5432" s="119">
        <v>0.45069349184575519</v>
      </c>
    </row>
    <row r="5433" spans="1:2">
      <c r="A5433">
        <v>5432</v>
      </c>
      <c r="B5433" s="119">
        <v>0.78402682517908839</v>
      </c>
    </row>
    <row r="5434" spans="1:2">
      <c r="A5434">
        <v>5433</v>
      </c>
      <c r="B5434" s="119">
        <v>0.22847126962353301</v>
      </c>
    </row>
    <row r="5435" spans="1:2">
      <c r="A5435">
        <v>5434</v>
      </c>
      <c r="B5435" s="119">
        <v>0.56180460295686629</v>
      </c>
    </row>
    <row r="5436" spans="1:2">
      <c r="A5436">
        <v>5435</v>
      </c>
      <c r="B5436" s="119">
        <v>0.89513793629019955</v>
      </c>
    </row>
    <row r="5437" spans="1:2">
      <c r="A5437">
        <v>5436</v>
      </c>
      <c r="B5437" s="119">
        <v>4.3286084438347812E-2</v>
      </c>
    </row>
    <row r="5438" spans="1:2">
      <c r="A5438">
        <v>5437</v>
      </c>
      <c r="B5438" s="119">
        <v>0.37661941777168112</v>
      </c>
    </row>
    <row r="5439" spans="1:2">
      <c r="A5439">
        <v>5438</v>
      </c>
      <c r="B5439" s="119">
        <v>0.70995275110501443</v>
      </c>
    </row>
    <row r="5440" spans="1:2">
      <c r="A5440">
        <v>5439</v>
      </c>
      <c r="B5440" s="119">
        <v>0.15439719554945894</v>
      </c>
    </row>
    <row r="5441" spans="1:2">
      <c r="A5441">
        <v>5440</v>
      </c>
      <c r="B5441" s="119">
        <v>0.48773052888279222</v>
      </c>
    </row>
    <row r="5442" spans="1:2">
      <c r="A5442">
        <v>5441</v>
      </c>
      <c r="B5442" s="119">
        <v>0.82106386221612537</v>
      </c>
    </row>
    <row r="5443" spans="1:2">
      <c r="A5443">
        <v>5442</v>
      </c>
      <c r="B5443" s="119">
        <v>0.26550830666057001</v>
      </c>
    </row>
    <row r="5444" spans="1:2">
      <c r="A5444">
        <v>5443</v>
      </c>
      <c r="B5444" s="119">
        <v>0.59884163999390327</v>
      </c>
    </row>
    <row r="5445" spans="1:2">
      <c r="A5445">
        <v>5444</v>
      </c>
      <c r="B5445" s="119">
        <v>0.93217497332723653</v>
      </c>
    </row>
    <row r="5446" spans="1:2">
      <c r="A5446">
        <v>5445</v>
      </c>
      <c r="B5446" s="119">
        <v>8.032312147538484E-2</v>
      </c>
    </row>
    <row r="5447" spans="1:2">
      <c r="A5447">
        <v>5446</v>
      </c>
      <c r="B5447" s="119">
        <v>0.41365645480871815</v>
      </c>
    </row>
    <row r="5448" spans="1:2">
      <c r="A5448">
        <v>5447</v>
      </c>
      <c r="B5448" s="119">
        <v>0.74698978814205141</v>
      </c>
    </row>
    <row r="5449" spans="1:2">
      <c r="A5449">
        <v>5448</v>
      </c>
      <c r="B5449" s="119">
        <v>0.19143423258649597</v>
      </c>
    </row>
    <row r="5450" spans="1:2">
      <c r="A5450">
        <v>5449</v>
      </c>
      <c r="B5450" s="119">
        <v>0.5247675659198292</v>
      </c>
    </row>
    <row r="5451" spans="1:2">
      <c r="A5451">
        <v>5450</v>
      </c>
      <c r="B5451" s="119">
        <v>0.85810089925316246</v>
      </c>
    </row>
    <row r="5452" spans="1:2">
      <c r="A5452">
        <v>5451</v>
      </c>
      <c r="B5452" s="119">
        <v>0.30254534369760705</v>
      </c>
    </row>
    <row r="5453" spans="1:2">
      <c r="A5453">
        <v>5452</v>
      </c>
      <c r="B5453" s="119">
        <v>0.63587867703094036</v>
      </c>
    </row>
    <row r="5454" spans="1:2">
      <c r="A5454">
        <v>5453</v>
      </c>
      <c r="B5454" s="119">
        <v>0.96921201036427362</v>
      </c>
    </row>
    <row r="5455" spans="1:2">
      <c r="A5455">
        <v>5454</v>
      </c>
      <c r="B5455" s="119">
        <v>1.8594726413656452E-2</v>
      </c>
    </row>
    <row r="5456" spans="1:2">
      <c r="A5456">
        <v>5455</v>
      </c>
      <c r="B5456" s="119">
        <v>0.35192805974698976</v>
      </c>
    </row>
    <row r="5457" spans="1:2">
      <c r="A5457">
        <v>5456</v>
      </c>
      <c r="B5457" s="119">
        <v>0.68526139308032297</v>
      </c>
    </row>
    <row r="5458" spans="1:2">
      <c r="A5458">
        <v>5457</v>
      </c>
      <c r="B5458" s="119">
        <v>0.12970583752476758</v>
      </c>
    </row>
    <row r="5459" spans="1:2">
      <c r="A5459">
        <v>5458</v>
      </c>
      <c r="B5459" s="119">
        <v>0.46303917085810087</v>
      </c>
    </row>
    <row r="5460" spans="1:2">
      <c r="A5460">
        <v>5459</v>
      </c>
      <c r="B5460" s="119">
        <v>0.79637250419143413</v>
      </c>
    </row>
    <row r="5461" spans="1:2">
      <c r="A5461">
        <v>5460</v>
      </c>
      <c r="B5461" s="119">
        <v>0.24081694863587869</v>
      </c>
    </row>
    <row r="5462" spans="1:2">
      <c r="A5462">
        <v>5461</v>
      </c>
      <c r="B5462" s="119">
        <v>0.57415028196921203</v>
      </c>
    </row>
    <row r="5463" spans="1:2">
      <c r="A5463">
        <v>5462</v>
      </c>
      <c r="B5463" s="119">
        <v>0.90748361530254529</v>
      </c>
    </row>
    <row r="5464" spans="1:2">
      <c r="A5464">
        <v>5463</v>
      </c>
      <c r="B5464" s="119">
        <v>5.563176345069349E-2</v>
      </c>
    </row>
    <row r="5465" spans="1:2">
      <c r="A5465">
        <v>5464</v>
      </c>
      <c r="B5465" s="119">
        <v>0.3889650967840268</v>
      </c>
    </row>
    <row r="5466" spans="1:2">
      <c r="A5466">
        <v>5465</v>
      </c>
      <c r="B5466" s="119">
        <v>0.72229843011736017</v>
      </c>
    </row>
    <row r="5467" spans="1:2">
      <c r="A5467">
        <v>5466</v>
      </c>
      <c r="B5467" s="119">
        <v>0.16674287456180462</v>
      </c>
    </row>
    <row r="5468" spans="1:2">
      <c r="A5468">
        <v>5467</v>
      </c>
      <c r="B5468" s="119">
        <v>0.50007620789513796</v>
      </c>
    </row>
    <row r="5469" spans="1:2">
      <c r="A5469">
        <v>5468</v>
      </c>
      <c r="B5469" s="119">
        <v>0.83340954122847111</v>
      </c>
    </row>
    <row r="5470" spans="1:2">
      <c r="A5470">
        <v>5469</v>
      </c>
      <c r="B5470" s="119">
        <v>0.27785398567291569</v>
      </c>
    </row>
    <row r="5471" spans="1:2">
      <c r="A5471">
        <v>5470</v>
      </c>
      <c r="B5471" s="119">
        <v>0.61118731900624901</v>
      </c>
    </row>
    <row r="5472" spans="1:2">
      <c r="A5472">
        <v>5471</v>
      </c>
      <c r="B5472" s="119">
        <v>0.94452065233958227</v>
      </c>
    </row>
    <row r="5473" spans="1:2">
      <c r="A5473">
        <v>5472</v>
      </c>
      <c r="B5473" s="119">
        <v>9.2668800487730518E-2</v>
      </c>
    </row>
    <row r="5474" spans="1:2">
      <c r="A5474">
        <v>5473</v>
      </c>
      <c r="B5474" s="119">
        <v>0.42600213382106383</v>
      </c>
    </row>
    <row r="5475" spans="1:2">
      <c r="A5475">
        <v>5474</v>
      </c>
      <c r="B5475" s="119">
        <v>0.75933546715439715</v>
      </c>
    </row>
    <row r="5476" spans="1:2">
      <c r="A5476">
        <v>5475</v>
      </c>
      <c r="B5476" s="119">
        <v>0.20377991159884165</v>
      </c>
    </row>
    <row r="5477" spans="1:2">
      <c r="A5477">
        <v>5476</v>
      </c>
      <c r="B5477" s="119">
        <v>0.53711324493217483</v>
      </c>
    </row>
    <row r="5478" spans="1:2">
      <c r="A5478">
        <v>5477</v>
      </c>
      <c r="B5478" s="119">
        <v>0.87044657826550809</v>
      </c>
    </row>
    <row r="5479" spans="1:2">
      <c r="A5479">
        <v>5478</v>
      </c>
      <c r="B5479" s="119">
        <v>0.31489102270995273</v>
      </c>
    </row>
    <row r="5480" spans="1:2">
      <c r="A5480">
        <v>5479</v>
      </c>
      <c r="B5480" s="119">
        <v>0.64822435604328599</v>
      </c>
    </row>
    <row r="5481" spans="1:2">
      <c r="A5481">
        <v>5480</v>
      </c>
      <c r="B5481" s="119">
        <v>0.98155768937661925</v>
      </c>
    </row>
    <row r="5482" spans="1:2">
      <c r="A5482">
        <v>5481</v>
      </c>
      <c r="B5482" s="119">
        <v>3.094040542600213E-2</v>
      </c>
    </row>
    <row r="5483" spans="1:2">
      <c r="A5483">
        <v>5482</v>
      </c>
      <c r="B5483" s="119">
        <v>0.36427373875933544</v>
      </c>
    </row>
    <row r="5484" spans="1:2">
      <c r="A5484">
        <v>5483</v>
      </c>
      <c r="B5484" s="119">
        <v>0.6976070720926687</v>
      </c>
    </row>
    <row r="5485" spans="1:2">
      <c r="A5485">
        <v>5484</v>
      </c>
      <c r="B5485" s="119">
        <v>0.14205151653711326</v>
      </c>
    </row>
    <row r="5486" spans="1:2">
      <c r="A5486">
        <v>5485</v>
      </c>
      <c r="B5486" s="119">
        <v>0.47538484987044655</v>
      </c>
    </row>
    <row r="5487" spans="1:2">
      <c r="A5487">
        <v>5486</v>
      </c>
      <c r="B5487" s="119">
        <v>0.80871818320377975</v>
      </c>
    </row>
    <row r="5488" spans="1:2">
      <c r="A5488">
        <v>5487</v>
      </c>
      <c r="B5488" s="119">
        <v>0.25316262764822434</v>
      </c>
    </row>
    <row r="5489" spans="1:2">
      <c r="A5489">
        <v>5488</v>
      </c>
      <c r="B5489" s="119">
        <v>0.58649596098155765</v>
      </c>
    </row>
    <row r="5490" spans="1:2">
      <c r="A5490">
        <v>5489</v>
      </c>
      <c r="B5490" s="119">
        <v>0.91982929431489091</v>
      </c>
    </row>
    <row r="5491" spans="1:2">
      <c r="A5491">
        <v>5490</v>
      </c>
      <c r="B5491" s="119">
        <v>6.7977442463039162E-2</v>
      </c>
    </row>
    <row r="5492" spans="1:2">
      <c r="A5492">
        <v>5491</v>
      </c>
      <c r="B5492" s="119">
        <v>0.40131077579637248</v>
      </c>
    </row>
    <row r="5493" spans="1:2">
      <c r="A5493">
        <v>5492</v>
      </c>
      <c r="B5493" s="119">
        <v>0.73464410912970579</v>
      </c>
    </row>
    <row r="5494" spans="1:2">
      <c r="A5494">
        <v>5493</v>
      </c>
      <c r="B5494" s="119">
        <v>0.17908855357415029</v>
      </c>
    </row>
    <row r="5495" spans="1:2">
      <c r="A5495">
        <v>5494</v>
      </c>
      <c r="B5495" s="119">
        <v>0.51242188690748358</v>
      </c>
    </row>
    <row r="5496" spans="1:2">
      <c r="A5496">
        <v>5495</v>
      </c>
      <c r="B5496" s="119">
        <v>0.84575522024081673</v>
      </c>
    </row>
    <row r="5497" spans="1:2">
      <c r="A5497">
        <v>5496</v>
      </c>
      <c r="B5497" s="119">
        <v>0.29019966468526137</v>
      </c>
    </row>
    <row r="5498" spans="1:2">
      <c r="A5498">
        <v>5497</v>
      </c>
      <c r="B5498" s="119">
        <v>0.62353299801859463</v>
      </c>
    </row>
    <row r="5499" spans="1:2">
      <c r="A5499">
        <v>5498</v>
      </c>
      <c r="B5499" s="119">
        <v>0.95686633135192789</v>
      </c>
    </row>
    <row r="5500" spans="1:2">
      <c r="A5500">
        <v>5499</v>
      </c>
      <c r="B5500" s="119">
        <v>0.1050144795000762</v>
      </c>
    </row>
    <row r="5501" spans="1:2">
      <c r="A5501">
        <v>5500</v>
      </c>
      <c r="B5501" s="119">
        <v>0.43834781283340951</v>
      </c>
    </row>
    <row r="5502" spans="1:2">
      <c r="A5502">
        <v>5501</v>
      </c>
      <c r="B5502" s="119">
        <v>0.77168114616674277</v>
      </c>
    </row>
    <row r="5503" spans="1:2">
      <c r="A5503">
        <v>5502</v>
      </c>
      <c r="B5503" s="119">
        <v>0.21612559061118733</v>
      </c>
    </row>
    <row r="5504" spans="1:2">
      <c r="A5504">
        <v>5503</v>
      </c>
      <c r="B5504" s="119">
        <v>0.54945892394452056</v>
      </c>
    </row>
    <row r="5505" spans="1:2">
      <c r="A5505">
        <v>5504</v>
      </c>
      <c r="B5505" s="119">
        <v>0.88279225727785382</v>
      </c>
    </row>
    <row r="5506" spans="1:2">
      <c r="A5506">
        <v>5505</v>
      </c>
      <c r="B5506" s="119">
        <v>0.32723670172229841</v>
      </c>
    </row>
    <row r="5507" spans="1:2">
      <c r="A5507">
        <v>5506</v>
      </c>
      <c r="B5507" s="119">
        <v>0.66057003505563172</v>
      </c>
    </row>
    <row r="5508" spans="1:2">
      <c r="A5508">
        <v>5507</v>
      </c>
      <c r="B5508" s="119">
        <v>0.99390336838896498</v>
      </c>
    </row>
    <row r="5509" spans="1:2">
      <c r="A5509">
        <v>5508</v>
      </c>
      <c r="B5509" s="119">
        <v>1.0364273738759337E-2</v>
      </c>
    </row>
    <row r="5510" spans="1:2">
      <c r="A5510">
        <v>5509</v>
      </c>
      <c r="B5510" s="119">
        <v>0.34369760707209268</v>
      </c>
    </row>
    <row r="5511" spans="1:2">
      <c r="A5511">
        <v>5510</v>
      </c>
      <c r="B5511" s="119">
        <v>0.67703094040542589</v>
      </c>
    </row>
    <row r="5512" spans="1:2">
      <c r="A5512">
        <v>5511</v>
      </c>
      <c r="B5512" s="119">
        <v>0.12147538484987044</v>
      </c>
    </row>
    <row r="5513" spans="1:2">
      <c r="A5513">
        <v>5512</v>
      </c>
      <c r="B5513" s="119">
        <v>0.45480871818320379</v>
      </c>
    </row>
    <row r="5514" spans="1:2">
      <c r="A5514">
        <v>5513</v>
      </c>
      <c r="B5514" s="119">
        <v>0.78814205151653693</v>
      </c>
    </row>
    <row r="5515" spans="1:2">
      <c r="A5515">
        <v>5514</v>
      </c>
      <c r="B5515" s="119">
        <v>0.23258649596098155</v>
      </c>
    </row>
    <row r="5516" spans="1:2">
      <c r="A5516">
        <v>5515</v>
      </c>
      <c r="B5516" s="119">
        <v>0.56591982929431484</v>
      </c>
    </row>
    <row r="5517" spans="1:2">
      <c r="A5517">
        <v>5516</v>
      </c>
      <c r="B5517" s="119">
        <v>0.89925316262764809</v>
      </c>
    </row>
    <row r="5518" spans="1:2">
      <c r="A5518">
        <v>5517</v>
      </c>
      <c r="B5518" s="119">
        <v>4.7401310775796374E-2</v>
      </c>
    </row>
    <row r="5519" spans="1:2">
      <c r="A5519">
        <v>5518</v>
      </c>
      <c r="B5519" s="119">
        <v>0.38073464410912972</v>
      </c>
    </row>
    <row r="5520" spans="1:2">
      <c r="A5520">
        <v>5519</v>
      </c>
      <c r="B5520" s="119">
        <v>0.71406797744246298</v>
      </c>
    </row>
    <row r="5521" spans="1:2">
      <c r="A5521">
        <v>5520</v>
      </c>
      <c r="B5521" s="119">
        <v>0.15851242188690748</v>
      </c>
    </row>
    <row r="5522" spans="1:2">
      <c r="A5522">
        <v>5521</v>
      </c>
      <c r="B5522" s="119">
        <v>0.49184575522024082</v>
      </c>
    </row>
    <row r="5523" spans="1:2">
      <c r="A5523">
        <v>5522</v>
      </c>
      <c r="B5523" s="119">
        <v>0.82517908855357391</v>
      </c>
    </row>
    <row r="5524" spans="1:2">
      <c r="A5524">
        <v>5523</v>
      </c>
      <c r="B5524" s="119">
        <v>0.26962353299801861</v>
      </c>
    </row>
    <row r="5525" spans="1:2">
      <c r="A5525">
        <v>5524</v>
      </c>
      <c r="B5525" s="119">
        <v>0.60295686633135182</v>
      </c>
    </row>
    <row r="5526" spans="1:2">
      <c r="A5526">
        <v>5525</v>
      </c>
      <c r="B5526" s="119">
        <v>0.93629019966468507</v>
      </c>
    </row>
    <row r="5527" spans="1:2">
      <c r="A5527">
        <v>5526</v>
      </c>
      <c r="B5527" s="119">
        <v>8.4438347812833409E-2</v>
      </c>
    </row>
    <row r="5528" spans="1:2">
      <c r="A5528">
        <v>5527</v>
      </c>
      <c r="B5528" s="119">
        <v>0.41777168114616675</v>
      </c>
    </row>
    <row r="5529" spans="1:2">
      <c r="A5529">
        <v>5528</v>
      </c>
      <c r="B5529" s="119">
        <v>0.75110501447949996</v>
      </c>
    </row>
    <row r="5530" spans="1:2">
      <c r="A5530">
        <v>5529</v>
      </c>
      <c r="B5530" s="119">
        <v>0.19554945892394451</v>
      </c>
    </row>
    <row r="5531" spans="1:2">
      <c r="A5531">
        <v>5530</v>
      </c>
      <c r="B5531" s="119">
        <v>0.52888279225727775</v>
      </c>
    </row>
    <row r="5532" spans="1:2">
      <c r="A5532">
        <v>5531</v>
      </c>
      <c r="B5532" s="119">
        <v>0.862216125590611</v>
      </c>
    </row>
    <row r="5533" spans="1:2">
      <c r="A5533">
        <v>5532</v>
      </c>
      <c r="B5533" s="119">
        <v>0.30666057003505565</v>
      </c>
    </row>
    <row r="5534" spans="1:2">
      <c r="A5534">
        <v>5533</v>
      </c>
      <c r="B5534" s="119">
        <v>0.63999390336838891</v>
      </c>
    </row>
    <row r="5535" spans="1:2">
      <c r="A5535">
        <v>5534</v>
      </c>
      <c r="B5535" s="119">
        <v>0.97332723670172216</v>
      </c>
    </row>
    <row r="5536" spans="1:2">
      <c r="A5536">
        <v>5535</v>
      </c>
      <c r="B5536" s="119">
        <v>2.270995275110501E-2</v>
      </c>
    </row>
    <row r="5537" spans="1:2">
      <c r="A5537">
        <v>5536</v>
      </c>
      <c r="B5537" s="119">
        <v>0.35604328608443836</v>
      </c>
    </row>
    <row r="5538" spans="1:2">
      <c r="A5538">
        <v>5537</v>
      </c>
      <c r="B5538" s="119">
        <v>0.68937661941777151</v>
      </c>
    </row>
    <row r="5539" spans="1:2">
      <c r="A5539">
        <v>5538</v>
      </c>
      <c r="B5539" s="119">
        <v>0.13382106386221612</v>
      </c>
    </row>
    <row r="5540" spans="1:2">
      <c r="A5540">
        <v>5539</v>
      </c>
      <c r="B5540" s="119">
        <v>0.46715439719554946</v>
      </c>
    </row>
    <row r="5541" spans="1:2">
      <c r="A5541">
        <v>5540</v>
      </c>
      <c r="B5541" s="119">
        <v>0.80048773052888267</v>
      </c>
    </row>
    <row r="5542" spans="1:2">
      <c r="A5542">
        <v>5541</v>
      </c>
      <c r="B5542" s="119">
        <v>0.24493217497332723</v>
      </c>
    </row>
    <row r="5543" spans="1:2">
      <c r="A5543">
        <v>5542</v>
      </c>
      <c r="B5543" s="119">
        <v>0.57826550830666057</v>
      </c>
    </row>
    <row r="5544" spans="1:2">
      <c r="A5544">
        <v>5543</v>
      </c>
      <c r="B5544" s="119">
        <v>0.91159884163999383</v>
      </c>
    </row>
    <row r="5545" spans="1:2">
      <c r="A5545">
        <v>5544</v>
      </c>
      <c r="B5545" s="119">
        <v>5.9746989788142052E-2</v>
      </c>
    </row>
    <row r="5546" spans="1:2">
      <c r="A5546">
        <v>5545</v>
      </c>
      <c r="B5546" s="119">
        <v>0.39308032312147539</v>
      </c>
    </row>
    <row r="5547" spans="1:2">
      <c r="A5547">
        <v>5546</v>
      </c>
      <c r="B5547" s="119">
        <v>0.72641365645480871</v>
      </c>
    </row>
    <row r="5548" spans="1:2">
      <c r="A5548">
        <v>5547</v>
      </c>
      <c r="B5548" s="119">
        <v>0.17085810089925316</v>
      </c>
    </row>
    <row r="5549" spans="1:2">
      <c r="A5549">
        <v>5548</v>
      </c>
      <c r="B5549" s="119">
        <v>0.50419143423258639</v>
      </c>
    </row>
    <row r="5550" spans="1:2">
      <c r="A5550">
        <v>5549</v>
      </c>
      <c r="B5550" s="119">
        <v>0.83752476756591965</v>
      </c>
    </row>
    <row r="5551" spans="1:2">
      <c r="A5551">
        <v>5550</v>
      </c>
      <c r="B5551" s="119">
        <v>0.28196921201036429</v>
      </c>
    </row>
    <row r="5552" spans="1:2">
      <c r="A5552">
        <v>5551</v>
      </c>
      <c r="B5552" s="119">
        <v>0.61530254534369755</v>
      </c>
    </row>
    <row r="5553" spans="1:2">
      <c r="A5553">
        <v>5552</v>
      </c>
      <c r="B5553" s="119">
        <v>0.94863587867703081</v>
      </c>
    </row>
    <row r="5554" spans="1:2">
      <c r="A5554">
        <v>5553</v>
      </c>
      <c r="B5554" s="119">
        <v>9.6784026825179087E-2</v>
      </c>
    </row>
    <row r="5555" spans="1:2">
      <c r="A5555">
        <v>5554</v>
      </c>
      <c r="B5555" s="119">
        <v>0.43011736015851243</v>
      </c>
    </row>
    <row r="5556" spans="1:2">
      <c r="A5556">
        <v>5555</v>
      </c>
      <c r="B5556" s="119">
        <v>0.76345069349184569</v>
      </c>
    </row>
    <row r="5557" spans="1:2">
      <c r="A5557">
        <v>5556</v>
      </c>
      <c r="B5557" s="119">
        <v>0.20789513793629019</v>
      </c>
    </row>
    <row r="5558" spans="1:2">
      <c r="A5558">
        <v>5557</v>
      </c>
      <c r="B5558" s="119">
        <v>0.54122847126962337</v>
      </c>
    </row>
    <row r="5559" spans="1:2">
      <c r="A5559">
        <v>5558</v>
      </c>
      <c r="B5559" s="119">
        <v>0.87456180460295663</v>
      </c>
    </row>
    <row r="5560" spans="1:2">
      <c r="A5560">
        <v>5559</v>
      </c>
      <c r="B5560" s="119">
        <v>0.31900624904740132</v>
      </c>
    </row>
    <row r="5561" spans="1:2">
      <c r="A5561">
        <v>5560</v>
      </c>
      <c r="B5561" s="119">
        <v>0.65233958238073453</v>
      </c>
    </row>
    <row r="5562" spans="1:2">
      <c r="A5562">
        <v>5561</v>
      </c>
      <c r="B5562" s="119">
        <v>0.98567291571406779</v>
      </c>
    </row>
    <row r="5563" spans="1:2">
      <c r="A5563">
        <v>5562</v>
      </c>
      <c r="B5563" s="119">
        <v>3.5055631763450695E-2</v>
      </c>
    </row>
    <row r="5564" spans="1:2">
      <c r="A5564">
        <v>5563</v>
      </c>
      <c r="B5564" s="119">
        <v>0.36838896509678404</v>
      </c>
    </row>
    <row r="5565" spans="1:2">
      <c r="A5565">
        <v>5564</v>
      </c>
      <c r="B5565" s="119">
        <v>0.70172229843011724</v>
      </c>
    </row>
    <row r="5566" spans="1:2">
      <c r="A5566">
        <v>5565</v>
      </c>
      <c r="B5566" s="119">
        <v>0.1461667428745618</v>
      </c>
    </row>
    <row r="5567" spans="1:2">
      <c r="A5567">
        <v>5566</v>
      </c>
      <c r="B5567" s="119">
        <v>0.47950007620789514</v>
      </c>
    </row>
    <row r="5568" spans="1:2">
      <c r="A5568">
        <v>5567</v>
      </c>
      <c r="B5568" s="119">
        <v>0.81283340954122829</v>
      </c>
    </row>
    <row r="5569" spans="1:2">
      <c r="A5569">
        <v>5568</v>
      </c>
      <c r="B5569" s="119">
        <v>0.25727785398567293</v>
      </c>
    </row>
    <row r="5570" spans="1:2">
      <c r="A5570">
        <v>5569</v>
      </c>
      <c r="B5570" s="119">
        <v>0.59061118731900619</v>
      </c>
    </row>
    <row r="5571" spans="1:2">
      <c r="A5571">
        <v>5570</v>
      </c>
      <c r="B5571" s="119">
        <v>0.92394452065233945</v>
      </c>
    </row>
    <row r="5572" spans="1:2">
      <c r="A5572">
        <v>5571</v>
      </c>
      <c r="B5572" s="119">
        <v>7.209266880048773E-2</v>
      </c>
    </row>
    <row r="5573" spans="1:2">
      <c r="A5573">
        <v>5572</v>
      </c>
      <c r="B5573" s="119">
        <v>0.40542600213382107</v>
      </c>
    </row>
    <row r="5574" spans="1:2">
      <c r="A5574">
        <v>5573</v>
      </c>
      <c r="B5574" s="119">
        <v>0.73875933546715433</v>
      </c>
    </row>
    <row r="5575" spans="1:2">
      <c r="A5575">
        <v>5574</v>
      </c>
      <c r="B5575" s="119">
        <v>0.18320377991159884</v>
      </c>
    </row>
    <row r="5576" spans="1:2">
      <c r="A5576">
        <v>5575</v>
      </c>
      <c r="B5576" s="119">
        <v>0.51653711324493212</v>
      </c>
    </row>
    <row r="5577" spans="1:2">
      <c r="A5577">
        <v>5576</v>
      </c>
      <c r="B5577" s="119">
        <v>0.84987044657826527</v>
      </c>
    </row>
    <row r="5578" spans="1:2">
      <c r="A5578">
        <v>5577</v>
      </c>
      <c r="B5578" s="119">
        <v>0.29431489102270997</v>
      </c>
    </row>
    <row r="5579" spans="1:2">
      <c r="A5579">
        <v>5578</v>
      </c>
      <c r="B5579" s="119">
        <v>0.62764822435604317</v>
      </c>
    </row>
    <row r="5580" spans="1:2">
      <c r="A5580">
        <v>5579</v>
      </c>
      <c r="B5580" s="119">
        <v>0.96098155768937643</v>
      </c>
    </row>
    <row r="5581" spans="1:2">
      <c r="A5581">
        <v>5580</v>
      </c>
      <c r="B5581" s="119">
        <v>0.10912970583752477</v>
      </c>
    </row>
    <row r="5582" spans="1:2">
      <c r="A5582">
        <v>5581</v>
      </c>
      <c r="B5582" s="119">
        <v>0.44246303917085811</v>
      </c>
    </row>
    <row r="5583" spans="1:2">
      <c r="A5583">
        <v>5582</v>
      </c>
      <c r="B5583" s="119">
        <v>0.77579637250419131</v>
      </c>
    </row>
    <row r="5584" spans="1:2">
      <c r="A5584">
        <v>5583</v>
      </c>
      <c r="B5584" s="119">
        <v>0.22024081694863587</v>
      </c>
    </row>
    <row r="5585" spans="1:2">
      <c r="A5585">
        <v>5584</v>
      </c>
      <c r="B5585" s="119">
        <v>0.5535741502819691</v>
      </c>
    </row>
    <row r="5586" spans="1:2">
      <c r="A5586">
        <v>5585</v>
      </c>
      <c r="B5586" s="119">
        <v>0.88690748361530236</v>
      </c>
    </row>
    <row r="5587" spans="1:2">
      <c r="A5587">
        <v>5586</v>
      </c>
      <c r="B5587" s="119">
        <v>0.331351928059747</v>
      </c>
    </row>
    <row r="5588" spans="1:2">
      <c r="A5588">
        <v>5587</v>
      </c>
      <c r="B5588" s="119">
        <v>0.66468526139308026</v>
      </c>
    </row>
    <row r="5589" spans="1:2">
      <c r="A5589">
        <v>5588</v>
      </c>
      <c r="B5589" s="119">
        <v>0.99801859472641352</v>
      </c>
    </row>
    <row r="5590" spans="1:2">
      <c r="A5590">
        <v>5589</v>
      </c>
      <c r="B5590" s="119">
        <v>3.5055631763450694E-3</v>
      </c>
    </row>
    <row r="5591" spans="1:2">
      <c r="A5591">
        <v>5590</v>
      </c>
      <c r="B5591" s="119">
        <v>0.33683889650967841</v>
      </c>
    </row>
    <row r="5592" spans="1:2">
      <c r="A5592">
        <v>5591</v>
      </c>
      <c r="B5592" s="119">
        <v>0.67017222984301172</v>
      </c>
    </row>
    <row r="5593" spans="1:2">
      <c r="A5593">
        <v>5592</v>
      </c>
      <c r="B5593" s="119">
        <v>0.11461667428745617</v>
      </c>
    </row>
    <row r="5594" spans="1:2">
      <c r="A5594">
        <v>5593</v>
      </c>
      <c r="B5594" s="119">
        <v>0.44795000762078951</v>
      </c>
    </row>
    <row r="5595" spans="1:2">
      <c r="A5595">
        <v>5594</v>
      </c>
      <c r="B5595" s="119">
        <v>0.78128334095412277</v>
      </c>
    </row>
    <row r="5596" spans="1:2">
      <c r="A5596">
        <v>5595</v>
      </c>
      <c r="B5596" s="119">
        <v>0.22572778539856728</v>
      </c>
    </row>
    <row r="5597" spans="1:2">
      <c r="A5597">
        <v>5596</v>
      </c>
      <c r="B5597" s="119">
        <v>0.55906111873190067</v>
      </c>
    </row>
    <row r="5598" spans="1:2">
      <c r="A5598">
        <v>5597</v>
      </c>
      <c r="B5598" s="119">
        <v>0.89239445206523393</v>
      </c>
    </row>
    <row r="5599" spans="1:2">
      <c r="A5599">
        <v>5598</v>
      </c>
      <c r="B5599" s="119">
        <v>4.0542600213382102E-2</v>
      </c>
    </row>
    <row r="5600" spans="1:2">
      <c r="A5600">
        <v>5599</v>
      </c>
      <c r="B5600" s="119">
        <v>0.37387593354671544</v>
      </c>
    </row>
    <row r="5601" spans="1:2">
      <c r="A5601">
        <v>5600</v>
      </c>
      <c r="B5601" s="119">
        <v>0.70720926688004881</v>
      </c>
    </row>
    <row r="5602" spans="1:2">
      <c r="A5602">
        <v>5601</v>
      </c>
      <c r="B5602" s="119">
        <v>0.15165371132449321</v>
      </c>
    </row>
    <row r="5603" spans="1:2">
      <c r="A5603">
        <v>5602</v>
      </c>
      <c r="B5603" s="119">
        <v>0.48498704465782655</v>
      </c>
    </row>
    <row r="5604" spans="1:2">
      <c r="A5604">
        <v>5603</v>
      </c>
      <c r="B5604" s="119">
        <v>0.81832037799115975</v>
      </c>
    </row>
    <row r="5605" spans="1:2">
      <c r="A5605">
        <v>5604</v>
      </c>
      <c r="B5605" s="119">
        <v>0.26276482243560434</v>
      </c>
    </row>
    <row r="5606" spans="1:2">
      <c r="A5606">
        <v>5605</v>
      </c>
      <c r="B5606" s="119">
        <v>0.59609815576893765</v>
      </c>
    </row>
    <row r="5607" spans="1:2">
      <c r="A5607">
        <v>5606</v>
      </c>
      <c r="B5607" s="119">
        <v>0.92943148910227091</v>
      </c>
    </row>
    <row r="5608" spans="1:2">
      <c r="A5608">
        <v>5607</v>
      </c>
      <c r="B5608" s="119">
        <v>7.7579637250419137E-2</v>
      </c>
    </row>
    <row r="5609" spans="1:2">
      <c r="A5609">
        <v>5608</v>
      </c>
      <c r="B5609" s="119">
        <v>0.41091297058375248</v>
      </c>
    </row>
    <row r="5610" spans="1:2">
      <c r="A5610">
        <v>5609</v>
      </c>
      <c r="B5610" s="119">
        <v>0.74424630391708579</v>
      </c>
    </row>
    <row r="5611" spans="1:2">
      <c r="A5611">
        <v>5610</v>
      </c>
      <c r="B5611" s="119">
        <v>0.18869074836153024</v>
      </c>
    </row>
    <row r="5612" spans="1:2">
      <c r="A5612">
        <v>5611</v>
      </c>
      <c r="B5612" s="119">
        <v>0.52202408169486358</v>
      </c>
    </row>
    <row r="5613" spans="1:2">
      <c r="A5613">
        <v>5612</v>
      </c>
      <c r="B5613" s="119">
        <v>0.85535741502819684</v>
      </c>
    </row>
    <row r="5614" spans="1:2">
      <c r="A5614">
        <v>5613</v>
      </c>
      <c r="B5614" s="119">
        <v>0.29980185947264137</v>
      </c>
    </row>
    <row r="5615" spans="1:2">
      <c r="A5615">
        <v>5614</v>
      </c>
      <c r="B5615" s="119">
        <v>0.63313519280597474</v>
      </c>
    </row>
    <row r="5616" spans="1:2">
      <c r="A5616">
        <v>5615</v>
      </c>
      <c r="B5616" s="119">
        <v>0.966468526139308</v>
      </c>
    </row>
    <row r="5617" spans="1:2">
      <c r="A5617">
        <v>5616</v>
      </c>
      <c r="B5617" s="119">
        <v>1.5851242188690749E-2</v>
      </c>
    </row>
    <row r="5618" spans="1:2">
      <c r="A5618">
        <v>5617</v>
      </c>
      <c r="B5618" s="119">
        <v>0.34918457552202409</v>
      </c>
    </row>
    <row r="5619" spans="1:2">
      <c r="A5619">
        <v>5618</v>
      </c>
      <c r="B5619" s="119">
        <v>0.68251790885535735</v>
      </c>
    </row>
    <row r="5620" spans="1:2">
      <c r="A5620">
        <v>5619</v>
      </c>
      <c r="B5620" s="119">
        <v>0.12696235329980185</v>
      </c>
    </row>
    <row r="5621" spans="1:2">
      <c r="A5621">
        <v>5620</v>
      </c>
      <c r="B5621" s="119">
        <v>0.46029568663313519</v>
      </c>
    </row>
    <row r="5622" spans="1:2">
      <c r="A5622">
        <v>5621</v>
      </c>
      <c r="B5622" s="119">
        <v>0.79362901996646851</v>
      </c>
    </row>
    <row r="5623" spans="1:2">
      <c r="A5623">
        <v>5622</v>
      </c>
      <c r="B5623" s="119">
        <v>0.23807346441091295</v>
      </c>
    </row>
    <row r="5624" spans="1:2">
      <c r="A5624">
        <v>5623</v>
      </c>
      <c r="B5624" s="119">
        <v>0.57140679774424641</v>
      </c>
    </row>
    <row r="5625" spans="1:2">
      <c r="A5625">
        <v>5624</v>
      </c>
      <c r="B5625" s="119">
        <v>0.90474013107757967</v>
      </c>
    </row>
    <row r="5626" spans="1:2">
      <c r="A5626">
        <v>5625</v>
      </c>
      <c r="B5626" s="119">
        <v>5.288827922572778E-2</v>
      </c>
    </row>
    <row r="5627" spans="1:2">
      <c r="A5627">
        <v>5626</v>
      </c>
      <c r="B5627" s="119">
        <v>0.38622161255906112</v>
      </c>
    </row>
    <row r="5628" spans="1:2">
      <c r="A5628">
        <v>5627</v>
      </c>
      <c r="B5628" s="119">
        <v>0.71955494589239455</v>
      </c>
    </row>
    <row r="5629" spans="1:2">
      <c r="A5629">
        <v>5628</v>
      </c>
      <c r="B5629" s="119">
        <v>0.16399939033683889</v>
      </c>
    </row>
    <row r="5630" spans="1:2">
      <c r="A5630">
        <v>5629</v>
      </c>
      <c r="B5630" s="119">
        <v>0.49733272367017223</v>
      </c>
    </row>
    <row r="5631" spans="1:2">
      <c r="A5631">
        <v>5630</v>
      </c>
      <c r="B5631" s="119">
        <v>0.83066605700350549</v>
      </c>
    </row>
    <row r="5632" spans="1:2">
      <c r="A5632">
        <v>5631</v>
      </c>
      <c r="B5632" s="119">
        <v>0.27511050144795002</v>
      </c>
    </row>
    <row r="5633" spans="1:2">
      <c r="A5633">
        <v>5632</v>
      </c>
      <c r="B5633" s="119">
        <v>0.60844383478128339</v>
      </c>
    </row>
    <row r="5634" spans="1:2">
      <c r="A5634">
        <v>5633</v>
      </c>
      <c r="B5634" s="119">
        <v>0.94177716811461665</v>
      </c>
    </row>
    <row r="5635" spans="1:2">
      <c r="A5635">
        <v>5634</v>
      </c>
      <c r="B5635" s="119">
        <v>8.9925316262764815E-2</v>
      </c>
    </row>
    <row r="5636" spans="1:2">
      <c r="A5636">
        <v>5635</v>
      </c>
      <c r="B5636" s="119">
        <v>0.42325864959609816</v>
      </c>
    </row>
    <row r="5637" spans="1:2">
      <c r="A5637">
        <v>5636</v>
      </c>
      <c r="B5637" s="119">
        <v>0.75659198292943153</v>
      </c>
    </row>
    <row r="5638" spans="1:2">
      <c r="A5638">
        <v>5637</v>
      </c>
      <c r="B5638" s="119">
        <v>0.20103642737387592</v>
      </c>
    </row>
    <row r="5639" spans="1:2">
      <c r="A5639">
        <v>5638</v>
      </c>
      <c r="B5639" s="119">
        <v>0.53436976070720921</v>
      </c>
    </row>
    <row r="5640" spans="1:2">
      <c r="A5640">
        <v>5639</v>
      </c>
      <c r="B5640" s="119">
        <v>0.86770309404054247</v>
      </c>
    </row>
    <row r="5641" spans="1:2">
      <c r="A5641">
        <v>5640</v>
      </c>
      <c r="B5641" s="119">
        <v>0.31214753848498705</v>
      </c>
    </row>
    <row r="5642" spans="1:2">
      <c r="A5642">
        <v>5641</v>
      </c>
      <c r="B5642" s="119">
        <v>0.64548087181832037</v>
      </c>
    </row>
    <row r="5643" spans="1:2">
      <c r="A5643">
        <v>5642</v>
      </c>
      <c r="B5643" s="119">
        <v>0.97881420515165363</v>
      </c>
    </row>
    <row r="5644" spans="1:2">
      <c r="A5644">
        <v>5643</v>
      </c>
      <c r="B5644" s="119">
        <v>2.8196921201036423E-2</v>
      </c>
    </row>
    <row r="5645" spans="1:2">
      <c r="A5645">
        <v>5644</v>
      </c>
      <c r="B5645" s="119">
        <v>0.36153025453436977</v>
      </c>
    </row>
    <row r="5646" spans="1:2">
      <c r="A5646">
        <v>5645</v>
      </c>
      <c r="B5646" s="119">
        <v>0.69486358786770308</v>
      </c>
    </row>
    <row r="5647" spans="1:2">
      <c r="A5647">
        <v>5646</v>
      </c>
      <c r="B5647" s="119">
        <v>0.13930803231214753</v>
      </c>
    </row>
    <row r="5648" spans="1:2">
      <c r="A5648">
        <v>5647</v>
      </c>
      <c r="B5648" s="119">
        <v>0.47264136564548087</v>
      </c>
    </row>
    <row r="5649" spans="1:2">
      <c r="A5649">
        <v>5648</v>
      </c>
      <c r="B5649" s="119">
        <v>0.80597469897881413</v>
      </c>
    </row>
    <row r="5650" spans="1:2">
      <c r="A5650">
        <v>5649</v>
      </c>
      <c r="B5650" s="119">
        <v>0.25041914342325861</v>
      </c>
    </row>
    <row r="5651" spans="1:2">
      <c r="A5651">
        <v>5650</v>
      </c>
      <c r="B5651" s="119">
        <v>0.58375247675659203</v>
      </c>
    </row>
    <row r="5652" spans="1:2">
      <c r="A5652">
        <v>5651</v>
      </c>
      <c r="B5652" s="119">
        <v>0.91708581008992529</v>
      </c>
    </row>
    <row r="5653" spans="1:2">
      <c r="A5653">
        <v>5652</v>
      </c>
      <c r="B5653" s="119">
        <v>6.5233958238073458E-2</v>
      </c>
    </row>
    <row r="5654" spans="1:2">
      <c r="A5654">
        <v>5653</v>
      </c>
      <c r="B5654" s="119">
        <v>0.3985672915714068</v>
      </c>
    </row>
    <row r="5655" spans="1:2">
      <c r="A5655">
        <v>5654</v>
      </c>
      <c r="B5655" s="119">
        <v>0.73190062490474017</v>
      </c>
    </row>
    <row r="5656" spans="1:2">
      <c r="A5656">
        <v>5655</v>
      </c>
      <c r="B5656" s="119">
        <v>0.17634506934918456</v>
      </c>
    </row>
    <row r="5657" spans="1:2">
      <c r="A5657">
        <v>5656</v>
      </c>
      <c r="B5657" s="119">
        <v>0.50967840268251796</v>
      </c>
    </row>
    <row r="5658" spans="1:2">
      <c r="A5658">
        <v>5657</v>
      </c>
      <c r="B5658" s="119">
        <v>0.84301173601585111</v>
      </c>
    </row>
    <row r="5659" spans="1:2">
      <c r="A5659">
        <v>5658</v>
      </c>
      <c r="B5659" s="119">
        <v>0.2874561804602957</v>
      </c>
    </row>
    <row r="5660" spans="1:2">
      <c r="A5660">
        <v>5659</v>
      </c>
      <c r="B5660" s="119">
        <v>0.62078951379362901</v>
      </c>
    </row>
    <row r="5661" spans="1:2">
      <c r="A5661">
        <v>5660</v>
      </c>
      <c r="B5661" s="119">
        <v>0.95412284712696227</v>
      </c>
    </row>
    <row r="5662" spans="1:2">
      <c r="A5662">
        <v>5661</v>
      </c>
      <c r="B5662" s="119">
        <v>0.10227099527511049</v>
      </c>
    </row>
    <row r="5663" spans="1:2">
      <c r="A5663">
        <v>5662</v>
      </c>
      <c r="B5663" s="119">
        <v>0.43560432860844384</v>
      </c>
    </row>
    <row r="5664" spans="1:2">
      <c r="A5664">
        <v>5663</v>
      </c>
      <c r="B5664" s="119">
        <v>0.76893766194177715</v>
      </c>
    </row>
    <row r="5665" spans="1:2">
      <c r="A5665">
        <v>5664</v>
      </c>
      <c r="B5665" s="119">
        <v>0.2133821063862216</v>
      </c>
    </row>
    <row r="5666" spans="1:2">
      <c r="A5666">
        <v>5665</v>
      </c>
      <c r="B5666" s="119">
        <v>0.54671543971955494</v>
      </c>
    </row>
    <row r="5667" spans="1:2">
      <c r="A5667">
        <v>5666</v>
      </c>
      <c r="B5667" s="119">
        <v>0.8800487730528882</v>
      </c>
    </row>
    <row r="5668" spans="1:2">
      <c r="A5668">
        <v>5667</v>
      </c>
      <c r="B5668" s="119">
        <v>0.32449321749733273</v>
      </c>
    </row>
    <row r="5669" spans="1:2">
      <c r="A5669">
        <v>5668</v>
      </c>
      <c r="B5669" s="119">
        <v>0.6578265508306661</v>
      </c>
    </row>
    <row r="5670" spans="1:2">
      <c r="A5670">
        <v>5669</v>
      </c>
      <c r="B5670" s="119">
        <v>0.99115988416399936</v>
      </c>
    </row>
    <row r="5671" spans="1:2">
      <c r="A5671">
        <v>5670</v>
      </c>
      <c r="B5671" s="119">
        <v>7.6207895137936294E-3</v>
      </c>
    </row>
    <row r="5672" spans="1:2">
      <c r="A5672">
        <v>5671</v>
      </c>
      <c r="B5672" s="119">
        <v>0.34095412284712695</v>
      </c>
    </row>
    <row r="5673" spans="1:2">
      <c r="A5673">
        <v>5672</v>
      </c>
      <c r="B5673" s="119">
        <v>0.67428745618046027</v>
      </c>
    </row>
    <row r="5674" spans="1:2">
      <c r="A5674">
        <v>5673</v>
      </c>
      <c r="B5674" s="119">
        <v>0.11873190062490473</v>
      </c>
    </row>
    <row r="5675" spans="1:2">
      <c r="A5675">
        <v>5674</v>
      </c>
      <c r="B5675" s="119">
        <v>0.45206523395823806</v>
      </c>
    </row>
    <row r="5676" spans="1:2">
      <c r="A5676">
        <v>5675</v>
      </c>
      <c r="B5676" s="119">
        <v>0.78539856729157131</v>
      </c>
    </row>
    <row r="5677" spans="1:2">
      <c r="A5677">
        <v>5676</v>
      </c>
      <c r="B5677" s="119">
        <v>0.22984301173601585</v>
      </c>
    </row>
    <row r="5678" spans="1:2">
      <c r="A5678">
        <v>5677</v>
      </c>
      <c r="B5678" s="119">
        <v>0.56317634506934922</v>
      </c>
    </row>
    <row r="5679" spans="1:2">
      <c r="A5679">
        <v>5678</v>
      </c>
      <c r="B5679" s="119">
        <v>0.89650967840268247</v>
      </c>
    </row>
    <row r="5680" spans="1:2">
      <c r="A5680">
        <v>5679</v>
      </c>
      <c r="B5680" s="119">
        <v>4.4657826550830663E-2</v>
      </c>
    </row>
    <row r="5681" spans="1:2">
      <c r="A5681">
        <v>5680</v>
      </c>
      <c r="B5681" s="119">
        <v>0.37799115988416399</v>
      </c>
    </row>
    <row r="5682" spans="1:2">
      <c r="A5682">
        <v>5681</v>
      </c>
      <c r="B5682" s="119">
        <v>0.71132449321749736</v>
      </c>
    </row>
    <row r="5683" spans="1:2">
      <c r="A5683">
        <v>5682</v>
      </c>
      <c r="B5683" s="119">
        <v>0.15576893766194178</v>
      </c>
    </row>
    <row r="5684" spans="1:2">
      <c r="A5684">
        <v>5683</v>
      </c>
      <c r="B5684" s="119">
        <v>0.48910227099527509</v>
      </c>
    </row>
    <row r="5685" spans="1:2">
      <c r="A5685">
        <v>5684</v>
      </c>
      <c r="B5685" s="119">
        <v>0.82243560432860829</v>
      </c>
    </row>
    <row r="5686" spans="1:2">
      <c r="A5686">
        <v>5685</v>
      </c>
      <c r="B5686" s="119">
        <v>0.26688004877305288</v>
      </c>
    </row>
    <row r="5687" spans="1:2">
      <c r="A5687">
        <v>5686</v>
      </c>
      <c r="B5687" s="119">
        <v>0.6002133821063862</v>
      </c>
    </row>
    <row r="5688" spans="1:2">
      <c r="A5688">
        <v>5687</v>
      </c>
      <c r="B5688" s="119">
        <v>0.93354671543971945</v>
      </c>
    </row>
    <row r="5689" spans="1:2">
      <c r="A5689">
        <v>5688</v>
      </c>
      <c r="B5689" s="119">
        <v>8.1694863587867692E-2</v>
      </c>
    </row>
    <row r="5690" spans="1:2">
      <c r="A5690">
        <v>5689</v>
      </c>
      <c r="B5690" s="119">
        <v>0.41502819692120102</v>
      </c>
    </row>
    <row r="5691" spans="1:2">
      <c r="A5691">
        <v>5690</v>
      </c>
      <c r="B5691" s="119">
        <v>0.74836153025453434</v>
      </c>
    </row>
    <row r="5692" spans="1:2">
      <c r="A5692">
        <v>5691</v>
      </c>
      <c r="B5692" s="119">
        <v>0.19280597469897881</v>
      </c>
    </row>
    <row r="5693" spans="1:2">
      <c r="A5693">
        <v>5692</v>
      </c>
      <c r="B5693" s="119">
        <v>0.52613930803231213</v>
      </c>
    </row>
    <row r="5694" spans="1:2">
      <c r="A5694">
        <v>5693</v>
      </c>
      <c r="B5694" s="119">
        <v>0.85947264136564538</v>
      </c>
    </row>
    <row r="5695" spans="1:2">
      <c r="A5695">
        <v>5694</v>
      </c>
      <c r="B5695" s="119">
        <v>0.30391708581008992</v>
      </c>
    </row>
    <row r="5696" spans="1:2">
      <c r="A5696">
        <v>5695</v>
      </c>
      <c r="B5696" s="119">
        <v>0.63725041914342329</v>
      </c>
    </row>
    <row r="5697" spans="1:2">
      <c r="A5697">
        <v>5696</v>
      </c>
      <c r="B5697" s="119">
        <v>0.97058375247675654</v>
      </c>
    </row>
    <row r="5698" spans="1:2">
      <c r="A5698">
        <v>5697</v>
      </c>
      <c r="B5698" s="119">
        <v>1.9966468526139307E-2</v>
      </c>
    </row>
    <row r="5699" spans="1:2">
      <c r="A5699">
        <v>5698</v>
      </c>
      <c r="B5699" s="119">
        <v>0.35329980185947263</v>
      </c>
    </row>
    <row r="5700" spans="1:2">
      <c r="A5700">
        <v>5699</v>
      </c>
      <c r="B5700" s="119">
        <v>0.68663313519280589</v>
      </c>
    </row>
    <row r="5701" spans="1:2">
      <c r="A5701">
        <v>5700</v>
      </c>
      <c r="B5701" s="119">
        <v>0.13107757963725042</v>
      </c>
    </row>
    <row r="5702" spans="1:2">
      <c r="A5702">
        <v>5701</v>
      </c>
      <c r="B5702" s="119">
        <v>0.46441091297058373</v>
      </c>
    </row>
    <row r="5703" spans="1:2">
      <c r="A5703">
        <v>5702</v>
      </c>
      <c r="B5703" s="119">
        <v>0.79774424630391705</v>
      </c>
    </row>
    <row r="5704" spans="1:2">
      <c r="A5704">
        <v>5703</v>
      </c>
      <c r="B5704" s="119">
        <v>0.24218869074836152</v>
      </c>
    </row>
    <row r="5705" spans="1:2">
      <c r="A5705">
        <v>5704</v>
      </c>
      <c r="B5705" s="119">
        <v>0.57552202408169495</v>
      </c>
    </row>
    <row r="5706" spans="1:2">
      <c r="A5706">
        <v>5705</v>
      </c>
      <c r="B5706" s="119">
        <v>0.90885535741502821</v>
      </c>
    </row>
    <row r="5707" spans="1:2">
      <c r="A5707">
        <v>5706</v>
      </c>
      <c r="B5707" s="119">
        <v>5.7003505563176342E-2</v>
      </c>
    </row>
    <row r="5708" spans="1:2">
      <c r="A5708">
        <v>5707</v>
      </c>
      <c r="B5708" s="119">
        <v>0.39033683889650966</v>
      </c>
    </row>
    <row r="5709" spans="1:2">
      <c r="A5709">
        <v>5708</v>
      </c>
      <c r="B5709" s="119">
        <v>0.72367017222984309</v>
      </c>
    </row>
    <row r="5710" spans="1:2">
      <c r="A5710">
        <v>5709</v>
      </c>
      <c r="B5710" s="119">
        <v>0.16811461667428745</v>
      </c>
    </row>
    <row r="5711" spans="1:2">
      <c r="A5711">
        <v>5710</v>
      </c>
      <c r="B5711" s="119">
        <v>0.50144795000762077</v>
      </c>
    </row>
    <row r="5712" spans="1:2">
      <c r="A5712">
        <v>5711</v>
      </c>
      <c r="B5712" s="119">
        <v>0.83478128334095403</v>
      </c>
    </row>
    <row r="5713" spans="1:2">
      <c r="A5713">
        <v>5712</v>
      </c>
      <c r="B5713" s="119">
        <v>0.27922572778539856</v>
      </c>
    </row>
    <row r="5714" spans="1:2">
      <c r="A5714">
        <v>5713</v>
      </c>
      <c r="B5714" s="119">
        <v>0.61255906111873193</v>
      </c>
    </row>
    <row r="5715" spans="1:2">
      <c r="A5715">
        <v>5714</v>
      </c>
      <c r="B5715" s="119">
        <v>0.94589239445206519</v>
      </c>
    </row>
    <row r="5716" spans="1:2">
      <c r="A5716">
        <v>5715</v>
      </c>
      <c r="B5716" s="119">
        <v>9.404054260021337E-2</v>
      </c>
    </row>
    <row r="5717" spans="1:2">
      <c r="A5717">
        <v>5716</v>
      </c>
      <c r="B5717" s="119">
        <v>0.4273738759335467</v>
      </c>
    </row>
    <row r="5718" spans="1:2">
      <c r="A5718">
        <v>5717</v>
      </c>
      <c r="B5718" s="119">
        <v>0.76070720926688007</v>
      </c>
    </row>
    <row r="5719" spans="1:2">
      <c r="A5719">
        <v>5718</v>
      </c>
      <c r="B5719" s="119">
        <v>0.20515165371132449</v>
      </c>
    </row>
    <row r="5720" spans="1:2">
      <c r="A5720">
        <v>5719</v>
      </c>
      <c r="B5720" s="119">
        <v>0.53848498704465775</v>
      </c>
    </row>
    <row r="5721" spans="1:2">
      <c r="A5721">
        <v>5720</v>
      </c>
      <c r="B5721" s="119">
        <v>0.87181832037799101</v>
      </c>
    </row>
    <row r="5722" spans="1:2">
      <c r="A5722">
        <v>5721</v>
      </c>
      <c r="B5722" s="119">
        <v>0.31626276482243559</v>
      </c>
    </row>
    <row r="5723" spans="1:2">
      <c r="A5723">
        <v>5722</v>
      </c>
      <c r="B5723" s="119">
        <v>0.64959609815576891</v>
      </c>
    </row>
    <row r="5724" spans="1:2">
      <c r="A5724">
        <v>5723</v>
      </c>
      <c r="B5724" s="119">
        <v>0.98292943148910217</v>
      </c>
    </row>
    <row r="5725" spans="1:2">
      <c r="A5725">
        <v>5724</v>
      </c>
      <c r="B5725" s="119">
        <v>3.2312147538484985E-2</v>
      </c>
    </row>
    <row r="5726" spans="1:2">
      <c r="A5726">
        <v>5725</v>
      </c>
      <c r="B5726" s="119">
        <v>0.36564548087181831</v>
      </c>
    </row>
    <row r="5727" spans="1:2">
      <c r="A5727">
        <v>5726</v>
      </c>
      <c r="B5727" s="119">
        <v>0.69897881420515162</v>
      </c>
    </row>
    <row r="5728" spans="1:2">
      <c r="A5728">
        <v>5727</v>
      </c>
      <c r="B5728" s="119">
        <v>0.1434232586495961</v>
      </c>
    </row>
    <row r="5729" spans="1:2">
      <c r="A5729">
        <v>5728</v>
      </c>
      <c r="B5729" s="119">
        <v>0.47675659198292941</v>
      </c>
    </row>
    <row r="5730" spans="1:2">
      <c r="A5730">
        <v>5729</v>
      </c>
      <c r="B5730" s="119">
        <v>0.81008992531626267</v>
      </c>
    </row>
    <row r="5731" spans="1:2">
      <c r="A5731">
        <v>5730</v>
      </c>
      <c r="B5731" s="119">
        <v>0.2545343697607072</v>
      </c>
    </row>
    <row r="5732" spans="1:2">
      <c r="A5732">
        <v>5731</v>
      </c>
      <c r="B5732" s="119">
        <v>0.58786770309404057</v>
      </c>
    </row>
    <row r="5733" spans="1:2">
      <c r="A5733">
        <v>5732</v>
      </c>
      <c r="B5733" s="119">
        <v>0.92120103642737383</v>
      </c>
    </row>
    <row r="5734" spans="1:2">
      <c r="A5734">
        <v>5733</v>
      </c>
      <c r="B5734" s="119">
        <v>6.9349184575522013E-2</v>
      </c>
    </row>
    <row r="5735" spans="1:2">
      <c r="A5735">
        <v>5734</v>
      </c>
      <c r="B5735" s="119">
        <v>0.40268251790885534</v>
      </c>
    </row>
    <row r="5736" spans="1:2">
      <c r="A5736">
        <v>5735</v>
      </c>
      <c r="B5736" s="119">
        <v>0.73601585124218871</v>
      </c>
    </row>
    <row r="5737" spans="1:2">
      <c r="A5737">
        <v>5736</v>
      </c>
      <c r="B5737" s="119">
        <v>0.18046029568663313</v>
      </c>
    </row>
    <row r="5738" spans="1:2">
      <c r="A5738">
        <v>5737</v>
      </c>
      <c r="B5738" s="119">
        <v>0.5137936290199665</v>
      </c>
    </row>
    <row r="5739" spans="1:2">
      <c r="A5739">
        <v>5738</v>
      </c>
      <c r="B5739" s="119">
        <v>0.84712696235329965</v>
      </c>
    </row>
    <row r="5740" spans="1:2">
      <c r="A5740">
        <v>5739</v>
      </c>
      <c r="B5740" s="119">
        <v>0.29157140679774424</v>
      </c>
    </row>
    <row r="5741" spans="1:2">
      <c r="A5741">
        <v>5740</v>
      </c>
      <c r="B5741" s="119">
        <v>0.62490474013107755</v>
      </c>
    </row>
    <row r="5742" spans="1:2">
      <c r="A5742">
        <v>5741</v>
      </c>
      <c r="B5742" s="119">
        <v>0.95823807346441081</v>
      </c>
    </row>
    <row r="5743" spans="1:2">
      <c r="A5743">
        <v>5742</v>
      </c>
      <c r="B5743" s="119">
        <v>0.10638622161255905</v>
      </c>
    </row>
    <row r="5744" spans="1:2">
      <c r="A5744">
        <v>5743</v>
      </c>
      <c r="B5744" s="119">
        <v>0.43971955494589238</v>
      </c>
    </row>
    <row r="5745" spans="1:2">
      <c r="A5745">
        <v>5744</v>
      </c>
      <c r="B5745" s="119">
        <v>0.77305288827922569</v>
      </c>
    </row>
    <row r="5746" spans="1:2">
      <c r="A5746">
        <v>5745</v>
      </c>
      <c r="B5746" s="119">
        <v>0.21749733272367017</v>
      </c>
    </row>
    <row r="5747" spans="1:2">
      <c r="A5747">
        <v>5746</v>
      </c>
      <c r="B5747" s="119">
        <v>0.55083066605700348</v>
      </c>
    </row>
    <row r="5748" spans="1:2">
      <c r="A5748">
        <v>5747</v>
      </c>
      <c r="B5748" s="119">
        <v>0.88416399939033674</v>
      </c>
    </row>
    <row r="5749" spans="1:2">
      <c r="A5749">
        <v>5748</v>
      </c>
      <c r="B5749" s="119">
        <v>0.32860844383478127</v>
      </c>
    </row>
    <row r="5750" spans="1:2">
      <c r="A5750">
        <v>5749</v>
      </c>
      <c r="B5750" s="119">
        <v>0.66194177716811464</v>
      </c>
    </row>
    <row r="5751" spans="1:2">
      <c r="A5751">
        <v>5750</v>
      </c>
      <c r="B5751" s="119">
        <v>0.9952751105014479</v>
      </c>
    </row>
    <row r="5752" spans="1:2">
      <c r="A5752">
        <v>5751</v>
      </c>
      <c r="B5752" s="119">
        <v>1.173601585124219E-2</v>
      </c>
    </row>
    <row r="5753" spans="1:2">
      <c r="A5753">
        <v>5752</v>
      </c>
      <c r="B5753" s="119">
        <v>0.34506934918457555</v>
      </c>
    </row>
    <row r="5754" spans="1:2">
      <c r="A5754">
        <v>5753</v>
      </c>
      <c r="B5754" s="119">
        <v>0.67840268251790881</v>
      </c>
    </row>
    <row r="5755" spans="1:2">
      <c r="A5755">
        <v>5754</v>
      </c>
      <c r="B5755" s="119">
        <v>0.1228471269623533</v>
      </c>
    </row>
    <row r="5756" spans="1:2">
      <c r="A5756">
        <v>5755</v>
      </c>
      <c r="B5756" s="119">
        <v>0.45618046029568665</v>
      </c>
    </row>
    <row r="5757" spans="1:2">
      <c r="A5757">
        <v>5756</v>
      </c>
      <c r="B5757" s="119">
        <v>0.78951379362901986</v>
      </c>
    </row>
    <row r="5758" spans="1:2">
      <c r="A5758">
        <v>5757</v>
      </c>
      <c r="B5758" s="119">
        <v>0.23395823807346439</v>
      </c>
    </row>
    <row r="5759" spans="1:2">
      <c r="A5759">
        <v>5758</v>
      </c>
      <c r="B5759" s="119">
        <v>0.56729157140679776</v>
      </c>
    </row>
    <row r="5760" spans="1:2">
      <c r="A5760">
        <v>5759</v>
      </c>
      <c r="B5760" s="119">
        <v>0.90062490474013102</v>
      </c>
    </row>
    <row r="5761" spans="1:2">
      <c r="A5761">
        <v>5760</v>
      </c>
      <c r="B5761" s="119">
        <v>4.8773052888279225E-2</v>
      </c>
    </row>
    <row r="5762" spans="1:2">
      <c r="A5762">
        <v>5761</v>
      </c>
      <c r="B5762" s="119">
        <v>0.38210638622161258</v>
      </c>
    </row>
    <row r="5763" spans="1:2">
      <c r="A5763">
        <v>5762</v>
      </c>
      <c r="B5763" s="119">
        <v>0.7154397195549459</v>
      </c>
    </row>
    <row r="5764" spans="1:2">
      <c r="A5764">
        <v>5763</v>
      </c>
      <c r="B5764" s="119">
        <v>0.15988416399939032</v>
      </c>
    </row>
    <row r="5765" spans="1:2">
      <c r="A5765">
        <v>5764</v>
      </c>
      <c r="B5765" s="119">
        <v>0.49321749733272369</v>
      </c>
    </row>
    <row r="5766" spans="1:2">
      <c r="A5766">
        <v>5765</v>
      </c>
      <c r="B5766" s="119">
        <v>0.82655083066605683</v>
      </c>
    </row>
    <row r="5767" spans="1:2">
      <c r="A5767">
        <v>5766</v>
      </c>
      <c r="B5767" s="119">
        <v>0.27099527511050148</v>
      </c>
    </row>
    <row r="5768" spans="1:2">
      <c r="A5768">
        <v>5767</v>
      </c>
      <c r="B5768" s="119">
        <v>0.60432860844383474</v>
      </c>
    </row>
    <row r="5769" spans="1:2">
      <c r="A5769">
        <v>5768</v>
      </c>
      <c r="B5769" s="119">
        <v>0.937661941777168</v>
      </c>
    </row>
    <row r="5770" spans="1:2">
      <c r="A5770">
        <v>5769</v>
      </c>
      <c r="B5770" s="119">
        <v>8.581008992531626E-2</v>
      </c>
    </row>
    <row r="5771" spans="1:2">
      <c r="A5771">
        <v>5770</v>
      </c>
      <c r="B5771" s="119">
        <v>0.41914342325864962</v>
      </c>
    </row>
    <row r="5772" spans="1:2">
      <c r="A5772">
        <v>5771</v>
      </c>
      <c r="B5772" s="119">
        <v>0.75247675659198288</v>
      </c>
    </row>
    <row r="5773" spans="1:2">
      <c r="A5773">
        <v>5772</v>
      </c>
      <c r="B5773" s="119">
        <v>0.19692120103642735</v>
      </c>
    </row>
    <row r="5774" spans="1:2">
      <c r="A5774">
        <v>5773</v>
      </c>
      <c r="B5774" s="119">
        <v>0.53025453436976067</v>
      </c>
    </row>
    <row r="5775" spans="1:2">
      <c r="A5775">
        <v>5774</v>
      </c>
      <c r="B5775" s="119">
        <v>0.86358786770309393</v>
      </c>
    </row>
    <row r="5776" spans="1:2">
      <c r="A5776">
        <v>5775</v>
      </c>
      <c r="B5776" s="119">
        <v>0.30803231214753851</v>
      </c>
    </row>
    <row r="5777" spans="1:2">
      <c r="A5777">
        <v>5776</v>
      </c>
      <c r="B5777" s="119">
        <v>0.64136564548087183</v>
      </c>
    </row>
    <row r="5778" spans="1:2">
      <c r="A5778">
        <v>5777</v>
      </c>
      <c r="B5778" s="119">
        <v>0.97469897881420509</v>
      </c>
    </row>
    <row r="5779" spans="1:2">
      <c r="A5779">
        <v>5778</v>
      </c>
      <c r="B5779" s="119">
        <v>2.4081694863587865E-2</v>
      </c>
    </row>
    <row r="5780" spans="1:2">
      <c r="A5780">
        <v>5779</v>
      </c>
      <c r="B5780" s="119">
        <v>0.35741502819692123</v>
      </c>
    </row>
    <row r="5781" spans="1:2">
      <c r="A5781">
        <v>5780</v>
      </c>
      <c r="B5781" s="119">
        <v>0.69074836153025443</v>
      </c>
    </row>
    <row r="5782" spans="1:2">
      <c r="A5782">
        <v>5781</v>
      </c>
      <c r="B5782" s="119">
        <v>0.13519280597469896</v>
      </c>
    </row>
    <row r="5783" spans="1:2">
      <c r="A5783">
        <v>5782</v>
      </c>
      <c r="B5783" s="119">
        <v>0.46852613930803233</v>
      </c>
    </row>
    <row r="5784" spans="1:2">
      <c r="A5784">
        <v>5783</v>
      </c>
      <c r="B5784" s="119">
        <v>0.80185947264136559</v>
      </c>
    </row>
    <row r="5785" spans="1:2">
      <c r="A5785">
        <v>5784</v>
      </c>
      <c r="B5785" s="119">
        <v>0.24630391708581006</v>
      </c>
    </row>
    <row r="5786" spans="1:2">
      <c r="A5786">
        <v>5785</v>
      </c>
      <c r="B5786" s="119">
        <v>0.57963725041914349</v>
      </c>
    </row>
    <row r="5787" spans="1:2">
      <c r="A5787">
        <v>5786</v>
      </c>
      <c r="B5787" s="119">
        <v>0.91297058375247675</v>
      </c>
    </row>
    <row r="5788" spans="1:2">
      <c r="A5788">
        <v>5787</v>
      </c>
      <c r="B5788" s="119">
        <v>6.1118731900624904E-2</v>
      </c>
    </row>
    <row r="5789" spans="1:2">
      <c r="A5789">
        <v>5788</v>
      </c>
      <c r="B5789" s="119">
        <v>0.39445206523395826</v>
      </c>
    </row>
    <row r="5790" spans="1:2">
      <c r="A5790">
        <v>5789</v>
      </c>
      <c r="B5790" s="119">
        <v>0.72778539856729163</v>
      </c>
    </row>
    <row r="5791" spans="1:2">
      <c r="A5791">
        <v>5790</v>
      </c>
      <c r="B5791" s="119">
        <v>0.17222984301173599</v>
      </c>
    </row>
    <row r="5792" spans="1:2">
      <c r="A5792">
        <v>5791</v>
      </c>
      <c r="B5792" s="119">
        <v>0.50556317634506931</v>
      </c>
    </row>
    <row r="5793" spans="1:2">
      <c r="A5793">
        <v>5792</v>
      </c>
      <c r="B5793" s="119">
        <v>0.83889650967840257</v>
      </c>
    </row>
    <row r="5794" spans="1:2">
      <c r="A5794">
        <v>5793</v>
      </c>
      <c r="B5794" s="119">
        <v>0.28334095412284716</v>
      </c>
    </row>
    <row r="5795" spans="1:2">
      <c r="A5795">
        <v>5794</v>
      </c>
      <c r="B5795" s="119">
        <v>0.61667428745618047</v>
      </c>
    </row>
    <row r="5796" spans="1:2">
      <c r="A5796">
        <v>5795</v>
      </c>
      <c r="B5796" s="119">
        <v>0.95000762078951373</v>
      </c>
    </row>
    <row r="5797" spans="1:2">
      <c r="A5797">
        <v>5796</v>
      </c>
      <c r="B5797" s="119">
        <v>9.8155768937661939E-2</v>
      </c>
    </row>
    <row r="5798" spans="1:2">
      <c r="A5798">
        <v>5797</v>
      </c>
      <c r="B5798" s="119">
        <v>0.4314891022709953</v>
      </c>
    </row>
    <row r="5799" spans="1:2">
      <c r="A5799">
        <v>5798</v>
      </c>
      <c r="B5799" s="119">
        <v>0.76482243560432861</v>
      </c>
    </row>
    <row r="5800" spans="1:2">
      <c r="A5800">
        <v>5799</v>
      </c>
      <c r="B5800" s="119">
        <v>0.20926688004877303</v>
      </c>
    </row>
    <row r="5801" spans="1:2">
      <c r="A5801">
        <v>5800</v>
      </c>
      <c r="B5801" s="119">
        <v>0.54260021338210629</v>
      </c>
    </row>
    <row r="5802" spans="1:2">
      <c r="A5802">
        <v>5801</v>
      </c>
      <c r="B5802" s="119">
        <v>0.87593354671543955</v>
      </c>
    </row>
    <row r="5803" spans="1:2">
      <c r="A5803">
        <v>5802</v>
      </c>
      <c r="B5803" s="119">
        <v>0.32037799115988419</v>
      </c>
    </row>
    <row r="5804" spans="1:2">
      <c r="A5804">
        <v>5803</v>
      </c>
      <c r="B5804" s="119">
        <v>0.65371132449321745</v>
      </c>
    </row>
    <row r="5805" spans="1:2">
      <c r="A5805">
        <v>5804</v>
      </c>
      <c r="B5805" s="119">
        <v>0.98704465782655071</v>
      </c>
    </row>
    <row r="5806" spans="1:2">
      <c r="A5806">
        <v>5805</v>
      </c>
      <c r="B5806" s="119">
        <v>3.6427373875933547E-2</v>
      </c>
    </row>
    <row r="5807" spans="1:2">
      <c r="A5807">
        <v>5806</v>
      </c>
      <c r="B5807" s="119">
        <v>0.3697607072092669</v>
      </c>
    </row>
    <row r="5808" spans="1:2">
      <c r="A5808">
        <v>5807</v>
      </c>
      <c r="B5808" s="119">
        <v>0.70309404054260016</v>
      </c>
    </row>
    <row r="5809" spans="1:2">
      <c r="A5809">
        <v>5808</v>
      </c>
      <c r="B5809" s="119">
        <v>0.14753848498704464</v>
      </c>
    </row>
    <row r="5810" spans="1:2">
      <c r="A5810">
        <v>5809</v>
      </c>
      <c r="B5810" s="119">
        <v>0.48087181832037801</v>
      </c>
    </row>
    <row r="5811" spans="1:2">
      <c r="A5811">
        <v>5810</v>
      </c>
      <c r="B5811" s="119">
        <v>0.81420515165371121</v>
      </c>
    </row>
    <row r="5812" spans="1:2">
      <c r="A5812">
        <v>5811</v>
      </c>
      <c r="B5812" s="119">
        <v>0.2586495960981558</v>
      </c>
    </row>
    <row r="5813" spans="1:2">
      <c r="A5813">
        <v>5812</v>
      </c>
      <c r="B5813" s="119">
        <v>0.59198292943148911</v>
      </c>
    </row>
    <row r="5814" spans="1:2">
      <c r="A5814">
        <v>5813</v>
      </c>
      <c r="B5814" s="119">
        <v>0.92531626276482237</v>
      </c>
    </row>
    <row r="5815" spans="1:2">
      <c r="A5815">
        <v>5814</v>
      </c>
      <c r="B5815" s="119">
        <v>7.3464410912970582E-2</v>
      </c>
    </row>
    <row r="5816" spans="1:2">
      <c r="A5816">
        <v>5815</v>
      </c>
      <c r="B5816" s="119">
        <v>0.40679774424630394</v>
      </c>
    </row>
    <row r="5817" spans="1:2">
      <c r="A5817">
        <v>5816</v>
      </c>
      <c r="B5817" s="119">
        <v>0.74013107757963725</v>
      </c>
    </row>
    <row r="5818" spans="1:2">
      <c r="A5818">
        <v>5817</v>
      </c>
      <c r="B5818" s="119">
        <v>0.18457552202408167</v>
      </c>
    </row>
    <row r="5819" spans="1:2">
      <c r="A5819">
        <v>5818</v>
      </c>
      <c r="B5819" s="119">
        <v>0.51790885535741504</v>
      </c>
    </row>
    <row r="5820" spans="1:2">
      <c r="A5820">
        <v>5819</v>
      </c>
      <c r="B5820" s="119">
        <v>0.85124218869074819</v>
      </c>
    </row>
    <row r="5821" spans="1:2">
      <c r="A5821">
        <v>5820</v>
      </c>
      <c r="B5821" s="119">
        <v>0.29568663313519283</v>
      </c>
    </row>
    <row r="5822" spans="1:2">
      <c r="A5822">
        <v>5821</v>
      </c>
      <c r="B5822" s="119">
        <v>0.62901996646852609</v>
      </c>
    </row>
    <row r="5823" spans="1:2">
      <c r="A5823">
        <v>5822</v>
      </c>
      <c r="B5823" s="119">
        <v>0.96235329980185935</v>
      </c>
    </row>
    <row r="5824" spans="1:2">
      <c r="A5824">
        <v>5823</v>
      </c>
      <c r="B5824" s="119">
        <v>0.11050144795000762</v>
      </c>
    </row>
    <row r="5825" spans="1:2">
      <c r="A5825">
        <v>5824</v>
      </c>
      <c r="B5825" s="119">
        <v>0.44383478128334097</v>
      </c>
    </row>
    <row r="5826" spans="1:2">
      <c r="A5826">
        <v>5825</v>
      </c>
      <c r="B5826" s="119">
        <v>0.77716811461667423</v>
      </c>
    </row>
    <row r="5827" spans="1:2">
      <c r="A5827">
        <v>5826</v>
      </c>
      <c r="B5827" s="119">
        <v>0.22161255906111871</v>
      </c>
    </row>
    <row r="5828" spans="1:2">
      <c r="A5828">
        <v>5827</v>
      </c>
      <c r="B5828" s="119">
        <v>0.55494589239445202</v>
      </c>
    </row>
    <row r="5829" spans="1:2">
      <c r="A5829">
        <v>5828</v>
      </c>
      <c r="B5829" s="119">
        <v>0.88827922572778528</v>
      </c>
    </row>
    <row r="5830" spans="1:2">
      <c r="A5830">
        <v>5829</v>
      </c>
      <c r="B5830" s="119">
        <v>0.33272367017222987</v>
      </c>
    </row>
    <row r="5831" spans="1:2">
      <c r="A5831">
        <v>5830</v>
      </c>
      <c r="B5831" s="119">
        <v>0.66605700350556318</v>
      </c>
    </row>
    <row r="5832" spans="1:2">
      <c r="A5832">
        <v>5831</v>
      </c>
      <c r="B5832" s="119">
        <v>0.99939033683889644</v>
      </c>
    </row>
    <row r="5833" spans="1:2">
      <c r="A5833">
        <v>5832</v>
      </c>
      <c r="B5833" s="119">
        <v>1.2193263222069807E-3</v>
      </c>
    </row>
    <row r="5834" spans="1:2">
      <c r="A5834">
        <v>5833</v>
      </c>
      <c r="B5834" s="119">
        <v>0.33455265965554026</v>
      </c>
    </row>
    <row r="5835" spans="1:2">
      <c r="A5835">
        <v>5834</v>
      </c>
      <c r="B5835" s="119">
        <v>0.66788599298887363</v>
      </c>
    </row>
    <row r="5836" spans="1:2">
      <c r="A5836">
        <v>5835</v>
      </c>
      <c r="B5836" s="119">
        <v>0.11233043743331809</v>
      </c>
    </row>
    <row r="5837" spans="1:2">
      <c r="A5837">
        <v>5836</v>
      </c>
      <c r="B5837" s="119">
        <v>0.44566377076665137</v>
      </c>
    </row>
    <row r="5838" spans="1:2">
      <c r="A5838">
        <v>5837</v>
      </c>
      <c r="B5838" s="119">
        <v>0.77899710409998468</v>
      </c>
    </row>
    <row r="5839" spans="1:2">
      <c r="A5839">
        <v>5838</v>
      </c>
      <c r="B5839" s="119">
        <v>0.22344154854442919</v>
      </c>
    </row>
    <row r="5840" spans="1:2">
      <c r="A5840">
        <v>5839</v>
      </c>
      <c r="B5840" s="119">
        <v>0.55677488187776258</v>
      </c>
    </row>
    <row r="5841" spans="1:2">
      <c r="A5841">
        <v>5840</v>
      </c>
      <c r="B5841" s="119">
        <v>0.89010821521109584</v>
      </c>
    </row>
    <row r="5842" spans="1:2">
      <c r="A5842">
        <v>5841</v>
      </c>
      <c r="B5842" s="119">
        <v>3.8256363359244011E-2</v>
      </c>
    </row>
    <row r="5843" spans="1:2">
      <c r="A5843">
        <v>5842</v>
      </c>
      <c r="B5843" s="119">
        <v>0.3715896966925773</v>
      </c>
    </row>
    <row r="5844" spans="1:2">
      <c r="A5844">
        <v>5843</v>
      </c>
      <c r="B5844" s="119">
        <v>0.70492303002591072</v>
      </c>
    </row>
    <row r="5845" spans="1:2">
      <c r="A5845">
        <v>5844</v>
      </c>
      <c r="B5845" s="119">
        <v>0.14936747447035512</v>
      </c>
    </row>
    <row r="5846" spans="1:2">
      <c r="A5846">
        <v>5845</v>
      </c>
      <c r="B5846" s="119">
        <v>0.4827008078036884</v>
      </c>
    </row>
    <row r="5847" spans="1:2">
      <c r="A5847">
        <v>5846</v>
      </c>
      <c r="B5847" s="119">
        <v>0.81603414113702166</v>
      </c>
    </row>
    <row r="5848" spans="1:2">
      <c r="A5848">
        <v>5847</v>
      </c>
      <c r="B5848" s="119">
        <v>0.26047858558146619</v>
      </c>
    </row>
    <row r="5849" spans="1:2">
      <c r="A5849">
        <v>5848</v>
      </c>
      <c r="B5849" s="119">
        <v>0.59381191891479956</v>
      </c>
    </row>
    <row r="5850" spans="1:2">
      <c r="A5850">
        <v>5849</v>
      </c>
      <c r="B5850" s="119">
        <v>0.92714525224813282</v>
      </c>
    </row>
    <row r="5851" spans="1:2">
      <c r="A5851">
        <v>5850</v>
      </c>
      <c r="B5851" s="119">
        <v>7.529340039628106E-2</v>
      </c>
    </row>
    <row r="5852" spans="1:2">
      <c r="A5852">
        <v>5851</v>
      </c>
      <c r="B5852" s="119">
        <v>0.40862673372961433</v>
      </c>
    </row>
    <row r="5853" spans="1:2">
      <c r="A5853">
        <v>5852</v>
      </c>
      <c r="B5853" s="119">
        <v>0.7419600670629477</v>
      </c>
    </row>
    <row r="5854" spans="1:2">
      <c r="A5854">
        <v>5853</v>
      </c>
      <c r="B5854" s="119">
        <v>0.18640451150739215</v>
      </c>
    </row>
    <row r="5855" spans="1:2">
      <c r="A5855">
        <v>5854</v>
      </c>
      <c r="B5855" s="119">
        <v>0.51973784484072549</v>
      </c>
    </row>
    <row r="5856" spans="1:2">
      <c r="A5856">
        <v>5855</v>
      </c>
      <c r="B5856" s="119">
        <v>0.85307117817405875</v>
      </c>
    </row>
    <row r="5857" spans="1:2">
      <c r="A5857">
        <v>5856</v>
      </c>
      <c r="B5857" s="119">
        <v>0.29751562261850323</v>
      </c>
    </row>
    <row r="5858" spans="1:2">
      <c r="A5858">
        <v>5857</v>
      </c>
      <c r="B5858" s="119">
        <v>0.63084895595183665</v>
      </c>
    </row>
    <row r="5859" spans="1:2">
      <c r="A5859">
        <v>5858</v>
      </c>
      <c r="B5859" s="119">
        <v>0.96418228928516991</v>
      </c>
    </row>
    <row r="5860" spans="1:2">
      <c r="A5860">
        <v>5859</v>
      </c>
      <c r="B5860" s="119">
        <v>1.356500533455266E-2</v>
      </c>
    </row>
    <row r="5861" spans="1:2">
      <c r="A5861">
        <v>5860</v>
      </c>
      <c r="B5861" s="119">
        <v>0.34689833866788594</v>
      </c>
    </row>
    <row r="5862" spans="1:2">
      <c r="A5862">
        <v>5861</v>
      </c>
      <c r="B5862" s="119">
        <v>0.68023167200121926</v>
      </c>
    </row>
    <row r="5863" spans="1:2">
      <c r="A5863">
        <v>5862</v>
      </c>
      <c r="B5863" s="119">
        <v>0.12467611644566377</v>
      </c>
    </row>
    <row r="5864" spans="1:2">
      <c r="A5864">
        <v>5863</v>
      </c>
      <c r="B5864" s="119">
        <v>0.45800944977899705</v>
      </c>
    </row>
    <row r="5865" spans="1:2">
      <c r="A5865">
        <v>5864</v>
      </c>
      <c r="B5865" s="119">
        <v>0.79134278311233042</v>
      </c>
    </row>
    <row r="5866" spans="1:2">
      <c r="A5866">
        <v>5865</v>
      </c>
      <c r="B5866" s="119">
        <v>0.23578722755677486</v>
      </c>
    </row>
    <row r="5867" spans="1:2">
      <c r="A5867">
        <v>5866</v>
      </c>
      <c r="B5867" s="119">
        <v>0.56912056089010832</v>
      </c>
    </row>
    <row r="5868" spans="1:2">
      <c r="A5868">
        <v>5867</v>
      </c>
      <c r="B5868" s="119">
        <v>0.90245389422344158</v>
      </c>
    </row>
    <row r="5869" spans="1:2">
      <c r="A5869">
        <v>5868</v>
      </c>
      <c r="B5869" s="119">
        <v>5.0602042371589689E-2</v>
      </c>
    </row>
    <row r="5870" spans="1:2">
      <c r="A5870">
        <v>5869</v>
      </c>
      <c r="B5870" s="119">
        <v>0.38393537570492298</v>
      </c>
    </row>
    <row r="5871" spans="1:2">
      <c r="A5871">
        <v>5870</v>
      </c>
      <c r="B5871" s="119">
        <v>0.71726870903825646</v>
      </c>
    </row>
    <row r="5872" spans="1:2">
      <c r="A5872">
        <v>5871</v>
      </c>
      <c r="B5872" s="119">
        <v>0.16171315348270079</v>
      </c>
    </row>
    <row r="5873" spans="1:2">
      <c r="A5873">
        <v>5872</v>
      </c>
      <c r="B5873" s="119">
        <v>0.49504648681603408</v>
      </c>
    </row>
    <row r="5874" spans="1:2">
      <c r="A5874">
        <v>5873</v>
      </c>
      <c r="B5874" s="119">
        <v>0.8283798201493674</v>
      </c>
    </row>
    <row r="5875" spans="1:2">
      <c r="A5875">
        <v>5874</v>
      </c>
      <c r="B5875" s="119">
        <v>0.27282426459381187</v>
      </c>
    </row>
    <row r="5876" spans="1:2">
      <c r="A5876">
        <v>5875</v>
      </c>
      <c r="B5876" s="119">
        <v>0.6061575979271453</v>
      </c>
    </row>
    <row r="5877" spans="1:2">
      <c r="A5877">
        <v>5876</v>
      </c>
      <c r="B5877" s="119">
        <v>0.93949093126047856</v>
      </c>
    </row>
    <row r="5878" spans="1:2">
      <c r="A5878">
        <v>5877</v>
      </c>
      <c r="B5878" s="119">
        <v>8.7639079408626738E-2</v>
      </c>
    </row>
    <row r="5879" spans="1:2">
      <c r="A5879">
        <v>5878</v>
      </c>
      <c r="B5879" s="119">
        <v>0.42097241274196001</v>
      </c>
    </row>
    <row r="5880" spans="1:2">
      <c r="A5880">
        <v>5879</v>
      </c>
      <c r="B5880" s="119">
        <v>0.75430574607529344</v>
      </c>
    </row>
    <row r="5881" spans="1:2">
      <c r="A5881">
        <v>5880</v>
      </c>
      <c r="B5881" s="119">
        <v>0.19875019051973783</v>
      </c>
    </row>
    <row r="5882" spans="1:2">
      <c r="A5882">
        <v>5881</v>
      </c>
      <c r="B5882" s="119">
        <v>0.53208352385307112</v>
      </c>
    </row>
    <row r="5883" spans="1:2">
      <c r="A5883">
        <v>5882</v>
      </c>
      <c r="B5883" s="119">
        <v>0.86541685718640438</v>
      </c>
    </row>
    <row r="5884" spans="1:2">
      <c r="A5884">
        <v>5883</v>
      </c>
      <c r="B5884" s="119">
        <v>0.30986130163084891</v>
      </c>
    </row>
    <row r="5885" spans="1:2">
      <c r="A5885">
        <v>5884</v>
      </c>
      <c r="B5885" s="119">
        <v>0.64319463496418228</v>
      </c>
    </row>
    <row r="5886" spans="1:2">
      <c r="A5886">
        <v>5885</v>
      </c>
      <c r="B5886" s="119">
        <v>0.97652796829751554</v>
      </c>
    </row>
    <row r="5887" spans="1:2">
      <c r="A5887">
        <v>5886</v>
      </c>
      <c r="B5887" s="119">
        <v>2.5910684346898336E-2</v>
      </c>
    </row>
    <row r="5888" spans="1:2">
      <c r="A5888">
        <v>5887</v>
      </c>
      <c r="B5888" s="119">
        <v>0.35924401768023162</v>
      </c>
    </row>
    <row r="5889" spans="1:2">
      <c r="A5889">
        <v>5888</v>
      </c>
      <c r="B5889" s="119">
        <v>0.69257735101356499</v>
      </c>
    </row>
    <row r="5890" spans="1:2">
      <c r="A5890">
        <v>5889</v>
      </c>
      <c r="B5890" s="119">
        <v>0.13702179545800944</v>
      </c>
    </row>
    <row r="5891" spans="1:2">
      <c r="A5891">
        <v>5890</v>
      </c>
      <c r="B5891" s="119">
        <v>0.47035512879134272</v>
      </c>
    </row>
    <row r="5892" spans="1:2">
      <c r="A5892">
        <v>5891</v>
      </c>
      <c r="B5892" s="119">
        <v>0.80368846212467604</v>
      </c>
    </row>
    <row r="5893" spans="1:2">
      <c r="A5893">
        <v>5892</v>
      </c>
      <c r="B5893" s="119">
        <v>0.24813290656912054</v>
      </c>
    </row>
    <row r="5894" spans="1:2">
      <c r="A5894">
        <v>5893</v>
      </c>
      <c r="B5894" s="119">
        <v>0.58146623990245394</v>
      </c>
    </row>
    <row r="5895" spans="1:2">
      <c r="A5895">
        <v>5894</v>
      </c>
      <c r="B5895" s="119">
        <v>0.9147995732357872</v>
      </c>
    </row>
    <row r="5896" spans="1:2">
      <c r="A5896">
        <v>5895</v>
      </c>
      <c r="B5896" s="119">
        <v>6.2947721383935382E-2</v>
      </c>
    </row>
    <row r="5897" spans="1:2">
      <c r="A5897">
        <v>5896</v>
      </c>
      <c r="B5897" s="119">
        <v>0.39628105471726865</v>
      </c>
    </row>
    <row r="5898" spans="1:2">
      <c r="A5898">
        <v>5897</v>
      </c>
      <c r="B5898" s="119">
        <v>0.72961438805060208</v>
      </c>
    </row>
    <row r="5899" spans="1:2">
      <c r="A5899">
        <v>5898</v>
      </c>
      <c r="B5899" s="119">
        <v>0.17405883249504647</v>
      </c>
    </row>
    <row r="5900" spans="1:2">
      <c r="A5900">
        <v>5899</v>
      </c>
      <c r="B5900" s="119">
        <v>0.50739216582837987</v>
      </c>
    </row>
    <row r="5901" spans="1:2">
      <c r="A5901">
        <v>5900</v>
      </c>
      <c r="B5901" s="119">
        <v>0.84072549916171302</v>
      </c>
    </row>
    <row r="5902" spans="1:2">
      <c r="A5902">
        <v>5901</v>
      </c>
      <c r="B5902" s="119">
        <v>0.28516994360615755</v>
      </c>
    </row>
    <row r="5903" spans="1:2">
      <c r="A5903">
        <v>5902</v>
      </c>
      <c r="B5903" s="119">
        <v>0.61850327693949092</v>
      </c>
    </row>
    <row r="5904" spans="1:2">
      <c r="A5904">
        <v>5903</v>
      </c>
      <c r="B5904" s="119">
        <v>0.95183661027282418</v>
      </c>
    </row>
    <row r="5905" spans="1:2">
      <c r="A5905">
        <v>5904</v>
      </c>
      <c r="B5905" s="119">
        <v>9.9984758420972417E-2</v>
      </c>
    </row>
    <row r="5906" spans="1:2">
      <c r="A5906">
        <v>5905</v>
      </c>
      <c r="B5906" s="119">
        <v>0.43331809175430569</v>
      </c>
    </row>
    <row r="5907" spans="1:2">
      <c r="A5907">
        <v>5906</v>
      </c>
      <c r="B5907" s="119">
        <v>0.76665142508763906</v>
      </c>
    </row>
    <row r="5908" spans="1:2">
      <c r="A5908">
        <v>5907</v>
      </c>
      <c r="B5908" s="119">
        <v>0.21109586953208351</v>
      </c>
    </row>
    <row r="5909" spans="1:2">
      <c r="A5909">
        <v>5908</v>
      </c>
      <c r="B5909" s="119">
        <v>0.54442920286541685</v>
      </c>
    </row>
    <row r="5910" spans="1:2">
      <c r="A5910">
        <v>5909</v>
      </c>
      <c r="B5910" s="119">
        <v>0.87776253619875011</v>
      </c>
    </row>
    <row r="5911" spans="1:2">
      <c r="A5911">
        <v>5910</v>
      </c>
      <c r="B5911" s="119">
        <v>0.32220698064319458</v>
      </c>
    </row>
    <row r="5912" spans="1:2">
      <c r="A5912">
        <v>5911</v>
      </c>
      <c r="B5912" s="119">
        <v>0.65554031397652801</v>
      </c>
    </row>
    <row r="5913" spans="1:2">
      <c r="A5913">
        <v>5912</v>
      </c>
      <c r="B5913" s="119">
        <v>0.98887364730986127</v>
      </c>
    </row>
    <row r="5914" spans="1:2">
      <c r="A5914">
        <v>5913</v>
      </c>
      <c r="B5914" s="119">
        <v>5.3345526596555405E-3</v>
      </c>
    </row>
    <row r="5915" spans="1:2">
      <c r="A5915">
        <v>5914</v>
      </c>
      <c r="B5915" s="119">
        <v>0.3386678859929888</v>
      </c>
    </row>
    <row r="5916" spans="1:2">
      <c r="A5916">
        <v>5915</v>
      </c>
      <c r="B5916" s="119">
        <v>0.67200121932632217</v>
      </c>
    </row>
    <row r="5917" spans="1:2">
      <c r="A5917">
        <v>5916</v>
      </c>
      <c r="B5917" s="119">
        <v>0.11644566377076665</v>
      </c>
    </row>
    <row r="5918" spans="1:2">
      <c r="A5918">
        <v>5917</v>
      </c>
      <c r="B5918" s="119">
        <v>0.44977899710409991</v>
      </c>
    </row>
    <row r="5919" spans="1:2">
      <c r="A5919">
        <v>5918</v>
      </c>
      <c r="B5919" s="119">
        <v>0.78311233043743322</v>
      </c>
    </row>
    <row r="5920" spans="1:2">
      <c r="A5920">
        <v>5919</v>
      </c>
      <c r="B5920" s="119">
        <v>0.22755677488187775</v>
      </c>
    </row>
    <row r="5921" spans="1:2">
      <c r="A5921">
        <v>5920</v>
      </c>
      <c r="B5921" s="119">
        <v>0.56089010821521113</v>
      </c>
    </row>
    <row r="5922" spans="1:2">
      <c r="A5922">
        <v>5921</v>
      </c>
      <c r="B5922" s="119">
        <v>0.89422344154854438</v>
      </c>
    </row>
    <row r="5923" spans="1:2">
      <c r="A5923">
        <v>5922</v>
      </c>
      <c r="B5923" s="119">
        <v>4.2371589696692573E-2</v>
      </c>
    </row>
    <row r="5924" spans="1:2">
      <c r="A5924">
        <v>5923</v>
      </c>
      <c r="B5924" s="119">
        <v>0.37570492303002584</v>
      </c>
    </row>
    <row r="5925" spans="1:2">
      <c r="A5925">
        <v>5924</v>
      </c>
      <c r="B5925" s="119">
        <v>0.70903825636335926</v>
      </c>
    </row>
    <row r="5926" spans="1:2">
      <c r="A5926">
        <v>5925</v>
      </c>
      <c r="B5926" s="119">
        <v>0.15348270080780368</v>
      </c>
    </row>
    <row r="5927" spans="1:2">
      <c r="A5927">
        <v>5926</v>
      </c>
      <c r="B5927" s="119">
        <v>0.48681603414113694</v>
      </c>
    </row>
    <row r="5928" spans="1:2">
      <c r="A5928">
        <v>5927</v>
      </c>
      <c r="B5928" s="119">
        <v>0.8201493674744702</v>
      </c>
    </row>
    <row r="5929" spans="1:2">
      <c r="A5929">
        <v>5928</v>
      </c>
      <c r="B5929" s="119">
        <v>0.26459381191891473</v>
      </c>
    </row>
    <row r="5930" spans="1:2">
      <c r="A5930">
        <v>5929</v>
      </c>
      <c r="B5930" s="119">
        <v>0.5979271452522481</v>
      </c>
    </row>
    <row r="5931" spans="1:2">
      <c r="A5931">
        <v>5930</v>
      </c>
      <c r="B5931" s="119">
        <v>0.93126047858558136</v>
      </c>
    </row>
    <row r="5932" spans="1:2">
      <c r="A5932">
        <v>5931</v>
      </c>
      <c r="B5932" s="119">
        <v>7.9408626733729615E-2</v>
      </c>
    </row>
    <row r="5933" spans="1:2">
      <c r="A5933">
        <v>5932</v>
      </c>
      <c r="B5933" s="119">
        <v>0.41274196006706287</v>
      </c>
    </row>
    <row r="5934" spans="1:2">
      <c r="A5934">
        <v>5933</v>
      </c>
      <c r="B5934" s="119">
        <v>0.74607529340039624</v>
      </c>
    </row>
    <row r="5935" spans="1:2">
      <c r="A5935">
        <v>5934</v>
      </c>
      <c r="B5935" s="119">
        <v>0.19051973784484072</v>
      </c>
    </row>
    <row r="5936" spans="1:2">
      <c r="A5936">
        <v>5935</v>
      </c>
      <c r="B5936" s="119">
        <v>0.52385307117817403</v>
      </c>
    </row>
    <row r="5937" spans="1:2">
      <c r="A5937">
        <v>5936</v>
      </c>
      <c r="B5937" s="119">
        <v>0.85718640451150729</v>
      </c>
    </row>
    <row r="5938" spans="1:2">
      <c r="A5938">
        <v>5937</v>
      </c>
      <c r="B5938" s="119">
        <v>0.30163084895595177</v>
      </c>
    </row>
    <row r="5939" spans="1:2">
      <c r="A5939">
        <v>5938</v>
      </c>
      <c r="B5939" s="119">
        <v>0.6349641822892852</v>
      </c>
    </row>
    <row r="5940" spans="1:2">
      <c r="A5940">
        <v>5939</v>
      </c>
      <c r="B5940" s="119">
        <v>0.96829751562261845</v>
      </c>
    </row>
    <row r="5941" spans="1:2">
      <c r="A5941">
        <v>5940</v>
      </c>
      <c r="B5941" s="119">
        <v>1.768023167200122E-2</v>
      </c>
    </row>
    <row r="5942" spans="1:2">
      <c r="A5942">
        <v>5941</v>
      </c>
      <c r="B5942" s="119">
        <v>0.35101356500533448</v>
      </c>
    </row>
    <row r="5943" spans="1:2">
      <c r="A5943">
        <v>5942</v>
      </c>
      <c r="B5943" s="119">
        <v>0.6843468983386678</v>
      </c>
    </row>
    <row r="5944" spans="1:2">
      <c r="A5944">
        <v>5943</v>
      </c>
      <c r="B5944" s="119">
        <v>0.12879134278311233</v>
      </c>
    </row>
    <row r="5945" spans="1:2">
      <c r="A5945">
        <v>5944</v>
      </c>
      <c r="B5945" s="119">
        <v>0.46212467611644559</v>
      </c>
    </row>
    <row r="5946" spans="1:2">
      <c r="A5946">
        <v>5945</v>
      </c>
      <c r="B5946" s="119">
        <v>0.79545800944977896</v>
      </c>
    </row>
    <row r="5947" spans="1:2">
      <c r="A5947">
        <v>5946</v>
      </c>
      <c r="B5947" s="119">
        <v>0.23990245389422343</v>
      </c>
    </row>
    <row r="5948" spans="1:2">
      <c r="A5948">
        <v>5947</v>
      </c>
      <c r="B5948" s="119">
        <v>0.57323578722755686</v>
      </c>
    </row>
    <row r="5949" spans="1:2">
      <c r="A5949">
        <v>5948</v>
      </c>
      <c r="B5949" s="119">
        <v>0.90656912056089012</v>
      </c>
    </row>
    <row r="5950" spans="1:2">
      <c r="A5950">
        <v>5949</v>
      </c>
      <c r="B5950" s="119">
        <v>5.4717268709038251E-2</v>
      </c>
    </row>
    <row r="5951" spans="1:2">
      <c r="A5951">
        <v>5950</v>
      </c>
      <c r="B5951" s="119">
        <v>0.38805060204237152</v>
      </c>
    </row>
    <row r="5952" spans="1:2">
      <c r="A5952">
        <v>5951</v>
      </c>
      <c r="B5952" s="119">
        <v>0.721383935375705</v>
      </c>
    </row>
    <row r="5953" spans="1:2">
      <c r="A5953">
        <v>5952</v>
      </c>
      <c r="B5953" s="119">
        <v>0.16582837982014936</v>
      </c>
    </row>
    <row r="5954" spans="1:2">
      <c r="A5954">
        <v>5953</v>
      </c>
      <c r="B5954" s="119">
        <v>0.49916171315348262</v>
      </c>
    </row>
    <row r="5955" spans="1:2">
      <c r="A5955">
        <v>5954</v>
      </c>
      <c r="B5955" s="119">
        <v>0.83249504648681594</v>
      </c>
    </row>
    <row r="5956" spans="1:2">
      <c r="A5956">
        <v>5955</v>
      </c>
      <c r="B5956" s="119">
        <v>0.27693949093126041</v>
      </c>
    </row>
    <row r="5957" spans="1:2">
      <c r="A5957">
        <v>5956</v>
      </c>
      <c r="B5957" s="119">
        <v>0.61027282426459384</v>
      </c>
    </row>
    <row r="5958" spans="1:2">
      <c r="A5958">
        <v>5957</v>
      </c>
      <c r="B5958" s="119">
        <v>0.9436061575979271</v>
      </c>
    </row>
    <row r="5959" spans="1:2">
      <c r="A5959">
        <v>5958</v>
      </c>
      <c r="B5959" s="119">
        <v>9.1754305746075293E-2</v>
      </c>
    </row>
    <row r="5960" spans="1:2">
      <c r="A5960">
        <v>5959</v>
      </c>
      <c r="B5960" s="119">
        <v>0.42508763907940855</v>
      </c>
    </row>
    <row r="5961" spans="1:2">
      <c r="A5961">
        <v>5960</v>
      </c>
      <c r="B5961" s="119">
        <v>0.75842097241274198</v>
      </c>
    </row>
    <row r="5962" spans="1:2">
      <c r="A5962">
        <v>5961</v>
      </c>
      <c r="B5962" s="119">
        <v>0.2028654168571864</v>
      </c>
    </row>
    <row r="5963" spans="1:2">
      <c r="A5963">
        <v>5962</v>
      </c>
      <c r="B5963" s="119">
        <v>0.53619875019051966</v>
      </c>
    </row>
    <row r="5964" spans="1:2">
      <c r="A5964">
        <v>5963</v>
      </c>
      <c r="B5964" s="119">
        <v>0.86953208352385292</v>
      </c>
    </row>
    <row r="5965" spans="1:2">
      <c r="A5965">
        <v>5964</v>
      </c>
      <c r="B5965" s="119">
        <v>0.31397652796829745</v>
      </c>
    </row>
    <row r="5966" spans="1:2">
      <c r="A5966">
        <v>5965</v>
      </c>
      <c r="B5966" s="119">
        <v>0.64730986130163082</v>
      </c>
    </row>
    <row r="5967" spans="1:2">
      <c r="A5967">
        <v>5966</v>
      </c>
      <c r="B5967" s="119">
        <v>0.98064319463496408</v>
      </c>
    </row>
    <row r="5968" spans="1:2">
      <c r="A5968">
        <v>5967</v>
      </c>
      <c r="B5968" s="119">
        <v>3.0025910684346898E-2</v>
      </c>
    </row>
    <row r="5969" spans="1:2">
      <c r="A5969">
        <v>5968</v>
      </c>
      <c r="B5969" s="119">
        <v>0.36335924401768016</v>
      </c>
    </row>
    <row r="5970" spans="1:2">
      <c r="A5970">
        <v>5969</v>
      </c>
      <c r="B5970" s="119">
        <v>0.69669257735101353</v>
      </c>
    </row>
    <row r="5971" spans="1:2">
      <c r="A5971">
        <v>5970</v>
      </c>
      <c r="B5971" s="119">
        <v>0.14113702179545801</v>
      </c>
    </row>
    <row r="5972" spans="1:2">
      <c r="A5972">
        <v>5971</v>
      </c>
      <c r="B5972" s="119">
        <v>0.47447035512879127</v>
      </c>
    </row>
    <row r="5973" spans="1:2">
      <c r="A5973">
        <v>5972</v>
      </c>
      <c r="B5973" s="119">
        <v>0.80780368846212458</v>
      </c>
    </row>
    <row r="5974" spans="1:2">
      <c r="A5974">
        <v>5973</v>
      </c>
      <c r="B5974" s="119">
        <v>0.25224813290656906</v>
      </c>
    </row>
    <row r="5975" spans="1:2">
      <c r="A5975">
        <v>5974</v>
      </c>
      <c r="B5975" s="119">
        <v>0.58558146623990248</v>
      </c>
    </row>
    <row r="5976" spans="1:2">
      <c r="A5976">
        <v>5975</v>
      </c>
      <c r="B5976" s="119">
        <v>0.91891479957323574</v>
      </c>
    </row>
    <row r="5977" spans="1:2">
      <c r="A5977">
        <v>5976</v>
      </c>
      <c r="B5977" s="119">
        <v>6.7062947721383936E-2</v>
      </c>
    </row>
    <row r="5978" spans="1:2">
      <c r="A5978">
        <v>5977</v>
      </c>
      <c r="B5978" s="119">
        <v>0.4003962810547172</v>
      </c>
    </row>
    <row r="5979" spans="1:2">
      <c r="A5979">
        <v>5978</v>
      </c>
      <c r="B5979" s="119">
        <v>0.73372961438805062</v>
      </c>
    </row>
    <row r="5980" spans="1:2">
      <c r="A5980">
        <v>5979</v>
      </c>
      <c r="B5980" s="119">
        <v>0.17817405883249504</v>
      </c>
    </row>
    <row r="5981" spans="1:2">
      <c r="A5981">
        <v>5980</v>
      </c>
      <c r="B5981" s="119">
        <v>0.51150739216582841</v>
      </c>
    </row>
    <row r="5982" spans="1:2">
      <c r="A5982">
        <v>5981</v>
      </c>
      <c r="B5982" s="119">
        <v>0.84484072549916156</v>
      </c>
    </row>
    <row r="5983" spans="1:2">
      <c r="A5983">
        <v>5982</v>
      </c>
      <c r="B5983" s="119">
        <v>0.28928516994360609</v>
      </c>
    </row>
    <row r="5984" spans="1:2">
      <c r="A5984">
        <v>5983</v>
      </c>
      <c r="B5984" s="119">
        <v>0.62261850327693946</v>
      </c>
    </row>
    <row r="5985" spans="1:2">
      <c r="A5985">
        <v>5984</v>
      </c>
      <c r="B5985" s="119">
        <v>0.95595183661027272</v>
      </c>
    </row>
    <row r="5986" spans="1:2">
      <c r="A5986">
        <v>5985</v>
      </c>
      <c r="B5986" s="119">
        <v>0.10409998475842097</v>
      </c>
    </row>
    <row r="5987" spans="1:2">
      <c r="A5987">
        <v>5986</v>
      </c>
      <c r="B5987" s="119">
        <v>0.43743331809175423</v>
      </c>
    </row>
    <row r="5988" spans="1:2">
      <c r="A5988">
        <v>5987</v>
      </c>
      <c r="B5988" s="119">
        <v>0.7707666514250876</v>
      </c>
    </row>
    <row r="5989" spans="1:2">
      <c r="A5989">
        <v>5988</v>
      </c>
      <c r="B5989" s="119">
        <v>0.21521109586953208</v>
      </c>
    </row>
    <row r="5990" spans="1:2">
      <c r="A5990">
        <v>5989</v>
      </c>
      <c r="B5990" s="119">
        <v>0.54854442920286539</v>
      </c>
    </row>
    <row r="5991" spans="1:2">
      <c r="A5991">
        <v>5990</v>
      </c>
      <c r="B5991" s="119">
        <v>0.88187776253619865</v>
      </c>
    </row>
    <row r="5992" spans="1:2">
      <c r="A5992">
        <v>5991</v>
      </c>
      <c r="B5992" s="119">
        <v>0.32632220698064313</v>
      </c>
    </row>
    <row r="5993" spans="1:2">
      <c r="A5993">
        <v>5992</v>
      </c>
      <c r="B5993" s="119">
        <v>0.65965554031397655</v>
      </c>
    </row>
    <row r="5994" spans="1:2">
      <c r="A5994">
        <v>5993</v>
      </c>
      <c r="B5994" s="119">
        <v>0.99298887364730981</v>
      </c>
    </row>
    <row r="5995" spans="1:2">
      <c r="A5995">
        <v>5994</v>
      </c>
      <c r="B5995" s="119">
        <v>9.4497789971041014E-3</v>
      </c>
    </row>
    <row r="5996" spans="1:2">
      <c r="A5996">
        <v>5995</v>
      </c>
      <c r="B5996" s="119">
        <v>0.3427831123304374</v>
      </c>
    </row>
    <row r="5997" spans="1:2">
      <c r="A5997">
        <v>5996</v>
      </c>
      <c r="B5997" s="119">
        <v>0.67611644566377072</v>
      </c>
    </row>
    <row r="5998" spans="1:2">
      <c r="A5998">
        <v>5997</v>
      </c>
      <c r="B5998" s="119">
        <v>0.12056089010821522</v>
      </c>
    </row>
    <row r="5999" spans="1:2">
      <c r="A5999">
        <v>5998</v>
      </c>
      <c r="B5999" s="119">
        <v>0.45389422344154851</v>
      </c>
    </row>
    <row r="6000" spans="1:2">
      <c r="A6000">
        <v>5999</v>
      </c>
      <c r="B6000" s="119">
        <v>0.78722755677488176</v>
      </c>
    </row>
    <row r="6001" spans="1:2">
      <c r="A6001">
        <v>6000</v>
      </c>
      <c r="B6001" s="119">
        <v>0.2316720012193263</v>
      </c>
    </row>
    <row r="6002" spans="1:2">
      <c r="A6002">
        <v>6001</v>
      </c>
      <c r="B6002" s="119">
        <v>0.56500533455265967</v>
      </c>
    </row>
    <row r="6003" spans="1:2">
      <c r="A6003">
        <v>6002</v>
      </c>
      <c r="B6003" s="119">
        <v>0.89833866788599293</v>
      </c>
    </row>
    <row r="6004" spans="1:2">
      <c r="A6004">
        <v>6003</v>
      </c>
      <c r="B6004" s="119">
        <v>4.6486816034141135E-2</v>
      </c>
    </row>
    <row r="6005" spans="1:2">
      <c r="A6005">
        <v>6004</v>
      </c>
      <c r="B6005" s="119">
        <v>0.37982014936747444</v>
      </c>
    </row>
    <row r="6006" spans="1:2">
      <c r="A6006">
        <v>6005</v>
      </c>
      <c r="B6006" s="119">
        <v>0.71315348270080781</v>
      </c>
    </row>
    <row r="6007" spans="1:2">
      <c r="A6007">
        <v>6006</v>
      </c>
      <c r="B6007" s="119">
        <v>0.15759792714525223</v>
      </c>
    </row>
    <row r="6008" spans="1:2">
      <c r="A6008">
        <v>6007</v>
      </c>
      <c r="B6008" s="119">
        <v>0.49093126047858554</v>
      </c>
    </row>
    <row r="6009" spans="1:2">
      <c r="A6009">
        <v>6008</v>
      </c>
      <c r="B6009" s="119">
        <v>0.82426459381191874</v>
      </c>
    </row>
    <row r="6010" spans="1:2">
      <c r="A6010">
        <v>6009</v>
      </c>
      <c r="B6010" s="119">
        <v>0.26870903825636333</v>
      </c>
    </row>
    <row r="6011" spans="1:2">
      <c r="A6011">
        <v>6010</v>
      </c>
      <c r="B6011" s="119">
        <v>0.60204237158969665</v>
      </c>
    </row>
    <row r="6012" spans="1:2">
      <c r="A6012">
        <v>6011</v>
      </c>
      <c r="B6012" s="119">
        <v>0.9353757049230299</v>
      </c>
    </row>
    <row r="6013" spans="1:2">
      <c r="A6013">
        <v>6012</v>
      </c>
      <c r="B6013" s="119">
        <v>8.3523853071178183E-2</v>
      </c>
    </row>
    <row r="6014" spans="1:2">
      <c r="A6014">
        <v>6013</v>
      </c>
      <c r="B6014" s="119">
        <v>0.41685718640451147</v>
      </c>
    </row>
    <row r="6015" spans="1:2">
      <c r="A6015">
        <v>6014</v>
      </c>
      <c r="B6015" s="119">
        <v>0.75019051973784479</v>
      </c>
    </row>
    <row r="6016" spans="1:2">
      <c r="A6016">
        <v>6015</v>
      </c>
      <c r="B6016" s="119">
        <v>0.19463496418228926</v>
      </c>
    </row>
    <row r="6017" spans="1:2">
      <c r="A6017">
        <v>6016</v>
      </c>
      <c r="B6017" s="119">
        <v>0.52796829751562258</v>
      </c>
    </row>
    <row r="6018" spans="1:2">
      <c r="A6018">
        <v>6017</v>
      </c>
      <c r="B6018" s="119">
        <v>0.86130163084895583</v>
      </c>
    </row>
    <row r="6019" spans="1:2">
      <c r="A6019">
        <v>6018</v>
      </c>
      <c r="B6019" s="119">
        <v>0.30574607529340037</v>
      </c>
    </row>
    <row r="6020" spans="1:2">
      <c r="A6020">
        <v>6019</v>
      </c>
      <c r="B6020" s="119">
        <v>0.63907940862673374</v>
      </c>
    </row>
    <row r="6021" spans="1:2">
      <c r="A6021">
        <v>6020</v>
      </c>
      <c r="B6021" s="119">
        <v>0.972412741960067</v>
      </c>
    </row>
    <row r="6022" spans="1:2">
      <c r="A6022">
        <v>6021</v>
      </c>
      <c r="B6022" s="119">
        <v>2.1795458009449778E-2</v>
      </c>
    </row>
    <row r="6023" spans="1:2">
      <c r="A6023">
        <v>6022</v>
      </c>
      <c r="B6023" s="119">
        <v>0.35512879134278308</v>
      </c>
    </row>
    <row r="6024" spans="1:2">
      <c r="A6024">
        <v>6023</v>
      </c>
      <c r="B6024" s="119">
        <v>0.68846212467611634</v>
      </c>
    </row>
    <row r="6025" spans="1:2">
      <c r="A6025">
        <v>6024</v>
      </c>
      <c r="B6025" s="119">
        <v>0.13290656912056087</v>
      </c>
    </row>
    <row r="6026" spans="1:2">
      <c r="A6026">
        <v>6025</v>
      </c>
      <c r="B6026" s="119">
        <v>0.46623990245389418</v>
      </c>
    </row>
    <row r="6027" spans="1:2">
      <c r="A6027">
        <v>6026</v>
      </c>
      <c r="B6027" s="119">
        <v>0.7995732357872275</v>
      </c>
    </row>
    <row r="6028" spans="1:2">
      <c r="A6028">
        <v>6027</v>
      </c>
      <c r="B6028" s="119">
        <v>0.24401768023167197</v>
      </c>
    </row>
    <row r="6029" spans="1:2">
      <c r="A6029">
        <v>6028</v>
      </c>
      <c r="B6029" s="119">
        <v>0.5773510135650054</v>
      </c>
    </row>
    <row r="6030" spans="1:2">
      <c r="A6030">
        <v>6029</v>
      </c>
      <c r="B6030" s="119">
        <v>0.91068434689833866</v>
      </c>
    </row>
    <row r="6031" spans="1:2">
      <c r="A6031">
        <v>6030</v>
      </c>
      <c r="B6031" s="119">
        <v>5.8832495046486813E-2</v>
      </c>
    </row>
    <row r="6032" spans="1:2">
      <c r="A6032">
        <v>6031</v>
      </c>
      <c r="B6032" s="119">
        <v>0.39216582837982011</v>
      </c>
    </row>
    <row r="6033" spans="1:2">
      <c r="A6033">
        <v>6032</v>
      </c>
      <c r="B6033" s="119">
        <v>0.72549916171315354</v>
      </c>
    </row>
    <row r="6034" spans="1:2">
      <c r="A6034">
        <v>6033</v>
      </c>
      <c r="B6034" s="119">
        <v>0.1699436061575979</v>
      </c>
    </row>
    <row r="6035" spans="1:2">
      <c r="A6035">
        <v>6034</v>
      </c>
      <c r="B6035" s="119">
        <v>0.50327693949093122</v>
      </c>
    </row>
    <row r="6036" spans="1:2">
      <c r="A6036">
        <v>6035</v>
      </c>
      <c r="B6036" s="119">
        <v>0.83661027282426448</v>
      </c>
    </row>
    <row r="6037" spans="1:2">
      <c r="A6037">
        <v>6036</v>
      </c>
      <c r="B6037" s="119">
        <v>0.28105471726870901</v>
      </c>
    </row>
    <row r="6038" spans="1:2">
      <c r="A6038">
        <v>6037</v>
      </c>
      <c r="B6038" s="119">
        <v>0.61438805060204238</v>
      </c>
    </row>
    <row r="6039" spans="1:2">
      <c r="A6039">
        <v>6038</v>
      </c>
      <c r="B6039" s="119">
        <v>0.94772138393537564</v>
      </c>
    </row>
    <row r="6040" spans="1:2">
      <c r="A6040">
        <v>6039</v>
      </c>
      <c r="B6040" s="119">
        <v>9.5869532083523862E-2</v>
      </c>
    </row>
    <row r="6041" spans="1:2">
      <c r="A6041">
        <v>6040</v>
      </c>
      <c r="B6041" s="119">
        <v>0.42920286541685715</v>
      </c>
    </row>
    <row r="6042" spans="1:2">
      <c r="A6042">
        <v>6041</v>
      </c>
      <c r="B6042" s="119">
        <v>0.76253619875019052</v>
      </c>
    </row>
    <row r="6043" spans="1:2">
      <c r="A6043">
        <v>6042</v>
      </c>
      <c r="B6043" s="119">
        <v>0.20698064319463494</v>
      </c>
    </row>
    <row r="6044" spans="1:2">
      <c r="A6044">
        <v>6043</v>
      </c>
      <c r="B6044" s="119">
        <v>0.5403139765279682</v>
      </c>
    </row>
    <row r="6045" spans="1:2">
      <c r="A6045">
        <v>6044</v>
      </c>
      <c r="B6045" s="119">
        <v>0.87364730986130146</v>
      </c>
    </row>
    <row r="6046" spans="1:2">
      <c r="A6046">
        <v>6045</v>
      </c>
      <c r="B6046" s="119">
        <v>0.31809175430574604</v>
      </c>
    </row>
    <row r="6047" spans="1:2">
      <c r="A6047">
        <v>6046</v>
      </c>
      <c r="B6047" s="119">
        <v>0.65142508763907936</v>
      </c>
    </row>
    <row r="6048" spans="1:2">
      <c r="A6048">
        <v>6047</v>
      </c>
      <c r="B6048" s="119">
        <v>0.98475842097241262</v>
      </c>
    </row>
    <row r="6049" spans="1:2">
      <c r="A6049">
        <v>6048</v>
      </c>
      <c r="B6049" s="119">
        <v>3.4141137021795456E-2</v>
      </c>
    </row>
    <row r="6050" spans="1:2">
      <c r="A6050">
        <v>6049</v>
      </c>
      <c r="B6050" s="119">
        <v>0.36747447035512876</v>
      </c>
    </row>
    <row r="6051" spans="1:2">
      <c r="A6051">
        <v>6050</v>
      </c>
      <c r="B6051" s="119">
        <v>0.70080780368846207</v>
      </c>
    </row>
    <row r="6052" spans="1:2">
      <c r="A6052">
        <v>6051</v>
      </c>
      <c r="B6052" s="119">
        <v>0.14525224813290655</v>
      </c>
    </row>
    <row r="6053" spans="1:2">
      <c r="A6053">
        <v>6052</v>
      </c>
      <c r="B6053" s="119">
        <v>0.47858558146623986</v>
      </c>
    </row>
    <row r="6054" spans="1:2">
      <c r="A6054">
        <v>6053</v>
      </c>
      <c r="B6054" s="119">
        <v>0.81191891479957312</v>
      </c>
    </row>
    <row r="6055" spans="1:2">
      <c r="A6055">
        <v>6054</v>
      </c>
      <c r="B6055" s="119">
        <v>0.25636335924401765</v>
      </c>
    </row>
    <row r="6056" spans="1:2">
      <c r="A6056">
        <v>6055</v>
      </c>
      <c r="B6056" s="119">
        <v>0.58969669257735102</v>
      </c>
    </row>
    <row r="6057" spans="1:2">
      <c r="A6057">
        <v>6056</v>
      </c>
      <c r="B6057" s="119">
        <v>0.92303002591068428</v>
      </c>
    </row>
    <row r="6058" spans="1:2">
      <c r="A6058">
        <v>6057</v>
      </c>
      <c r="B6058" s="119">
        <v>7.1178174058832505E-2</v>
      </c>
    </row>
    <row r="6059" spans="1:2">
      <c r="A6059">
        <v>6058</v>
      </c>
      <c r="B6059" s="119">
        <v>0.40451150739216579</v>
      </c>
    </row>
    <row r="6060" spans="1:2">
      <c r="A6060">
        <v>6059</v>
      </c>
      <c r="B6060" s="119">
        <v>0.73784484072549916</v>
      </c>
    </row>
    <row r="6061" spans="1:2">
      <c r="A6061">
        <v>6060</v>
      </c>
      <c r="B6061" s="119">
        <v>0.18228928516994358</v>
      </c>
    </row>
    <row r="6062" spans="1:2">
      <c r="A6062">
        <v>6061</v>
      </c>
      <c r="B6062" s="119">
        <v>0.51562261850327695</v>
      </c>
    </row>
    <row r="6063" spans="1:2">
      <c r="A6063">
        <v>6062</v>
      </c>
      <c r="B6063" s="119">
        <v>0.8489559518366101</v>
      </c>
    </row>
    <row r="6064" spans="1:2">
      <c r="A6064">
        <v>6063</v>
      </c>
      <c r="B6064" s="119">
        <v>0.29340039628105469</v>
      </c>
    </row>
    <row r="6065" spans="1:2">
      <c r="A6065">
        <v>6064</v>
      </c>
      <c r="B6065" s="119">
        <v>0.626733729614388</v>
      </c>
    </row>
    <row r="6066" spans="1:2">
      <c r="A6066">
        <v>6065</v>
      </c>
      <c r="B6066" s="119">
        <v>0.96006706294772126</v>
      </c>
    </row>
    <row r="6067" spans="1:2">
      <c r="A6067">
        <v>6066</v>
      </c>
      <c r="B6067" s="119">
        <v>0.10821521109586954</v>
      </c>
    </row>
    <row r="6068" spans="1:2">
      <c r="A6068">
        <v>6067</v>
      </c>
      <c r="B6068" s="119">
        <v>0.44154854442920283</v>
      </c>
    </row>
    <row r="6069" spans="1:2">
      <c r="A6069">
        <v>6068</v>
      </c>
      <c r="B6069" s="119">
        <v>0.77488187776253614</v>
      </c>
    </row>
    <row r="6070" spans="1:2">
      <c r="A6070">
        <v>6069</v>
      </c>
      <c r="B6070" s="119">
        <v>0.21932632220698062</v>
      </c>
    </row>
    <row r="6071" spans="1:2">
      <c r="A6071">
        <v>6070</v>
      </c>
      <c r="B6071" s="119">
        <v>0.55265965554031393</v>
      </c>
    </row>
    <row r="6072" spans="1:2">
      <c r="A6072">
        <v>6071</v>
      </c>
      <c r="B6072" s="119">
        <v>0.88599298887364719</v>
      </c>
    </row>
    <row r="6073" spans="1:2">
      <c r="A6073">
        <v>6072</v>
      </c>
      <c r="B6073" s="119">
        <v>0.33043743331809172</v>
      </c>
    </row>
    <row r="6074" spans="1:2">
      <c r="A6074">
        <v>6073</v>
      </c>
      <c r="B6074" s="119">
        <v>0.66377076665142509</v>
      </c>
    </row>
    <row r="6075" spans="1:2">
      <c r="A6075">
        <v>6074</v>
      </c>
      <c r="B6075" s="119">
        <v>0.99710409998475835</v>
      </c>
    </row>
    <row r="6076" spans="1:2">
      <c r="A6076">
        <v>6075</v>
      </c>
      <c r="B6076" s="119">
        <v>2.5910684346898338E-3</v>
      </c>
    </row>
    <row r="6077" spans="1:2">
      <c r="A6077">
        <v>6076</v>
      </c>
      <c r="B6077" s="119">
        <v>0.33592440176802313</v>
      </c>
    </row>
    <row r="6078" spans="1:2">
      <c r="A6078">
        <v>6077</v>
      </c>
      <c r="B6078" s="119">
        <v>0.66925773510135644</v>
      </c>
    </row>
    <row r="6079" spans="1:2">
      <c r="A6079">
        <v>6078</v>
      </c>
      <c r="B6079" s="119">
        <v>0.11370217954580095</v>
      </c>
    </row>
    <row r="6080" spans="1:2">
      <c r="A6080">
        <v>6079</v>
      </c>
      <c r="B6080" s="119">
        <v>0.44703551287913423</v>
      </c>
    </row>
    <row r="6081" spans="1:2">
      <c r="A6081">
        <v>6080</v>
      </c>
      <c r="B6081" s="119">
        <v>0.78036884621246749</v>
      </c>
    </row>
    <row r="6082" spans="1:2">
      <c r="A6082">
        <v>6081</v>
      </c>
      <c r="B6082" s="119">
        <v>0.22481329065691205</v>
      </c>
    </row>
    <row r="6083" spans="1:2">
      <c r="A6083">
        <v>6082</v>
      </c>
      <c r="B6083" s="119">
        <v>0.55814662399024539</v>
      </c>
    </row>
    <row r="6084" spans="1:2">
      <c r="A6084">
        <v>6083</v>
      </c>
      <c r="B6084" s="119">
        <v>0.89147995732357865</v>
      </c>
    </row>
    <row r="6085" spans="1:2">
      <c r="A6085">
        <v>6084</v>
      </c>
      <c r="B6085" s="119">
        <v>3.9628105471726863E-2</v>
      </c>
    </row>
    <row r="6086" spans="1:2">
      <c r="A6086">
        <v>6085</v>
      </c>
      <c r="B6086" s="119">
        <v>0.37296143880506016</v>
      </c>
    </row>
    <row r="6087" spans="1:2">
      <c r="A6087">
        <v>6086</v>
      </c>
      <c r="B6087" s="119">
        <v>0.70629477213839353</v>
      </c>
    </row>
    <row r="6088" spans="1:2">
      <c r="A6088">
        <v>6087</v>
      </c>
      <c r="B6088" s="119">
        <v>0.15073921658283798</v>
      </c>
    </row>
    <row r="6089" spans="1:2">
      <c r="A6089">
        <v>6088</v>
      </c>
      <c r="B6089" s="119">
        <v>0.48407254991617127</v>
      </c>
    </row>
    <row r="6090" spans="1:2">
      <c r="A6090">
        <v>6089</v>
      </c>
      <c r="B6090" s="119">
        <v>0.81740588324950447</v>
      </c>
    </row>
    <row r="6091" spans="1:2">
      <c r="A6091">
        <v>6090</v>
      </c>
      <c r="B6091" s="119">
        <v>0.26185032769394906</v>
      </c>
    </row>
    <row r="6092" spans="1:2">
      <c r="A6092">
        <v>6091</v>
      </c>
      <c r="B6092" s="119">
        <v>0.59518366102728237</v>
      </c>
    </row>
    <row r="6093" spans="1:2">
      <c r="A6093">
        <v>6092</v>
      </c>
      <c r="B6093" s="119">
        <v>0.92851699436061563</v>
      </c>
    </row>
    <row r="6094" spans="1:2">
      <c r="A6094">
        <v>6093</v>
      </c>
      <c r="B6094" s="119">
        <v>7.6665142508763912E-2</v>
      </c>
    </row>
    <row r="6095" spans="1:2">
      <c r="A6095">
        <v>6094</v>
      </c>
      <c r="B6095" s="119">
        <v>0.4099984758420972</v>
      </c>
    </row>
    <row r="6096" spans="1:2">
      <c r="A6096">
        <v>6095</v>
      </c>
      <c r="B6096" s="119">
        <v>0.74333180917543051</v>
      </c>
    </row>
    <row r="6097" spans="1:2">
      <c r="A6097">
        <v>6096</v>
      </c>
      <c r="B6097" s="119">
        <v>0.18777625361987502</v>
      </c>
    </row>
    <row r="6098" spans="1:2">
      <c r="A6098">
        <v>6097</v>
      </c>
      <c r="B6098" s="119">
        <v>0.5211095869532083</v>
      </c>
    </row>
    <row r="6099" spans="1:2">
      <c r="A6099">
        <v>6098</v>
      </c>
      <c r="B6099" s="119">
        <v>0.85444292028654156</v>
      </c>
    </row>
    <row r="6100" spans="1:2">
      <c r="A6100">
        <v>6099</v>
      </c>
      <c r="B6100" s="119">
        <v>0.29888736473098609</v>
      </c>
    </row>
    <row r="6101" spans="1:2">
      <c r="A6101">
        <v>6100</v>
      </c>
      <c r="B6101" s="119">
        <v>0.63222069806431946</v>
      </c>
    </row>
    <row r="6102" spans="1:2">
      <c r="A6102">
        <v>6101</v>
      </c>
      <c r="B6102" s="119">
        <v>0.96555403139765272</v>
      </c>
    </row>
    <row r="6103" spans="1:2">
      <c r="A6103">
        <v>6102</v>
      </c>
      <c r="B6103" s="119">
        <v>1.4936747447035513E-2</v>
      </c>
    </row>
    <row r="6104" spans="1:2">
      <c r="A6104">
        <v>6103</v>
      </c>
      <c r="B6104" s="119">
        <v>0.34827008078036881</v>
      </c>
    </row>
    <row r="6105" spans="1:2">
      <c r="A6105">
        <v>6104</v>
      </c>
      <c r="B6105" s="119">
        <v>0.68160341411370207</v>
      </c>
    </row>
    <row r="6106" spans="1:2">
      <c r="A6106">
        <v>6105</v>
      </c>
      <c r="B6106" s="119">
        <v>0.12604785855814662</v>
      </c>
    </row>
    <row r="6107" spans="1:2">
      <c r="A6107">
        <v>6106</v>
      </c>
      <c r="B6107" s="119">
        <v>0.45938119189147991</v>
      </c>
    </row>
    <row r="6108" spans="1:2">
      <c r="A6108">
        <v>6107</v>
      </c>
      <c r="B6108" s="119">
        <v>0.79271452522481323</v>
      </c>
    </row>
    <row r="6109" spans="1:2">
      <c r="A6109">
        <v>6108</v>
      </c>
      <c r="B6109" s="119">
        <v>0.23715896966925773</v>
      </c>
    </row>
    <row r="6110" spans="1:2">
      <c r="A6110">
        <v>6109</v>
      </c>
      <c r="B6110" s="119">
        <v>0.57049230300259113</v>
      </c>
    </row>
    <row r="6111" spans="1:2">
      <c r="A6111">
        <v>6110</v>
      </c>
      <c r="B6111" s="119">
        <v>0.90382563633592439</v>
      </c>
    </row>
    <row r="6112" spans="1:2">
      <c r="A6112">
        <v>6111</v>
      </c>
      <c r="B6112" s="119">
        <v>5.1973784484072541E-2</v>
      </c>
    </row>
    <row r="6113" spans="1:2">
      <c r="A6113">
        <v>6112</v>
      </c>
      <c r="B6113" s="119">
        <v>0.38530711781740584</v>
      </c>
    </row>
    <row r="6114" spans="1:2">
      <c r="A6114">
        <v>6113</v>
      </c>
      <c r="B6114" s="119">
        <v>0.71864045115073927</v>
      </c>
    </row>
    <row r="6115" spans="1:2">
      <c r="A6115">
        <v>6114</v>
      </c>
      <c r="B6115" s="119">
        <v>0.16308489559518366</v>
      </c>
    </row>
    <row r="6116" spans="1:2">
      <c r="A6116">
        <v>6115</v>
      </c>
      <c r="B6116" s="119">
        <v>0.49641822892851695</v>
      </c>
    </row>
    <row r="6117" spans="1:2">
      <c r="A6117">
        <v>6116</v>
      </c>
      <c r="B6117" s="119">
        <v>0.82975156226185021</v>
      </c>
    </row>
    <row r="6118" spans="1:2">
      <c r="A6118">
        <v>6117</v>
      </c>
      <c r="B6118" s="119">
        <v>0.27419600670629474</v>
      </c>
    </row>
    <row r="6119" spans="1:2">
      <c r="A6119">
        <v>6118</v>
      </c>
      <c r="B6119" s="119">
        <v>0.60752934003962811</v>
      </c>
    </row>
    <row r="6120" spans="1:2">
      <c r="A6120">
        <v>6119</v>
      </c>
      <c r="B6120" s="119">
        <v>0.94086267337296137</v>
      </c>
    </row>
    <row r="6121" spans="1:2">
      <c r="A6121">
        <v>6120</v>
      </c>
      <c r="B6121" s="119">
        <v>8.901082152110959E-2</v>
      </c>
    </row>
    <row r="6122" spans="1:2">
      <c r="A6122">
        <v>6121</v>
      </c>
      <c r="B6122" s="119">
        <v>0.42234415485444288</v>
      </c>
    </row>
    <row r="6123" spans="1:2">
      <c r="A6123">
        <v>6122</v>
      </c>
      <c r="B6123" s="119">
        <v>0.75567748818777625</v>
      </c>
    </row>
    <row r="6124" spans="1:2">
      <c r="A6124">
        <v>6123</v>
      </c>
      <c r="B6124" s="119">
        <v>0.20012193263222069</v>
      </c>
    </row>
    <row r="6125" spans="1:2">
      <c r="A6125">
        <v>6124</v>
      </c>
      <c r="B6125" s="119">
        <v>0.53345526596555393</v>
      </c>
    </row>
    <row r="6126" spans="1:2">
      <c r="A6126">
        <v>6125</v>
      </c>
      <c r="B6126" s="119">
        <v>0.86678859929888719</v>
      </c>
    </row>
    <row r="6127" spans="1:2">
      <c r="A6127">
        <v>6126</v>
      </c>
      <c r="B6127" s="119">
        <v>0.31123304374333177</v>
      </c>
    </row>
    <row r="6128" spans="1:2">
      <c r="A6128">
        <v>6127</v>
      </c>
      <c r="B6128" s="119">
        <v>0.64456637707666509</v>
      </c>
    </row>
    <row r="6129" spans="1:2">
      <c r="A6129">
        <v>6128</v>
      </c>
      <c r="B6129" s="119">
        <v>0.97789971040999835</v>
      </c>
    </row>
    <row r="6130" spans="1:2">
      <c r="A6130">
        <v>6129</v>
      </c>
      <c r="B6130" s="119">
        <v>2.7282426459381188E-2</v>
      </c>
    </row>
    <row r="6131" spans="1:2">
      <c r="A6131">
        <v>6130</v>
      </c>
      <c r="B6131" s="119">
        <v>0.36061575979271449</v>
      </c>
    </row>
    <row r="6132" spans="1:2">
      <c r="A6132">
        <v>6131</v>
      </c>
      <c r="B6132" s="119">
        <v>0.6939490931260478</v>
      </c>
    </row>
    <row r="6133" spans="1:2">
      <c r="A6133">
        <v>6132</v>
      </c>
      <c r="B6133" s="119">
        <v>0.1383935375704923</v>
      </c>
    </row>
    <row r="6134" spans="1:2">
      <c r="A6134">
        <v>6133</v>
      </c>
      <c r="B6134" s="119">
        <v>0.47172687090382559</v>
      </c>
    </row>
    <row r="6135" spans="1:2">
      <c r="A6135">
        <v>6134</v>
      </c>
      <c r="B6135" s="119">
        <v>0.80506020423715885</v>
      </c>
    </row>
    <row r="6136" spans="1:2">
      <c r="A6136">
        <v>6135</v>
      </c>
      <c r="B6136" s="119">
        <v>0.24950464868160341</v>
      </c>
    </row>
    <row r="6137" spans="1:2">
      <c r="A6137">
        <v>6136</v>
      </c>
      <c r="B6137" s="119">
        <v>0.58283798201493675</v>
      </c>
    </row>
    <row r="6138" spans="1:2">
      <c r="A6138">
        <v>6137</v>
      </c>
      <c r="B6138" s="119">
        <v>0.91617131534827001</v>
      </c>
    </row>
    <row r="6139" spans="1:2">
      <c r="A6139">
        <v>6138</v>
      </c>
      <c r="B6139" s="119">
        <v>6.4319463496418233E-2</v>
      </c>
    </row>
    <row r="6140" spans="1:2">
      <c r="A6140">
        <v>6139</v>
      </c>
      <c r="B6140" s="119">
        <v>0.39765279682975152</v>
      </c>
    </row>
    <row r="6141" spans="1:2">
      <c r="A6141">
        <v>6140</v>
      </c>
      <c r="B6141" s="119">
        <v>0.73098613016308489</v>
      </c>
    </row>
    <row r="6142" spans="1:2">
      <c r="A6142">
        <v>6141</v>
      </c>
      <c r="B6142" s="119">
        <v>0.17543057460752934</v>
      </c>
    </row>
    <row r="6143" spans="1:2">
      <c r="A6143">
        <v>6142</v>
      </c>
      <c r="B6143" s="119">
        <v>0.50876390794086268</v>
      </c>
    </row>
    <row r="6144" spans="1:2">
      <c r="A6144">
        <v>6143</v>
      </c>
      <c r="B6144" s="119">
        <v>0.84209724127419583</v>
      </c>
    </row>
    <row r="6145" spans="1:2">
      <c r="A6145">
        <v>6144</v>
      </c>
      <c r="B6145" s="119">
        <v>0.28654168571864042</v>
      </c>
    </row>
    <row r="6146" spans="1:2">
      <c r="A6146">
        <v>6145</v>
      </c>
      <c r="B6146" s="119">
        <v>0.61987501905197373</v>
      </c>
    </row>
    <row r="6147" spans="1:2">
      <c r="A6147">
        <v>6146</v>
      </c>
      <c r="B6147" s="119">
        <v>0.95320835238530699</v>
      </c>
    </row>
    <row r="6148" spans="1:2">
      <c r="A6148">
        <v>6147</v>
      </c>
      <c r="B6148" s="119">
        <v>0.10135650053345527</v>
      </c>
    </row>
    <row r="6149" spans="1:2">
      <c r="A6149">
        <v>6148</v>
      </c>
      <c r="B6149" s="119">
        <v>0.43468983386678856</v>
      </c>
    </row>
    <row r="6150" spans="1:2">
      <c r="A6150">
        <v>6149</v>
      </c>
      <c r="B6150" s="119">
        <v>0.76802316720012187</v>
      </c>
    </row>
    <row r="6151" spans="1:2">
      <c r="A6151">
        <v>6150</v>
      </c>
      <c r="B6151" s="119">
        <v>0.21246761164456637</v>
      </c>
    </row>
    <row r="6152" spans="1:2">
      <c r="A6152">
        <v>6151</v>
      </c>
      <c r="B6152" s="119">
        <v>0.54580094497789966</v>
      </c>
    </row>
    <row r="6153" spans="1:2">
      <c r="A6153">
        <v>6152</v>
      </c>
      <c r="B6153" s="119">
        <v>0.87913427831123292</v>
      </c>
    </row>
    <row r="6154" spans="1:2">
      <c r="A6154">
        <v>6153</v>
      </c>
      <c r="B6154" s="119">
        <v>0.32357872275567745</v>
      </c>
    </row>
    <row r="6155" spans="1:2">
      <c r="A6155">
        <v>6154</v>
      </c>
      <c r="B6155" s="119">
        <v>0.65691205608901082</v>
      </c>
    </row>
    <row r="6156" spans="1:2">
      <c r="A6156">
        <v>6155</v>
      </c>
      <c r="B6156" s="119">
        <v>0.99024538942234408</v>
      </c>
    </row>
    <row r="6157" spans="1:2">
      <c r="A6157">
        <v>6156</v>
      </c>
      <c r="B6157" s="119">
        <v>6.7062947721383938E-3</v>
      </c>
    </row>
    <row r="6158" spans="1:2">
      <c r="A6158">
        <v>6157</v>
      </c>
      <c r="B6158" s="119">
        <v>0.34003962810547167</v>
      </c>
    </row>
    <row r="6159" spans="1:2">
      <c r="A6159">
        <v>6158</v>
      </c>
      <c r="B6159" s="119">
        <v>0.67337296143880498</v>
      </c>
    </row>
    <row r="6160" spans="1:2">
      <c r="A6160">
        <v>6159</v>
      </c>
      <c r="B6160" s="119">
        <v>0.1178174058832495</v>
      </c>
    </row>
    <row r="6161" spans="1:2">
      <c r="A6161">
        <v>6160</v>
      </c>
      <c r="B6161" s="119">
        <v>0.45115073921658277</v>
      </c>
    </row>
    <row r="6162" spans="1:2">
      <c r="A6162">
        <v>6161</v>
      </c>
      <c r="B6162" s="119">
        <v>0.78448407254991603</v>
      </c>
    </row>
    <row r="6163" spans="1:2">
      <c r="A6163">
        <v>6162</v>
      </c>
      <c r="B6163" s="119">
        <v>0.22892851699436062</v>
      </c>
    </row>
    <row r="6164" spans="1:2">
      <c r="A6164">
        <v>6163</v>
      </c>
      <c r="B6164" s="119">
        <v>0.56226185032769394</v>
      </c>
    </row>
    <row r="6165" spans="1:2">
      <c r="A6165">
        <v>6164</v>
      </c>
      <c r="B6165" s="119">
        <v>0.89559518366102719</v>
      </c>
    </row>
    <row r="6166" spans="1:2">
      <c r="A6166">
        <v>6165</v>
      </c>
      <c r="B6166" s="119">
        <v>4.3743331809175424E-2</v>
      </c>
    </row>
    <row r="6167" spans="1:2">
      <c r="A6167">
        <v>6166</v>
      </c>
      <c r="B6167" s="119">
        <v>0.3770766651425087</v>
      </c>
    </row>
    <row r="6168" spans="1:2">
      <c r="A6168">
        <v>6167</v>
      </c>
      <c r="B6168" s="119">
        <v>0.71040999847584207</v>
      </c>
    </row>
    <row r="6169" spans="1:2">
      <c r="A6169">
        <v>6168</v>
      </c>
      <c r="B6169" s="119">
        <v>0.15485444292028655</v>
      </c>
    </row>
    <row r="6170" spans="1:2">
      <c r="A6170">
        <v>6169</v>
      </c>
      <c r="B6170" s="119">
        <v>0.48818777625361981</v>
      </c>
    </row>
    <row r="6171" spans="1:2">
      <c r="A6171">
        <v>6170</v>
      </c>
      <c r="B6171" s="119">
        <v>0.82152110958695301</v>
      </c>
    </row>
    <row r="6172" spans="1:2">
      <c r="A6172">
        <v>6171</v>
      </c>
      <c r="B6172" s="119">
        <v>0.2659655540313976</v>
      </c>
    </row>
    <row r="6173" spans="1:2">
      <c r="A6173">
        <v>6172</v>
      </c>
      <c r="B6173" s="119">
        <v>0.59929888736473091</v>
      </c>
    </row>
    <row r="6174" spans="1:2">
      <c r="A6174">
        <v>6173</v>
      </c>
      <c r="B6174" s="119">
        <v>0.93263222069806417</v>
      </c>
    </row>
    <row r="6175" spans="1:2">
      <c r="A6175">
        <v>6174</v>
      </c>
      <c r="B6175" s="119">
        <v>8.0780368846212466E-2</v>
      </c>
    </row>
    <row r="6176" spans="1:2">
      <c r="A6176">
        <v>6175</v>
      </c>
      <c r="B6176" s="119">
        <v>0.41411370217954574</v>
      </c>
    </row>
    <row r="6177" spans="1:2">
      <c r="A6177">
        <v>6176</v>
      </c>
      <c r="B6177" s="119">
        <v>0.74744703551287905</v>
      </c>
    </row>
    <row r="6178" spans="1:2">
      <c r="A6178">
        <v>6177</v>
      </c>
      <c r="B6178" s="119">
        <v>0.19189147995732359</v>
      </c>
    </row>
    <row r="6179" spans="1:2">
      <c r="A6179">
        <v>6178</v>
      </c>
      <c r="B6179" s="119">
        <v>0.52522481329065684</v>
      </c>
    </row>
    <row r="6180" spans="1:2">
      <c r="A6180">
        <v>6179</v>
      </c>
      <c r="B6180" s="119">
        <v>0.8585581466239901</v>
      </c>
    </row>
    <row r="6181" spans="1:2">
      <c r="A6181">
        <v>6180</v>
      </c>
      <c r="B6181" s="119">
        <v>0.30300259106843463</v>
      </c>
    </row>
    <row r="6182" spans="1:2">
      <c r="A6182">
        <v>6181</v>
      </c>
      <c r="B6182" s="119">
        <v>0.636335924401768</v>
      </c>
    </row>
    <row r="6183" spans="1:2">
      <c r="A6183">
        <v>6182</v>
      </c>
      <c r="B6183" s="119">
        <v>0.96966925773510126</v>
      </c>
    </row>
    <row r="6184" spans="1:2">
      <c r="A6184">
        <v>6183</v>
      </c>
      <c r="B6184" s="119">
        <v>1.9051973784484071E-2</v>
      </c>
    </row>
    <row r="6185" spans="1:2">
      <c r="A6185">
        <v>6184</v>
      </c>
      <c r="B6185" s="119">
        <v>0.35238530711781735</v>
      </c>
    </row>
    <row r="6186" spans="1:2">
      <c r="A6186">
        <v>6185</v>
      </c>
      <c r="B6186" s="119">
        <v>0.68571864045115061</v>
      </c>
    </row>
    <row r="6187" spans="1:2">
      <c r="A6187">
        <v>6186</v>
      </c>
      <c r="B6187" s="119">
        <v>0.13016308489559519</v>
      </c>
    </row>
    <row r="6188" spans="1:2">
      <c r="A6188">
        <v>6187</v>
      </c>
      <c r="B6188" s="119">
        <v>0.46349641822892845</v>
      </c>
    </row>
    <row r="6189" spans="1:2">
      <c r="A6189">
        <v>6188</v>
      </c>
      <c r="B6189" s="119">
        <v>0.79682975156226177</v>
      </c>
    </row>
    <row r="6190" spans="1:2">
      <c r="A6190">
        <v>6189</v>
      </c>
      <c r="B6190" s="119">
        <v>0.2412741960067063</v>
      </c>
    </row>
    <row r="6191" spans="1:2">
      <c r="A6191">
        <v>6190</v>
      </c>
      <c r="B6191" s="119">
        <v>0.57460752934003967</v>
      </c>
    </row>
    <row r="6192" spans="1:2">
      <c r="A6192">
        <v>6191</v>
      </c>
      <c r="B6192" s="119">
        <v>0.90794086267337293</v>
      </c>
    </row>
    <row r="6193" spans="1:2">
      <c r="A6193">
        <v>6192</v>
      </c>
      <c r="B6193" s="119">
        <v>5.6089010821521103E-2</v>
      </c>
    </row>
    <row r="6194" spans="1:2">
      <c r="A6194">
        <v>6193</v>
      </c>
      <c r="B6194" s="119">
        <v>0.38942234415485438</v>
      </c>
    </row>
    <row r="6195" spans="1:2">
      <c r="A6195">
        <v>6194</v>
      </c>
      <c r="B6195" s="119">
        <v>0.72275567748818781</v>
      </c>
    </row>
    <row r="6196" spans="1:2">
      <c r="A6196">
        <v>6195</v>
      </c>
      <c r="B6196" s="119">
        <v>0.16720012193263223</v>
      </c>
    </row>
    <row r="6197" spans="1:2">
      <c r="A6197">
        <v>6196</v>
      </c>
      <c r="B6197" s="119">
        <v>0.50053345526596549</v>
      </c>
    </row>
    <row r="6198" spans="1:2">
      <c r="A6198">
        <v>6197</v>
      </c>
      <c r="B6198" s="119">
        <v>0.83386678859929875</v>
      </c>
    </row>
    <row r="6199" spans="1:2">
      <c r="A6199">
        <v>6198</v>
      </c>
      <c r="B6199" s="119">
        <v>0.27831123304374328</v>
      </c>
    </row>
    <row r="6200" spans="1:2">
      <c r="A6200">
        <v>6199</v>
      </c>
      <c r="B6200" s="119">
        <v>0.61164456637707665</v>
      </c>
    </row>
    <row r="6201" spans="1:2">
      <c r="A6201">
        <v>6200</v>
      </c>
      <c r="B6201" s="119">
        <v>0.94497789971040991</v>
      </c>
    </row>
    <row r="6202" spans="1:2">
      <c r="A6202">
        <v>6201</v>
      </c>
      <c r="B6202" s="119">
        <v>9.3126047858558145E-2</v>
      </c>
    </row>
    <row r="6203" spans="1:2">
      <c r="A6203">
        <v>6202</v>
      </c>
      <c r="B6203" s="119">
        <v>0.42645938119189142</v>
      </c>
    </row>
    <row r="6204" spans="1:2">
      <c r="A6204">
        <v>6203</v>
      </c>
      <c r="B6204" s="119">
        <v>0.75979271452522479</v>
      </c>
    </row>
    <row r="6205" spans="1:2">
      <c r="A6205">
        <v>6204</v>
      </c>
      <c r="B6205" s="119">
        <v>0.20423715896966926</v>
      </c>
    </row>
    <row r="6206" spans="1:2">
      <c r="A6206">
        <v>6205</v>
      </c>
      <c r="B6206" s="119">
        <v>0.53757049230300247</v>
      </c>
    </row>
    <row r="6207" spans="1:2">
      <c r="A6207">
        <v>6206</v>
      </c>
      <c r="B6207" s="119">
        <v>0.87090382563633573</v>
      </c>
    </row>
    <row r="6208" spans="1:2">
      <c r="A6208">
        <v>6207</v>
      </c>
      <c r="B6208" s="119">
        <v>0.31534827008078031</v>
      </c>
    </row>
    <row r="6209" spans="1:2">
      <c r="A6209">
        <v>6208</v>
      </c>
      <c r="B6209" s="119">
        <v>0.64868160341411363</v>
      </c>
    </row>
    <row r="6210" spans="1:2">
      <c r="A6210">
        <v>6209</v>
      </c>
      <c r="B6210" s="119">
        <v>0.98201493674744689</v>
      </c>
    </row>
    <row r="6211" spans="1:2">
      <c r="A6211">
        <v>6210</v>
      </c>
      <c r="B6211" s="119">
        <v>3.1397652796829753E-2</v>
      </c>
    </row>
    <row r="6212" spans="1:2">
      <c r="A6212">
        <v>6211</v>
      </c>
      <c r="B6212" s="119">
        <v>0.36473098613016303</v>
      </c>
    </row>
    <row r="6213" spans="1:2">
      <c r="A6213">
        <v>6212</v>
      </c>
      <c r="B6213" s="119">
        <v>0.69806431946349634</v>
      </c>
    </row>
    <row r="6214" spans="1:2">
      <c r="A6214">
        <v>6213</v>
      </c>
      <c r="B6214" s="119">
        <v>0.14250876390794087</v>
      </c>
    </row>
    <row r="6215" spans="1:2">
      <c r="A6215">
        <v>6214</v>
      </c>
      <c r="B6215" s="119">
        <v>0.47584209724127413</v>
      </c>
    </row>
    <row r="6216" spans="1:2">
      <c r="A6216">
        <v>6215</v>
      </c>
      <c r="B6216" s="119">
        <v>0.80917543057460739</v>
      </c>
    </row>
    <row r="6217" spans="1:2">
      <c r="A6217">
        <v>6216</v>
      </c>
      <c r="B6217" s="119">
        <v>0.25361987501905192</v>
      </c>
    </row>
    <row r="6218" spans="1:2">
      <c r="A6218">
        <v>6217</v>
      </c>
      <c r="B6218" s="119">
        <v>0.58695320835238529</v>
      </c>
    </row>
    <row r="6219" spans="1:2">
      <c r="A6219">
        <v>6218</v>
      </c>
      <c r="B6219" s="119">
        <v>0.92028654168571855</v>
      </c>
    </row>
    <row r="6220" spans="1:2">
      <c r="A6220">
        <v>6219</v>
      </c>
      <c r="B6220" s="119">
        <v>6.8434689833866788E-2</v>
      </c>
    </row>
    <row r="6221" spans="1:2">
      <c r="A6221">
        <v>6220</v>
      </c>
      <c r="B6221" s="119">
        <v>0.40176802316720006</v>
      </c>
    </row>
    <row r="6222" spans="1:2">
      <c r="A6222">
        <v>6221</v>
      </c>
      <c r="B6222" s="119">
        <v>0.73510135650053343</v>
      </c>
    </row>
    <row r="6223" spans="1:2">
      <c r="A6223">
        <v>6222</v>
      </c>
      <c r="B6223" s="119">
        <v>0.17954580094497791</v>
      </c>
    </row>
    <row r="6224" spans="1:2">
      <c r="A6224">
        <v>6223</v>
      </c>
      <c r="B6224" s="119">
        <v>0.51287913427831122</v>
      </c>
    </row>
    <row r="6225" spans="1:2">
      <c r="A6225">
        <v>6224</v>
      </c>
      <c r="B6225" s="119">
        <v>0.84621246761164437</v>
      </c>
    </row>
    <row r="6226" spans="1:2">
      <c r="A6226">
        <v>6225</v>
      </c>
      <c r="B6226" s="119">
        <v>0.29065691205608896</v>
      </c>
    </row>
    <row r="6227" spans="1:2">
      <c r="A6227">
        <v>6226</v>
      </c>
      <c r="B6227" s="119">
        <v>0.62399024538942227</v>
      </c>
    </row>
    <row r="6228" spans="1:2">
      <c r="A6228">
        <v>6227</v>
      </c>
      <c r="B6228" s="119">
        <v>0.95732357872275553</v>
      </c>
    </row>
    <row r="6229" spans="1:2">
      <c r="A6229">
        <v>6228</v>
      </c>
      <c r="B6229" s="119">
        <v>0.10547172687090382</v>
      </c>
    </row>
    <row r="6230" spans="1:2">
      <c r="A6230">
        <v>6229</v>
      </c>
      <c r="B6230" s="119">
        <v>0.4388050602042371</v>
      </c>
    </row>
    <row r="6231" spans="1:2">
      <c r="A6231">
        <v>6230</v>
      </c>
      <c r="B6231" s="119">
        <v>0.77213839353757041</v>
      </c>
    </row>
    <row r="6232" spans="1:2">
      <c r="A6232">
        <v>6231</v>
      </c>
      <c r="B6232" s="119">
        <v>0.21658283798201494</v>
      </c>
    </row>
    <row r="6233" spans="1:2">
      <c r="A6233">
        <v>6232</v>
      </c>
      <c r="B6233" s="119">
        <v>0.5499161713153482</v>
      </c>
    </row>
    <row r="6234" spans="1:2">
      <c r="A6234">
        <v>6233</v>
      </c>
      <c r="B6234" s="119">
        <v>0.88324950464868146</v>
      </c>
    </row>
    <row r="6235" spans="1:2">
      <c r="A6235">
        <v>6234</v>
      </c>
      <c r="B6235" s="119">
        <v>0.32769394909312599</v>
      </c>
    </row>
    <row r="6236" spans="1:2">
      <c r="A6236">
        <v>6235</v>
      </c>
      <c r="B6236" s="119">
        <v>0.66102728242645936</v>
      </c>
    </row>
    <row r="6237" spans="1:2">
      <c r="A6237">
        <v>6236</v>
      </c>
      <c r="B6237" s="119">
        <v>0.99436061575979262</v>
      </c>
    </row>
    <row r="6238" spans="1:2">
      <c r="A6238">
        <v>6237</v>
      </c>
      <c r="B6238" s="119">
        <v>1.0821521109586955E-2</v>
      </c>
    </row>
    <row r="6239" spans="1:2">
      <c r="A6239">
        <v>6238</v>
      </c>
      <c r="B6239" s="119">
        <v>0.34415485444292027</v>
      </c>
    </row>
    <row r="6240" spans="1:2">
      <c r="A6240">
        <v>6239</v>
      </c>
      <c r="B6240" s="119">
        <v>0.67748818777625353</v>
      </c>
    </row>
    <row r="6241" spans="1:2">
      <c r="A6241">
        <v>6240</v>
      </c>
      <c r="B6241" s="119">
        <v>0.12193263222069807</v>
      </c>
    </row>
    <row r="6242" spans="1:2">
      <c r="A6242">
        <v>6241</v>
      </c>
      <c r="B6242" s="119">
        <v>0.45526596555403137</v>
      </c>
    </row>
    <row r="6243" spans="1:2">
      <c r="A6243">
        <v>6242</v>
      </c>
      <c r="B6243" s="119">
        <v>0.78859929888736457</v>
      </c>
    </row>
    <row r="6244" spans="1:2">
      <c r="A6244">
        <v>6243</v>
      </c>
      <c r="B6244" s="119">
        <v>0.23304374333180916</v>
      </c>
    </row>
    <row r="6245" spans="1:2">
      <c r="A6245">
        <v>6244</v>
      </c>
      <c r="B6245" s="119">
        <v>0.56637707666514248</v>
      </c>
    </row>
    <row r="6246" spans="1:2">
      <c r="A6246">
        <v>6245</v>
      </c>
      <c r="B6246" s="119">
        <v>0.89971040999847574</v>
      </c>
    </row>
    <row r="6247" spans="1:2">
      <c r="A6247">
        <v>6246</v>
      </c>
      <c r="B6247" s="119">
        <v>4.7858558146623986E-2</v>
      </c>
    </row>
    <row r="6248" spans="1:2">
      <c r="A6248">
        <v>6247</v>
      </c>
      <c r="B6248" s="119">
        <v>0.3811918914799573</v>
      </c>
    </row>
    <row r="6249" spans="1:2">
      <c r="A6249">
        <v>6248</v>
      </c>
      <c r="B6249" s="119">
        <v>0.71452522481329062</v>
      </c>
    </row>
    <row r="6250" spans="1:2">
      <c r="A6250">
        <v>6249</v>
      </c>
      <c r="B6250" s="119">
        <v>0.15896966925773509</v>
      </c>
    </row>
    <row r="6251" spans="1:2">
      <c r="A6251">
        <v>6250</v>
      </c>
      <c r="B6251" s="119">
        <v>0.49230300259106841</v>
      </c>
    </row>
    <row r="6252" spans="1:2">
      <c r="A6252">
        <v>6251</v>
      </c>
      <c r="B6252" s="119">
        <v>0.82563633592440155</v>
      </c>
    </row>
    <row r="6253" spans="1:2">
      <c r="A6253">
        <v>6252</v>
      </c>
      <c r="B6253" s="119">
        <v>0.2700807803688462</v>
      </c>
    </row>
    <row r="6254" spans="1:2">
      <c r="A6254">
        <v>6253</v>
      </c>
      <c r="B6254" s="119">
        <v>0.60341411370217946</v>
      </c>
    </row>
    <row r="6255" spans="1:2">
      <c r="A6255">
        <v>6254</v>
      </c>
      <c r="B6255" s="119">
        <v>0.93674744703551271</v>
      </c>
    </row>
    <row r="6256" spans="1:2">
      <c r="A6256">
        <v>6255</v>
      </c>
      <c r="B6256" s="119">
        <v>8.4895595183661035E-2</v>
      </c>
    </row>
    <row r="6257" spans="1:2">
      <c r="A6257">
        <v>6256</v>
      </c>
      <c r="B6257" s="119">
        <v>0.41822892851699434</v>
      </c>
    </row>
    <row r="6258" spans="1:2">
      <c r="A6258">
        <v>6257</v>
      </c>
      <c r="B6258" s="119">
        <v>0.7515622618503276</v>
      </c>
    </row>
    <row r="6259" spans="1:2">
      <c r="A6259">
        <v>6258</v>
      </c>
      <c r="B6259" s="119">
        <v>0.19600670629477213</v>
      </c>
    </row>
    <row r="6260" spans="1:2">
      <c r="A6260">
        <v>6259</v>
      </c>
      <c r="B6260" s="119">
        <v>0.52934003962810539</v>
      </c>
    </row>
    <row r="6261" spans="1:2">
      <c r="A6261">
        <v>6260</v>
      </c>
      <c r="B6261" s="119">
        <v>0.86267337296143864</v>
      </c>
    </row>
    <row r="6262" spans="1:2">
      <c r="A6262">
        <v>6261</v>
      </c>
      <c r="B6262" s="119">
        <v>0.30711781740588323</v>
      </c>
    </row>
    <row r="6263" spans="1:2">
      <c r="A6263">
        <v>6262</v>
      </c>
      <c r="B6263" s="119">
        <v>0.64045115073921655</v>
      </c>
    </row>
    <row r="6264" spans="1:2">
      <c r="A6264">
        <v>6263</v>
      </c>
      <c r="B6264" s="119">
        <v>0.97378448407254981</v>
      </c>
    </row>
    <row r="6265" spans="1:2">
      <c r="A6265">
        <v>6264</v>
      </c>
      <c r="B6265" s="119">
        <v>2.316720012193263E-2</v>
      </c>
    </row>
    <row r="6266" spans="1:2">
      <c r="A6266">
        <v>6265</v>
      </c>
      <c r="B6266" s="119">
        <v>0.35650053345526594</v>
      </c>
    </row>
    <row r="6267" spans="1:2">
      <c r="A6267">
        <v>6266</v>
      </c>
      <c r="B6267" s="119">
        <v>0.68983386678859915</v>
      </c>
    </row>
    <row r="6268" spans="1:2">
      <c r="A6268">
        <v>6267</v>
      </c>
      <c r="B6268" s="119">
        <v>0.13427831123304373</v>
      </c>
    </row>
    <row r="6269" spans="1:2">
      <c r="A6269">
        <v>6268</v>
      </c>
      <c r="B6269" s="119">
        <v>0.46761164456637705</v>
      </c>
    </row>
    <row r="6270" spans="1:2">
      <c r="A6270">
        <v>6269</v>
      </c>
      <c r="B6270" s="119">
        <v>0.80094497789971031</v>
      </c>
    </row>
    <row r="6271" spans="1:2">
      <c r="A6271">
        <v>6270</v>
      </c>
      <c r="B6271" s="119">
        <v>0.24538942234415484</v>
      </c>
    </row>
    <row r="6272" spans="1:2">
      <c r="A6272">
        <v>6271</v>
      </c>
      <c r="B6272" s="119">
        <v>0.57872275567748821</v>
      </c>
    </row>
    <row r="6273" spans="1:2">
      <c r="A6273">
        <v>6272</v>
      </c>
      <c r="B6273" s="119">
        <v>0.91205608901082147</v>
      </c>
    </row>
    <row r="6274" spans="1:2">
      <c r="A6274">
        <v>6273</v>
      </c>
      <c r="B6274" s="119">
        <v>6.0204237158969665E-2</v>
      </c>
    </row>
    <row r="6275" spans="1:2">
      <c r="A6275">
        <v>6274</v>
      </c>
      <c r="B6275" s="119">
        <v>0.39353757049230298</v>
      </c>
    </row>
    <row r="6276" spans="1:2">
      <c r="A6276">
        <v>6275</v>
      </c>
      <c r="B6276" s="119">
        <v>0.72687090382563635</v>
      </c>
    </row>
    <row r="6277" spans="1:2">
      <c r="A6277">
        <v>6276</v>
      </c>
      <c r="B6277" s="119">
        <v>0.17131534827008077</v>
      </c>
    </row>
    <row r="6278" spans="1:2">
      <c r="A6278">
        <v>6277</v>
      </c>
      <c r="B6278" s="119">
        <v>0.50464868160341403</v>
      </c>
    </row>
    <row r="6279" spans="1:2">
      <c r="A6279">
        <v>6278</v>
      </c>
      <c r="B6279" s="119">
        <v>0.83798201493674729</v>
      </c>
    </row>
    <row r="6280" spans="1:2">
      <c r="A6280">
        <v>6279</v>
      </c>
      <c r="B6280" s="119">
        <v>0.28242645938119187</v>
      </c>
    </row>
    <row r="6281" spans="1:2">
      <c r="A6281">
        <v>6280</v>
      </c>
      <c r="B6281" s="119">
        <v>0.61575979271452519</v>
      </c>
    </row>
    <row r="6282" spans="1:2">
      <c r="A6282">
        <v>6281</v>
      </c>
      <c r="B6282" s="119">
        <v>0.94909312604785845</v>
      </c>
    </row>
    <row r="6283" spans="1:2">
      <c r="A6283">
        <v>6282</v>
      </c>
      <c r="B6283" s="119">
        <v>9.7241274196006713E-2</v>
      </c>
    </row>
    <row r="6284" spans="1:2">
      <c r="A6284">
        <v>6283</v>
      </c>
      <c r="B6284" s="119">
        <v>0.43057460752934001</v>
      </c>
    </row>
    <row r="6285" spans="1:2">
      <c r="A6285">
        <v>6284</v>
      </c>
      <c r="B6285" s="119">
        <v>0.76390794086267333</v>
      </c>
    </row>
    <row r="6286" spans="1:2">
      <c r="A6286">
        <v>6285</v>
      </c>
      <c r="B6286" s="119">
        <v>0.2083523853071178</v>
      </c>
    </row>
    <row r="6287" spans="1:2">
      <c r="A6287">
        <v>6286</v>
      </c>
      <c r="B6287" s="119">
        <v>0.54168571864045101</v>
      </c>
    </row>
    <row r="6288" spans="1:2">
      <c r="A6288">
        <v>6287</v>
      </c>
      <c r="B6288" s="119">
        <v>0.87501905197378427</v>
      </c>
    </row>
    <row r="6289" spans="1:2">
      <c r="A6289">
        <v>6288</v>
      </c>
      <c r="B6289" s="119">
        <v>0.31946349641822891</v>
      </c>
    </row>
    <row r="6290" spans="1:2">
      <c r="A6290">
        <v>6289</v>
      </c>
      <c r="B6290" s="119">
        <v>0.65279682975156217</v>
      </c>
    </row>
    <row r="6291" spans="1:2">
      <c r="A6291">
        <v>6290</v>
      </c>
      <c r="B6291" s="119">
        <v>0.98613016308489543</v>
      </c>
    </row>
    <row r="6292" spans="1:2">
      <c r="A6292">
        <v>6291</v>
      </c>
      <c r="B6292" s="119">
        <v>3.5512879134278308E-2</v>
      </c>
    </row>
    <row r="6293" spans="1:2">
      <c r="A6293">
        <v>6292</v>
      </c>
      <c r="B6293" s="119">
        <v>0.36884621246761162</v>
      </c>
    </row>
    <row r="6294" spans="1:2">
      <c r="A6294">
        <v>6293</v>
      </c>
      <c r="B6294" s="119">
        <v>0.70217954580094488</v>
      </c>
    </row>
    <row r="6295" spans="1:2">
      <c r="A6295">
        <v>6294</v>
      </c>
      <c r="B6295" s="119">
        <v>0.14662399024538941</v>
      </c>
    </row>
    <row r="6296" spans="1:2">
      <c r="A6296">
        <v>6295</v>
      </c>
      <c r="B6296" s="119">
        <v>0.47995732357872273</v>
      </c>
    </row>
    <row r="6297" spans="1:2">
      <c r="A6297">
        <v>6296</v>
      </c>
      <c r="B6297" s="119">
        <v>0.81329065691205593</v>
      </c>
    </row>
    <row r="6298" spans="1:2">
      <c r="A6298">
        <v>6297</v>
      </c>
      <c r="B6298" s="119">
        <v>0.25773510135650052</v>
      </c>
    </row>
    <row r="6299" spans="1:2">
      <c r="A6299">
        <v>6298</v>
      </c>
      <c r="B6299" s="119">
        <v>0.59106843468983383</v>
      </c>
    </row>
    <row r="6300" spans="1:2">
      <c r="A6300">
        <v>6299</v>
      </c>
      <c r="B6300" s="119">
        <v>0.92440176802316709</v>
      </c>
    </row>
    <row r="6301" spans="1:2">
      <c r="A6301">
        <v>6300</v>
      </c>
      <c r="B6301" s="119">
        <v>7.2549916171315357E-2</v>
      </c>
    </row>
    <row r="6302" spans="1:2">
      <c r="A6302">
        <v>6301</v>
      </c>
      <c r="B6302" s="119">
        <v>0.40588324950464866</v>
      </c>
    </row>
    <row r="6303" spans="1:2">
      <c r="A6303">
        <v>6302</v>
      </c>
      <c r="B6303" s="119">
        <v>0.73921658283798197</v>
      </c>
    </row>
    <row r="6304" spans="1:2">
      <c r="A6304">
        <v>6303</v>
      </c>
      <c r="B6304" s="119">
        <v>0.18366102728242645</v>
      </c>
    </row>
    <row r="6305" spans="1:2">
      <c r="A6305">
        <v>6304</v>
      </c>
      <c r="B6305" s="119">
        <v>0.51699436061575976</v>
      </c>
    </row>
    <row r="6306" spans="1:2">
      <c r="A6306">
        <v>6305</v>
      </c>
      <c r="B6306" s="119">
        <v>0.85032769394909291</v>
      </c>
    </row>
    <row r="6307" spans="1:2">
      <c r="A6307">
        <v>6306</v>
      </c>
      <c r="B6307" s="119">
        <v>0.29477213839353755</v>
      </c>
    </row>
    <row r="6308" spans="1:2">
      <c r="A6308">
        <v>6307</v>
      </c>
      <c r="B6308" s="119">
        <v>0.62810547172687081</v>
      </c>
    </row>
    <row r="6309" spans="1:2">
      <c r="A6309">
        <v>6308</v>
      </c>
      <c r="B6309" s="119">
        <v>0.96143880506020407</v>
      </c>
    </row>
    <row r="6310" spans="1:2">
      <c r="A6310">
        <v>6309</v>
      </c>
      <c r="B6310" s="119">
        <v>0.10958695320835239</v>
      </c>
    </row>
    <row r="6311" spans="1:2">
      <c r="A6311">
        <v>6310</v>
      </c>
      <c r="B6311" s="119">
        <v>0.44292028654168569</v>
      </c>
    </row>
    <row r="6312" spans="1:2">
      <c r="A6312">
        <v>6311</v>
      </c>
      <c r="B6312" s="119">
        <v>0.77625361987501895</v>
      </c>
    </row>
    <row r="6313" spans="1:2">
      <c r="A6313">
        <v>6312</v>
      </c>
      <c r="B6313" s="119">
        <v>0.22069806431946348</v>
      </c>
    </row>
    <row r="6314" spans="1:2">
      <c r="A6314">
        <v>6313</v>
      </c>
      <c r="B6314" s="119">
        <v>0.55403139765279674</v>
      </c>
    </row>
    <row r="6315" spans="1:2">
      <c r="A6315">
        <v>6314</v>
      </c>
      <c r="B6315" s="119">
        <v>0.88736473098613</v>
      </c>
    </row>
    <row r="6316" spans="1:2">
      <c r="A6316">
        <v>6315</v>
      </c>
      <c r="B6316" s="119">
        <v>0.33180917543057459</v>
      </c>
    </row>
    <row r="6317" spans="1:2">
      <c r="A6317">
        <v>6316</v>
      </c>
      <c r="B6317" s="119">
        <v>0.6651425087639079</v>
      </c>
    </row>
    <row r="6318" spans="1:2">
      <c r="A6318">
        <v>6317</v>
      </c>
      <c r="B6318" s="119">
        <v>0.99847584209724116</v>
      </c>
    </row>
    <row r="6319" spans="1:2">
      <c r="A6319">
        <v>6318</v>
      </c>
      <c r="B6319" s="119">
        <v>3.9628105471726871E-3</v>
      </c>
    </row>
    <row r="6320" spans="1:2">
      <c r="A6320">
        <v>6319</v>
      </c>
      <c r="B6320" s="119">
        <v>0.33729614388050599</v>
      </c>
    </row>
    <row r="6321" spans="1:2">
      <c r="A6321">
        <v>6320</v>
      </c>
      <c r="B6321" s="119">
        <v>0.67062947721383936</v>
      </c>
    </row>
    <row r="6322" spans="1:2">
      <c r="A6322">
        <v>6321</v>
      </c>
      <c r="B6322" s="119">
        <v>0.1150739216582838</v>
      </c>
    </row>
    <row r="6323" spans="1:2">
      <c r="A6323">
        <v>6322</v>
      </c>
      <c r="B6323" s="119">
        <v>0.4484072549916171</v>
      </c>
    </row>
    <row r="6324" spans="1:2">
      <c r="A6324">
        <v>6323</v>
      </c>
      <c r="B6324" s="119">
        <v>0.78174058832495041</v>
      </c>
    </row>
    <row r="6325" spans="1:2">
      <c r="A6325">
        <v>6324</v>
      </c>
      <c r="B6325" s="119">
        <v>0.22618503276939489</v>
      </c>
    </row>
    <row r="6326" spans="1:2">
      <c r="A6326">
        <v>6325</v>
      </c>
      <c r="B6326" s="119">
        <v>0.55951836610272832</v>
      </c>
    </row>
    <row r="6327" spans="1:2">
      <c r="A6327">
        <v>6326</v>
      </c>
      <c r="B6327" s="119">
        <v>0.89285169943606157</v>
      </c>
    </row>
    <row r="6328" spans="1:2">
      <c r="A6328">
        <v>6327</v>
      </c>
      <c r="B6328" s="119">
        <v>4.0999847584209714E-2</v>
      </c>
    </row>
    <row r="6329" spans="1:2">
      <c r="A6329">
        <v>6328</v>
      </c>
      <c r="B6329" s="119">
        <v>0.37433318091754303</v>
      </c>
    </row>
    <row r="6330" spans="1:2">
      <c r="A6330">
        <v>6329</v>
      </c>
      <c r="B6330" s="119">
        <v>0.70766651425087645</v>
      </c>
    </row>
    <row r="6331" spans="1:2">
      <c r="A6331">
        <v>6330</v>
      </c>
      <c r="B6331" s="119">
        <v>0.15211095869532082</v>
      </c>
    </row>
    <row r="6332" spans="1:2">
      <c r="A6332">
        <v>6331</v>
      </c>
      <c r="B6332" s="119">
        <v>0.48544429202865413</v>
      </c>
    </row>
    <row r="6333" spans="1:2">
      <c r="A6333">
        <v>6332</v>
      </c>
      <c r="B6333" s="119">
        <v>0.81877762536198739</v>
      </c>
    </row>
    <row r="6334" spans="1:2">
      <c r="A6334">
        <v>6333</v>
      </c>
      <c r="B6334" s="119">
        <v>0.26322206980643192</v>
      </c>
    </row>
    <row r="6335" spans="1:2">
      <c r="A6335">
        <v>6334</v>
      </c>
      <c r="B6335" s="119">
        <v>0.59655540313976529</v>
      </c>
    </row>
    <row r="6336" spans="1:2">
      <c r="A6336">
        <v>6335</v>
      </c>
      <c r="B6336" s="119">
        <v>0.92988873647309855</v>
      </c>
    </row>
    <row r="6337" spans="1:2">
      <c r="A6337">
        <v>6336</v>
      </c>
      <c r="B6337" s="119">
        <v>7.8036884621246763E-2</v>
      </c>
    </row>
    <row r="6338" spans="1:2">
      <c r="A6338">
        <v>6337</v>
      </c>
      <c r="B6338" s="119">
        <v>0.41137021795458006</v>
      </c>
    </row>
    <row r="6339" spans="1:2">
      <c r="A6339">
        <v>6338</v>
      </c>
      <c r="B6339" s="119">
        <v>0.74470355128791343</v>
      </c>
    </row>
    <row r="6340" spans="1:2">
      <c r="A6340">
        <v>6339</v>
      </c>
      <c r="B6340" s="119">
        <v>0.18914799573235785</v>
      </c>
    </row>
    <row r="6341" spans="1:2">
      <c r="A6341">
        <v>6340</v>
      </c>
      <c r="B6341" s="119">
        <v>0.52248132906569122</v>
      </c>
    </row>
    <row r="6342" spans="1:2">
      <c r="A6342">
        <v>6341</v>
      </c>
      <c r="B6342" s="119">
        <v>0.85581466239902448</v>
      </c>
    </row>
    <row r="6343" spans="1:2">
      <c r="A6343">
        <v>6342</v>
      </c>
      <c r="B6343" s="119">
        <v>0.30025910684346896</v>
      </c>
    </row>
    <row r="6344" spans="1:2">
      <c r="A6344">
        <v>6343</v>
      </c>
      <c r="B6344" s="119">
        <v>0.63359244017680239</v>
      </c>
    </row>
    <row r="6345" spans="1:2">
      <c r="A6345">
        <v>6344</v>
      </c>
      <c r="B6345" s="119">
        <v>0.96692577351013564</v>
      </c>
    </row>
    <row r="6346" spans="1:2">
      <c r="A6346">
        <v>6345</v>
      </c>
      <c r="B6346" s="119">
        <v>1.6308489559518365E-2</v>
      </c>
    </row>
    <row r="6347" spans="1:2">
      <c r="A6347">
        <v>6346</v>
      </c>
      <c r="B6347" s="119">
        <v>0.34964182289285167</v>
      </c>
    </row>
    <row r="6348" spans="1:2">
      <c r="A6348">
        <v>6347</v>
      </c>
      <c r="B6348" s="119">
        <v>0.68297515622618499</v>
      </c>
    </row>
    <row r="6349" spans="1:2">
      <c r="A6349">
        <v>6348</v>
      </c>
      <c r="B6349" s="119">
        <v>0.12741960067062946</v>
      </c>
    </row>
    <row r="6350" spans="1:2">
      <c r="A6350">
        <v>6349</v>
      </c>
      <c r="B6350" s="119">
        <v>0.46075293400396278</v>
      </c>
    </row>
    <row r="6351" spans="1:2">
      <c r="A6351">
        <v>6350</v>
      </c>
      <c r="B6351" s="119">
        <v>0.79408626733729615</v>
      </c>
    </row>
    <row r="6352" spans="1:2">
      <c r="A6352">
        <v>6351</v>
      </c>
      <c r="B6352" s="119">
        <v>0.23853071178174057</v>
      </c>
    </row>
    <row r="6353" spans="1:2">
      <c r="A6353">
        <v>6352</v>
      </c>
      <c r="B6353" s="119">
        <v>0.57186404511507405</v>
      </c>
    </row>
    <row r="6354" spans="1:2">
      <c r="A6354">
        <v>6353</v>
      </c>
      <c r="B6354" s="119">
        <v>0.90519737844840731</v>
      </c>
    </row>
    <row r="6355" spans="1:2">
      <c r="A6355">
        <v>6354</v>
      </c>
      <c r="B6355" s="119">
        <v>5.3345526596555393E-2</v>
      </c>
    </row>
    <row r="6356" spans="1:2">
      <c r="A6356">
        <v>6355</v>
      </c>
      <c r="B6356" s="119">
        <v>0.38667885992988871</v>
      </c>
    </row>
    <row r="6357" spans="1:2">
      <c r="A6357">
        <v>6356</v>
      </c>
      <c r="B6357" s="119">
        <v>0.72001219326322219</v>
      </c>
    </row>
    <row r="6358" spans="1:2">
      <c r="A6358">
        <v>6357</v>
      </c>
      <c r="B6358" s="119">
        <v>0.1644566377076665</v>
      </c>
    </row>
    <row r="6359" spans="1:2">
      <c r="A6359">
        <v>6358</v>
      </c>
      <c r="B6359" s="119">
        <v>0.49778997104099981</v>
      </c>
    </row>
    <row r="6360" spans="1:2">
      <c r="A6360">
        <v>6359</v>
      </c>
      <c r="B6360" s="119">
        <v>0.83112330437433313</v>
      </c>
    </row>
    <row r="6361" spans="1:2">
      <c r="A6361">
        <v>6360</v>
      </c>
      <c r="B6361" s="119">
        <v>0.2755677488187776</v>
      </c>
    </row>
    <row r="6362" spans="1:2">
      <c r="A6362">
        <v>6361</v>
      </c>
      <c r="B6362" s="119">
        <v>0.60890108215211103</v>
      </c>
    </row>
    <row r="6363" spans="1:2">
      <c r="A6363">
        <v>6362</v>
      </c>
      <c r="B6363" s="119">
        <v>0.94223441548544429</v>
      </c>
    </row>
    <row r="6364" spans="1:2">
      <c r="A6364">
        <v>6363</v>
      </c>
      <c r="B6364" s="119">
        <v>9.0382563633592441E-2</v>
      </c>
    </row>
    <row r="6365" spans="1:2">
      <c r="A6365">
        <v>6364</v>
      </c>
      <c r="B6365" s="119">
        <v>0.42371589696692574</v>
      </c>
    </row>
    <row r="6366" spans="1:2">
      <c r="A6366">
        <v>6365</v>
      </c>
      <c r="B6366" s="119">
        <v>0.75704923030025917</v>
      </c>
    </row>
    <row r="6367" spans="1:2">
      <c r="A6367">
        <v>6366</v>
      </c>
      <c r="B6367" s="119">
        <v>0.20149367474470353</v>
      </c>
    </row>
    <row r="6368" spans="1:2">
      <c r="A6368">
        <v>6367</v>
      </c>
      <c r="B6368" s="119">
        <v>0.53482700807803685</v>
      </c>
    </row>
    <row r="6369" spans="1:2">
      <c r="A6369">
        <v>6368</v>
      </c>
      <c r="B6369" s="119">
        <v>0.86816034141137011</v>
      </c>
    </row>
    <row r="6370" spans="1:2">
      <c r="A6370">
        <v>6369</v>
      </c>
      <c r="B6370" s="119">
        <v>0.31260478585581464</v>
      </c>
    </row>
    <row r="6371" spans="1:2">
      <c r="A6371">
        <v>6370</v>
      </c>
      <c r="B6371" s="119">
        <v>0.64593811918914801</v>
      </c>
    </row>
    <row r="6372" spans="1:2">
      <c r="A6372">
        <v>6371</v>
      </c>
      <c r="B6372" s="119">
        <v>0.97927145252248127</v>
      </c>
    </row>
    <row r="6373" spans="1:2">
      <c r="A6373">
        <v>6372</v>
      </c>
      <c r="B6373" s="119">
        <v>2.8654168571864043E-2</v>
      </c>
    </row>
    <row r="6374" spans="1:2">
      <c r="A6374">
        <v>6373</v>
      </c>
      <c r="B6374" s="119">
        <v>0.36198750190519735</v>
      </c>
    </row>
    <row r="6375" spans="1:2">
      <c r="A6375">
        <v>6374</v>
      </c>
      <c r="B6375" s="119">
        <v>0.69532083523853072</v>
      </c>
    </row>
    <row r="6376" spans="1:2">
      <c r="A6376">
        <v>6375</v>
      </c>
      <c r="B6376" s="119">
        <v>0.13976527968297514</v>
      </c>
    </row>
    <row r="6377" spans="1:2">
      <c r="A6377">
        <v>6376</v>
      </c>
      <c r="B6377" s="119">
        <v>0.47309861301630846</v>
      </c>
    </row>
    <row r="6378" spans="1:2">
      <c r="A6378">
        <v>6377</v>
      </c>
      <c r="B6378" s="119">
        <v>0.80643194634964177</v>
      </c>
    </row>
    <row r="6379" spans="1:2">
      <c r="A6379">
        <v>6378</v>
      </c>
      <c r="B6379" s="119">
        <v>0.25087639079408625</v>
      </c>
    </row>
    <row r="6380" spans="1:2">
      <c r="A6380">
        <v>6379</v>
      </c>
      <c r="B6380" s="119">
        <v>0.58420972412741967</v>
      </c>
    </row>
    <row r="6381" spans="1:2">
      <c r="A6381">
        <v>6380</v>
      </c>
      <c r="B6381" s="119">
        <v>0.91754305746075293</v>
      </c>
    </row>
    <row r="6382" spans="1:2">
      <c r="A6382">
        <v>6381</v>
      </c>
      <c r="B6382" s="119">
        <v>6.5691205608901085E-2</v>
      </c>
    </row>
    <row r="6383" spans="1:2">
      <c r="A6383">
        <v>6382</v>
      </c>
      <c r="B6383" s="119">
        <v>0.39902453894223439</v>
      </c>
    </row>
    <row r="6384" spans="1:2">
      <c r="A6384">
        <v>6383</v>
      </c>
      <c r="B6384" s="119">
        <v>0.73235787227556781</v>
      </c>
    </row>
    <row r="6385" spans="1:2">
      <c r="A6385">
        <v>6384</v>
      </c>
      <c r="B6385" s="119">
        <v>0.17680231672001218</v>
      </c>
    </row>
    <row r="6386" spans="1:2">
      <c r="A6386">
        <v>6385</v>
      </c>
      <c r="B6386" s="119">
        <v>0.5101356500533456</v>
      </c>
    </row>
    <row r="6387" spans="1:2">
      <c r="A6387">
        <v>6386</v>
      </c>
      <c r="B6387" s="119">
        <v>0.84346898338667875</v>
      </c>
    </row>
    <row r="6388" spans="1:2">
      <c r="A6388">
        <v>6387</v>
      </c>
      <c r="B6388" s="119">
        <v>0.28791342783112328</v>
      </c>
    </row>
    <row r="6389" spans="1:2">
      <c r="A6389">
        <v>6388</v>
      </c>
      <c r="B6389" s="119">
        <v>0.62124676116445665</v>
      </c>
    </row>
    <row r="6390" spans="1:2">
      <c r="A6390">
        <v>6389</v>
      </c>
      <c r="B6390" s="119">
        <v>0.95458009449778991</v>
      </c>
    </row>
    <row r="6391" spans="1:2">
      <c r="A6391">
        <v>6390</v>
      </c>
      <c r="B6391" s="119">
        <v>0.10272824264593812</v>
      </c>
    </row>
    <row r="6392" spans="1:2">
      <c r="A6392">
        <v>6391</v>
      </c>
      <c r="B6392" s="119">
        <v>0.43606157597927142</v>
      </c>
    </row>
    <row r="6393" spans="1:2">
      <c r="A6393">
        <v>6392</v>
      </c>
      <c r="B6393" s="119">
        <v>0.76939490931260479</v>
      </c>
    </row>
    <row r="6394" spans="1:2">
      <c r="A6394">
        <v>6393</v>
      </c>
      <c r="B6394" s="119">
        <v>0.21383935375704921</v>
      </c>
    </row>
    <row r="6395" spans="1:2">
      <c r="A6395">
        <v>6394</v>
      </c>
      <c r="B6395" s="119">
        <v>0.54717268709038258</v>
      </c>
    </row>
    <row r="6396" spans="1:2">
      <c r="A6396">
        <v>6395</v>
      </c>
      <c r="B6396" s="119">
        <v>0.88050602042371584</v>
      </c>
    </row>
    <row r="6397" spans="1:2">
      <c r="A6397">
        <v>6396</v>
      </c>
      <c r="B6397" s="119">
        <v>0.32495046486816032</v>
      </c>
    </row>
    <row r="6398" spans="1:2">
      <c r="A6398">
        <v>6397</v>
      </c>
      <c r="B6398" s="119">
        <v>0.65828379820149374</v>
      </c>
    </row>
    <row r="6399" spans="1:2">
      <c r="A6399">
        <v>6398</v>
      </c>
      <c r="B6399" s="119">
        <v>0.991617131534827</v>
      </c>
    </row>
    <row r="6400" spans="1:2">
      <c r="A6400">
        <v>6399</v>
      </c>
      <c r="B6400" s="119">
        <v>8.078036884621248E-3</v>
      </c>
    </row>
    <row r="6401" spans="1:2">
      <c r="A6401">
        <v>6400</v>
      </c>
      <c r="B6401" s="119">
        <v>0.34141137021795454</v>
      </c>
    </row>
    <row r="6402" spans="1:2">
      <c r="A6402">
        <v>6401</v>
      </c>
      <c r="B6402" s="119">
        <v>0.67474470355128791</v>
      </c>
    </row>
    <row r="6403" spans="1:2">
      <c r="A6403">
        <v>6402</v>
      </c>
      <c r="B6403" s="119">
        <v>0.11918914799573235</v>
      </c>
    </row>
    <row r="6404" spans="1:2">
      <c r="A6404">
        <v>6403</v>
      </c>
      <c r="B6404" s="119">
        <v>0.45252248132906564</v>
      </c>
    </row>
    <row r="6405" spans="1:2">
      <c r="A6405">
        <v>6404</v>
      </c>
      <c r="B6405" s="119">
        <v>0.78585581466239895</v>
      </c>
    </row>
    <row r="6406" spans="1:2">
      <c r="A6406">
        <v>6405</v>
      </c>
      <c r="B6406" s="119">
        <v>0.23030025910684346</v>
      </c>
    </row>
    <row r="6407" spans="1:2">
      <c r="A6407">
        <v>6406</v>
      </c>
      <c r="B6407" s="119">
        <v>0.56363359244017686</v>
      </c>
    </row>
    <row r="6408" spans="1:2">
      <c r="A6408">
        <v>6407</v>
      </c>
      <c r="B6408" s="119">
        <v>0.89696692577351012</v>
      </c>
    </row>
    <row r="6409" spans="1:2">
      <c r="A6409">
        <v>6408</v>
      </c>
      <c r="B6409" s="119">
        <v>4.5115073921658276E-2</v>
      </c>
    </row>
    <row r="6410" spans="1:2">
      <c r="A6410">
        <v>6409</v>
      </c>
      <c r="B6410" s="119">
        <v>0.37844840725499157</v>
      </c>
    </row>
    <row r="6411" spans="1:2">
      <c r="A6411">
        <v>6410</v>
      </c>
      <c r="B6411" s="119">
        <v>0.711781740588325</v>
      </c>
    </row>
    <row r="6412" spans="1:2">
      <c r="A6412">
        <v>6411</v>
      </c>
      <c r="B6412" s="119">
        <v>0.15622618503276939</v>
      </c>
    </row>
    <row r="6413" spans="1:2">
      <c r="A6413">
        <v>6412</v>
      </c>
      <c r="B6413" s="119">
        <v>0.48955951836610268</v>
      </c>
    </row>
    <row r="6414" spans="1:2">
      <c r="A6414">
        <v>6413</v>
      </c>
      <c r="B6414" s="119">
        <v>0.82289285169943593</v>
      </c>
    </row>
    <row r="6415" spans="1:2">
      <c r="A6415">
        <v>6414</v>
      </c>
      <c r="B6415" s="119">
        <v>0.26733729614388047</v>
      </c>
    </row>
    <row r="6416" spans="1:2">
      <c r="A6416">
        <v>6415</v>
      </c>
      <c r="B6416" s="119">
        <v>0.60067062947721384</v>
      </c>
    </row>
    <row r="6417" spans="1:2">
      <c r="A6417">
        <v>6416</v>
      </c>
      <c r="B6417" s="119">
        <v>0.93400396281054709</v>
      </c>
    </row>
    <row r="6418" spans="1:2">
      <c r="A6418">
        <v>6417</v>
      </c>
      <c r="B6418" s="119">
        <v>8.2152110958695318E-2</v>
      </c>
    </row>
    <row r="6419" spans="1:2">
      <c r="A6419">
        <v>6418</v>
      </c>
      <c r="B6419" s="119">
        <v>0.41548544429202861</v>
      </c>
    </row>
    <row r="6420" spans="1:2">
      <c r="A6420">
        <v>6419</v>
      </c>
      <c r="B6420" s="119">
        <v>0.74881877762536198</v>
      </c>
    </row>
    <row r="6421" spans="1:2">
      <c r="A6421">
        <v>6420</v>
      </c>
      <c r="B6421" s="119">
        <v>0.19326322206980642</v>
      </c>
    </row>
    <row r="6422" spans="1:2">
      <c r="A6422">
        <v>6421</v>
      </c>
      <c r="B6422" s="119">
        <v>0.52659655540313977</v>
      </c>
    </row>
    <row r="6423" spans="1:2">
      <c r="A6423">
        <v>6422</v>
      </c>
      <c r="B6423" s="119">
        <v>0.85992988873647302</v>
      </c>
    </row>
    <row r="6424" spans="1:2">
      <c r="A6424">
        <v>6423</v>
      </c>
      <c r="B6424" s="119">
        <v>0.3043743331809175</v>
      </c>
    </row>
    <row r="6425" spans="1:2">
      <c r="A6425">
        <v>6424</v>
      </c>
      <c r="B6425" s="119">
        <v>0.63770766651425093</v>
      </c>
    </row>
    <row r="6426" spans="1:2">
      <c r="A6426">
        <v>6425</v>
      </c>
      <c r="B6426" s="119">
        <v>0.97104099984758419</v>
      </c>
    </row>
    <row r="6427" spans="1:2">
      <c r="A6427">
        <v>6426</v>
      </c>
      <c r="B6427" s="119">
        <v>2.0423715896966926E-2</v>
      </c>
    </row>
    <row r="6428" spans="1:2">
      <c r="A6428">
        <v>6427</v>
      </c>
      <c r="B6428" s="119">
        <v>0.35375704923030021</v>
      </c>
    </row>
    <row r="6429" spans="1:2">
      <c r="A6429">
        <v>6428</v>
      </c>
      <c r="B6429" s="119">
        <v>0.68709038256363353</v>
      </c>
    </row>
    <row r="6430" spans="1:2">
      <c r="A6430">
        <v>6429</v>
      </c>
      <c r="B6430" s="119">
        <v>0.13153482700807803</v>
      </c>
    </row>
    <row r="6431" spans="1:2">
      <c r="A6431">
        <v>6430</v>
      </c>
      <c r="B6431" s="119">
        <v>0.46486816034141132</v>
      </c>
    </row>
    <row r="6432" spans="1:2">
      <c r="A6432">
        <v>6431</v>
      </c>
      <c r="B6432" s="119">
        <v>0.79820149367474469</v>
      </c>
    </row>
    <row r="6433" spans="1:2">
      <c r="A6433">
        <v>6432</v>
      </c>
      <c r="B6433" s="119">
        <v>0.24264593811918914</v>
      </c>
    </row>
    <row r="6434" spans="1:2">
      <c r="A6434">
        <v>6433</v>
      </c>
      <c r="B6434" s="119">
        <v>0.57597927145252259</v>
      </c>
    </row>
    <row r="6435" spans="1:2">
      <c r="A6435">
        <v>6434</v>
      </c>
      <c r="B6435" s="119">
        <v>0.90931260478585585</v>
      </c>
    </row>
    <row r="6436" spans="1:2">
      <c r="A6436">
        <v>6435</v>
      </c>
      <c r="B6436" s="119">
        <v>5.7460752934003954E-2</v>
      </c>
    </row>
    <row r="6437" spans="1:2">
      <c r="A6437">
        <v>6436</v>
      </c>
      <c r="B6437" s="119">
        <v>0.39079408626733725</v>
      </c>
    </row>
    <row r="6438" spans="1:2">
      <c r="A6438">
        <v>6437</v>
      </c>
      <c r="B6438" s="119">
        <v>0.72412741960067073</v>
      </c>
    </row>
    <row r="6439" spans="1:2">
      <c r="A6439">
        <v>6438</v>
      </c>
      <c r="B6439" s="119">
        <v>0.16857186404511507</v>
      </c>
    </row>
    <row r="6440" spans="1:2">
      <c r="A6440">
        <v>6439</v>
      </c>
      <c r="B6440" s="119">
        <v>0.50190519737844841</v>
      </c>
    </row>
    <row r="6441" spans="1:2">
      <c r="A6441">
        <v>6440</v>
      </c>
      <c r="B6441" s="119">
        <v>0.83523853071178167</v>
      </c>
    </row>
    <row r="6442" spans="1:2">
      <c r="A6442">
        <v>6441</v>
      </c>
      <c r="B6442" s="119">
        <v>0.27968297515622614</v>
      </c>
    </row>
    <row r="6443" spans="1:2">
      <c r="A6443">
        <v>6442</v>
      </c>
      <c r="B6443" s="119">
        <v>0.61301630848955957</v>
      </c>
    </row>
    <row r="6444" spans="1:2">
      <c r="A6444">
        <v>6443</v>
      </c>
      <c r="B6444" s="119">
        <v>0.94634964182289283</v>
      </c>
    </row>
    <row r="6445" spans="1:2">
      <c r="A6445">
        <v>6444</v>
      </c>
      <c r="B6445" s="119">
        <v>9.4497789971040996E-2</v>
      </c>
    </row>
    <row r="6446" spans="1:2">
      <c r="A6446">
        <v>6445</v>
      </c>
      <c r="B6446" s="119">
        <v>0.42783112330437428</v>
      </c>
    </row>
    <row r="6447" spans="1:2">
      <c r="A6447">
        <v>6446</v>
      </c>
      <c r="B6447" s="119">
        <v>0.76116445663770771</v>
      </c>
    </row>
    <row r="6448" spans="1:2">
      <c r="A6448">
        <v>6447</v>
      </c>
      <c r="B6448" s="119">
        <v>0.2056089010821521</v>
      </c>
    </row>
    <row r="6449" spans="1:2">
      <c r="A6449">
        <v>6448</v>
      </c>
      <c r="B6449" s="119">
        <v>0.53894223441548539</v>
      </c>
    </row>
    <row r="6450" spans="1:2">
      <c r="A6450">
        <v>6449</v>
      </c>
      <c r="B6450" s="119">
        <v>0.87227556774881865</v>
      </c>
    </row>
    <row r="6451" spans="1:2">
      <c r="A6451">
        <v>6450</v>
      </c>
      <c r="B6451" s="119">
        <v>0.31672001219326318</v>
      </c>
    </row>
    <row r="6452" spans="1:2">
      <c r="A6452">
        <v>6451</v>
      </c>
      <c r="B6452" s="119">
        <v>0.65005334552659655</v>
      </c>
    </row>
    <row r="6453" spans="1:2">
      <c r="A6453">
        <v>6452</v>
      </c>
      <c r="B6453" s="119">
        <v>0.98338667885992981</v>
      </c>
    </row>
    <row r="6454" spans="1:2">
      <c r="A6454">
        <v>6453</v>
      </c>
      <c r="B6454" s="119">
        <v>3.2769394909312598E-2</v>
      </c>
    </row>
    <row r="6455" spans="1:2">
      <c r="A6455">
        <v>6454</v>
      </c>
      <c r="B6455" s="119">
        <v>0.36610272824264589</v>
      </c>
    </row>
    <row r="6456" spans="1:2">
      <c r="A6456">
        <v>6455</v>
      </c>
      <c r="B6456" s="119">
        <v>0.69943606157597926</v>
      </c>
    </row>
    <row r="6457" spans="1:2">
      <c r="A6457">
        <v>6456</v>
      </c>
      <c r="B6457" s="119">
        <v>0.14388050602042371</v>
      </c>
    </row>
    <row r="6458" spans="1:2">
      <c r="A6458">
        <v>6457</v>
      </c>
      <c r="B6458" s="119">
        <v>0.477213839353757</v>
      </c>
    </row>
    <row r="6459" spans="1:2">
      <c r="A6459">
        <v>6458</v>
      </c>
      <c r="B6459" s="119">
        <v>0.81054717268709031</v>
      </c>
    </row>
    <row r="6460" spans="1:2">
      <c r="A6460">
        <v>6459</v>
      </c>
      <c r="B6460" s="119">
        <v>0.25499161713153479</v>
      </c>
    </row>
    <row r="6461" spans="1:2">
      <c r="A6461">
        <v>6460</v>
      </c>
      <c r="B6461" s="119">
        <v>0.58832495046486821</v>
      </c>
    </row>
    <row r="6462" spans="1:2">
      <c r="A6462">
        <v>6461</v>
      </c>
      <c r="B6462" s="119">
        <v>0.92165828379820147</v>
      </c>
    </row>
    <row r="6463" spans="1:2">
      <c r="A6463">
        <v>6462</v>
      </c>
      <c r="B6463" s="119">
        <v>6.980643194634964E-2</v>
      </c>
    </row>
    <row r="6464" spans="1:2">
      <c r="A6464">
        <v>6463</v>
      </c>
      <c r="B6464" s="119">
        <v>0.40313976527968293</v>
      </c>
    </row>
    <row r="6465" spans="1:2">
      <c r="A6465">
        <v>6464</v>
      </c>
      <c r="B6465" s="119">
        <v>0.73647309861301635</v>
      </c>
    </row>
    <row r="6466" spans="1:2">
      <c r="A6466">
        <v>6465</v>
      </c>
      <c r="B6466" s="119">
        <v>0.18091754305746074</v>
      </c>
    </row>
    <row r="6467" spans="1:2">
      <c r="A6467">
        <v>6466</v>
      </c>
      <c r="B6467" s="119">
        <v>0.51425087639079414</v>
      </c>
    </row>
    <row r="6468" spans="1:2">
      <c r="A6468">
        <v>6467</v>
      </c>
      <c r="B6468" s="119">
        <v>0.84758420972412729</v>
      </c>
    </row>
    <row r="6469" spans="1:2">
      <c r="A6469">
        <v>6468</v>
      </c>
      <c r="B6469" s="119">
        <v>0.29202865416857182</v>
      </c>
    </row>
    <row r="6470" spans="1:2">
      <c r="A6470">
        <v>6469</v>
      </c>
      <c r="B6470" s="119">
        <v>0.62536198750190519</v>
      </c>
    </row>
    <row r="6471" spans="1:2">
      <c r="A6471">
        <v>6470</v>
      </c>
      <c r="B6471" s="119">
        <v>0.95869532083523845</v>
      </c>
    </row>
    <row r="6472" spans="1:2">
      <c r="A6472">
        <v>6471</v>
      </c>
      <c r="B6472" s="119">
        <v>0.10684346898338667</v>
      </c>
    </row>
    <row r="6473" spans="1:2">
      <c r="A6473">
        <v>6472</v>
      </c>
      <c r="B6473" s="119">
        <v>0.44017680231671996</v>
      </c>
    </row>
    <row r="6474" spans="1:2">
      <c r="A6474">
        <v>6473</v>
      </c>
      <c r="B6474" s="119">
        <v>0.77351013565005333</v>
      </c>
    </row>
    <row r="6475" spans="1:2">
      <c r="A6475">
        <v>6474</v>
      </c>
      <c r="B6475" s="119">
        <v>0.21795458009449778</v>
      </c>
    </row>
    <row r="6476" spans="1:2">
      <c r="A6476">
        <v>6475</v>
      </c>
      <c r="B6476" s="119">
        <v>0.55128791342783112</v>
      </c>
    </row>
    <row r="6477" spans="1:2">
      <c r="A6477">
        <v>6476</v>
      </c>
      <c r="B6477" s="119">
        <v>0.88462124676116438</v>
      </c>
    </row>
    <row r="6478" spans="1:2">
      <c r="A6478">
        <v>6477</v>
      </c>
      <c r="B6478" s="119">
        <v>0.32906569120560886</v>
      </c>
    </row>
    <row r="6479" spans="1:2">
      <c r="A6479">
        <v>6478</v>
      </c>
      <c r="B6479" s="119">
        <v>0.66239902453894228</v>
      </c>
    </row>
    <row r="6480" spans="1:2">
      <c r="A6480">
        <v>6479</v>
      </c>
      <c r="B6480" s="119">
        <v>0.99573235787227554</v>
      </c>
    </row>
    <row r="6481" spans="1:2">
      <c r="A6481">
        <v>6480</v>
      </c>
      <c r="B6481" s="119">
        <v>1.2193263222069808E-2</v>
      </c>
    </row>
    <row r="6482" spans="1:2">
      <c r="A6482">
        <v>6481</v>
      </c>
      <c r="B6482" s="119">
        <v>0.34552659655540313</v>
      </c>
    </row>
    <row r="6483" spans="1:2">
      <c r="A6483">
        <v>6482</v>
      </c>
      <c r="B6483" s="119">
        <v>0.67885992988873645</v>
      </c>
    </row>
    <row r="6484" spans="1:2">
      <c r="A6484">
        <v>6483</v>
      </c>
      <c r="B6484" s="119">
        <v>0.12330437433318092</v>
      </c>
    </row>
    <row r="6485" spans="1:2">
      <c r="A6485">
        <v>6484</v>
      </c>
      <c r="B6485" s="119">
        <v>0.45663770766651424</v>
      </c>
    </row>
    <row r="6486" spans="1:2">
      <c r="A6486">
        <v>6485</v>
      </c>
      <c r="B6486" s="119">
        <v>0.7899710409998475</v>
      </c>
    </row>
    <row r="6487" spans="1:2">
      <c r="A6487">
        <v>6486</v>
      </c>
      <c r="B6487" s="119">
        <v>0.234415485444292</v>
      </c>
    </row>
    <row r="6488" spans="1:2">
      <c r="A6488">
        <v>6487</v>
      </c>
      <c r="B6488" s="119">
        <v>0.5677488187776254</v>
      </c>
    </row>
    <row r="6489" spans="1:2">
      <c r="A6489">
        <v>6488</v>
      </c>
      <c r="B6489" s="119">
        <v>0.90108215211095866</v>
      </c>
    </row>
    <row r="6490" spans="1:2">
      <c r="A6490">
        <v>6489</v>
      </c>
      <c r="B6490" s="119">
        <v>4.9230300259106838E-2</v>
      </c>
    </row>
    <row r="6491" spans="1:2">
      <c r="A6491">
        <v>6490</v>
      </c>
      <c r="B6491" s="119">
        <v>0.38256363359244017</v>
      </c>
    </row>
    <row r="6492" spans="1:2">
      <c r="A6492">
        <v>6491</v>
      </c>
      <c r="B6492" s="119">
        <v>0.71589696692577354</v>
      </c>
    </row>
    <row r="6493" spans="1:2">
      <c r="A6493">
        <v>6492</v>
      </c>
      <c r="B6493" s="119">
        <v>0.16034141137021793</v>
      </c>
    </row>
    <row r="6494" spans="1:2">
      <c r="A6494">
        <v>6493</v>
      </c>
      <c r="B6494" s="119">
        <v>0.49367474470355127</v>
      </c>
    </row>
    <row r="6495" spans="1:2">
      <c r="A6495">
        <v>6494</v>
      </c>
      <c r="B6495" s="119">
        <v>0.82700807803688448</v>
      </c>
    </row>
    <row r="6496" spans="1:2">
      <c r="A6496">
        <v>6495</v>
      </c>
      <c r="B6496" s="119">
        <v>0.27145252248132906</v>
      </c>
    </row>
    <row r="6497" spans="1:2">
      <c r="A6497">
        <v>6496</v>
      </c>
      <c r="B6497" s="119">
        <v>0.60478585581466238</v>
      </c>
    </row>
    <row r="6498" spans="1:2">
      <c r="A6498">
        <v>6497</v>
      </c>
      <c r="B6498" s="119">
        <v>0.93811918914799564</v>
      </c>
    </row>
    <row r="6499" spans="1:2">
      <c r="A6499">
        <v>6498</v>
      </c>
      <c r="B6499" s="119">
        <v>8.6267337296143887E-2</v>
      </c>
    </row>
    <row r="6500" spans="1:2">
      <c r="A6500">
        <v>6499</v>
      </c>
      <c r="B6500" s="119">
        <v>0.4196006706294772</v>
      </c>
    </row>
    <row r="6501" spans="1:2">
      <c r="A6501">
        <v>6500</v>
      </c>
      <c r="B6501" s="119">
        <v>0.75293400396281052</v>
      </c>
    </row>
    <row r="6502" spans="1:2">
      <c r="A6502">
        <v>6501</v>
      </c>
      <c r="B6502" s="119">
        <v>0.19737844840725496</v>
      </c>
    </row>
    <row r="6503" spans="1:2">
      <c r="A6503">
        <v>6502</v>
      </c>
      <c r="B6503" s="119">
        <v>0.53071178174058831</v>
      </c>
    </row>
    <row r="6504" spans="1:2">
      <c r="A6504">
        <v>6503</v>
      </c>
      <c r="B6504" s="119">
        <v>0.86404511507392157</v>
      </c>
    </row>
    <row r="6505" spans="1:2">
      <c r="A6505">
        <v>6504</v>
      </c>
      <c r="B6505" s="119">
        <v>0.3084895595183661</v>
      </c>
    </row>
    <row r="6506" spans="1:2">
      <c r="A6506">
        <v>6505</v>
      </c>
      <c r="B6506" s="119">
        <v>0.64182289285169947</v>
      </c>
    </row>
    <row r="6507" spans="1:2">
      <c r="A6507">
        <v>6506</v>
      </c>
      <c r="B6507" s="119">
        <v>0.97515622618503273</v>
      </c>
    </row>
    <row r="6508" spans="1:2">
      <c r="A6508">
        <v>6507</v>
      </c>
      <c r="B6508" s="119">
        <v>2.4538942234415485E-2</v>
      </c>
    </row>
    <row r="6509" spans="1:2">
      <c r="A6509">
        <v>6508</v>
      </c>
      <c r="B6509" s="119">
        <v>0.35787227556774881</v>
      </c>
    </row>
    <row r="6510" spans="1:2">
      <c r="A6510">
        <v>6509</v>
      </c>
      <c r="B6510" s="119">
        <v>0.69120560890108207</v>
      </c>
    </row>
    <row r="6511" spans="1:2">
      <c r="A6511">
        <v>6510</v>
      </c>
      <c r="B6511" s="119">
        <v>0.13565005334552657</v>
      </c>
    </row>
    <row r="6512" spans="1:2">
      <c r="A6512">
        <v>6511</v>
      </c>
      <c r="B6512" s="119">
        <v>0.46898338667885991</v>
      </c>
    </row>
    <row r="6513" spans="1:2">
      <c r="A6513">
        <v>6512</v>
      </c>
      <c r="B6513" s="119">
        <v>0.80231672001219323</v>
      </c>
    </row>
    <row r="6514" spans="1:2">
      <c r="A6514">
        <v>6513</v>
      </c>
      <c r="B6514" s="119">
        <v>0.24676116445663768</v>
      </c>
    </row>
    <row r="6515" spans="1:2">
      <c r="A6515">
        <v>6514</v>
      </c>
      <c r="B6515" s="119">
        <v>0.58009449778997113</v>
      </c>
    </row>
    <row r="6516" spans="1:2">
      <c r="A6516">
        <v>6515</v>
      </c>
      <c r="B6516" s="119">
        <v>0.91342783112330439</v>
      </c>
    </row>
    <row r="6517" spans="1:2">
      <c r="A6517">
        <v>6516</v>
      </c>
      <c r="B6517" s="119">
        <v>6.1575979271452516E-2</v>
      </c>
    </row>
    <row r="6518" spans="1:2">
      <c r="A6518">
        <v>6517</v>
      </c>
      <c r="B6518" s="119">
        <v>0.39490931260478584</v>
      </c>
    </row>
    <row r="6519" spans="1:2">
      <c r="A6519">
        <v>6518</v>
      </c>
      <c r="B6519" s="119">
        <v>0.72824264593811927</v>
      </c>
    </row>
    <row r="6520" spans="1:2">
      <c r="A6520">
        <v>6519</v>
      </c>
      <c r="B6520" s="119">
        <v>0.17268709038256361</v>
      </c>
    </row>
    <row r="6521" spans="1:2">
      <c r="A6521">
        <v>6520</v>
      </c>
      <c r="B6521" s="119">
        <v>0.50602042371589695</v>
      </c>
    </row>
    <row r="6522" spans="1:2">
      <c r="A6522">
        <v>6521</v>
      </c>
      <c r="B6522" s="119">
        <v>0.83935375704923021</v>
      </c>
    </row>
    <row r="6523" spans="1:2">
      <c r="A6523">
        <v>6522</v>
      </c>
      <c r="B6523" s="119">
        <v>0.28379820149367474</v>
      </c>
    </row>
    <row r="6524" spans="1:2">
      <c r="A6524">
        <v>6523</v>
      </c>
      <c r="B6524" s="119">
        <v>0.61713153482700811</v>
      </c>
    </row>
    <row r="6525" spans="1:2">
      <c r="A6525">
        <v>6524</v>
      </c>
      <c r="B6525" s="119">
        <v>0.95046486816034137</v>
      </c>
    </row>
    <row r="6526" spans="1:2">
      <c r="A6526">
        <v>6525</v>
      </c>
      <c r="B6526" s="119">
        <v>9.8613016308489565E-2</v>
      </c>
    </row>
    <row r="6527" spans="1:2">
      <c r="A6527">
        <v>6526</v>
      </c>
      <c r="B6527" s="119">
        <v>0.43194634964182288</v>
      </c>
    </row>
    <row r="6528" spans="1:2">
      <c r="A6528">
        <v>6527</v>
      </c>
      <c r="B6528" s="119">
        <v>0.76527968297515625</v>
      </c>
    </row>
    <row r="6529" spans="1:2">
      <c r="A6529">
        <v>6528</v>
      </c>
      <c r="B6529" s="119">
        <v>0.20972412741960064</v>
      </c>
    </row>
    <row r="6530" spans="1:2">
      <c r="A6530">
        <v>6529</v>
      </c>
      <c r="B6530" s="119">
        <v>0.54305746075293393</v>
      </c>
    </row>
    <row r="6531" spans="1:2">
      <c r="A6531">
        <v>6530</v>
      </c>
      <c r="B6531" s="119">
        <v>0.87639079408626719</v>
      </c>
    </row>
    <row r="6532" spans="1:2">
      <c r="A6532">
        <v>6531</v>
      </c>
      <c r="B6532" s="119">
        <v>0.32083523853071177</v>
      </c>
    </row>
    <row r="6533" spans="1:2">
      <c r="A6533">
        <v>6532</v>
      </c>
      <c r="B6533" s="119">
        <v>0.65416857186404509</v>
      </c>
    </row>
    <row r="6534" spans="1:2">
      <c r="A6534">
        <v>6533</v>
      </c>
      <c r="B6534" s="119">
        <v>0.98750190519737835</v>
      </c>
    </row>
    <row r="6535" spans="1:2">
      <c r="A6535">
        <v>6534</v>
      </c>
      <c r="B6535" s="119">
        <v>3.6884621246761159E-2</v>
      </c>
    </row>
    <row r="6536" spans="1:2">
      <c r="A6536">
        <v>6535</v>
      </c>
      <c r="B6536" s="119">
        <v>0.37021795458009449</v>
      </c>
    </row>
    <row r="6537" spans="1:2">
      <c r="A6537">
        <v>6536</v>
      </c>
      <c r="B6537" s="119">
        <v>0.7035512879134278</v>
      </c>
    </row>
    <row r="6538" spans="1:2">
      <c r="A6538">
        <v>6537</v>
      </c>
      <c r="B6538" s="119">
        <v>0.14799573235787225</v>
      </c>
    </row>
    <row r="6539" spans="1:2">
      <c r="A6539">
        <v>6538</v>
      </c>
      <c r="B6539" s="119">
        <v>0.48132906569120559</v>
      </c>
    </row>
    <row r="6540" spans="1:2">
      <c r="A6540">
        <v>6539</v>
      </c>
      <c r="B6540" s="119">
        <v>0.81466239902453885</v>
      </c>
    </row>
    <row r="6541" spans="1:2">
      <c r="A6541">
        <v>6540</v>
      </c>
      <c r="B6541" s="119">
        <v>0.25910684346898338</v>
      </c>
    </row>
    <row r="6542" spans="1:2">
      <c r="A6542">
        <v>6541</v>
      </c>
      <c r="B6542" s="119">
        <v>0.59244017680231675</v>
      </c>
    </row>
    <row r="6543" spans="1:2">
      <c r="A6543">
        <v>6542</v>
      </c>
      <c r="B6543" s="119">
        <v>0.92577351013565001</v>
      </c>
    </row>
    <row r="6544" spans="1:2">
      <c r="A6544">
        <v>6543</v>
      </c>
      <c r="B6544" s="119">
        <v>7.3921658283798208E-2</v>
      </c>
    </row>
    <row r="6545" spans="1:2">
      <c r="A6545">
        <v>6544</v>
      </c>
      <c r="B6545" s="119">
        <v>0.40725499161713152</v>
      </c>
    </row>
    <row r="6546" spans="1:2">
      <c r="A6546">
        <v>6545</v>
      </c>
      <c r="B6546" s="119">
        <v>0.74058832495046489</v>
      </c>
    </row>
    <row r="6547" spans="1:2">
      <c r="A6547">
        <v>6546</v>
      </c>
      <c r="B6547" s="119">
        <v>0.18503276939490929</v>
      </c>
    </row>
    <row r="6548" spans="1:2">
      <c r="A6548">
        <v>6547</v>
      </c>
      <c r="B6548" s="119">
        <v>0.51836610272824268</v>
      </c>
    </row>
    <row r="6549" spans="1:2">
      <c r="A6549">
        <v>6548</v>
      </c>
      <c r="B6549" s="119">
        <v>0.85169943606157583</v>
      </c>
    </row>
    <row r="6550" spans="1:2">
      <c r="A6550">
        <v>6549</v>
      </c>
      <c r="B6550" s="119">
        <v>0.29614388050602042</v>
      </c>
    </row>
    <row r="6551" spans="1:2">
      <c r="A6551">
        <v>6550</v>
      </c>
      <c r="B6551" s="119">
        <v>0.62947721383935373</v>
      </c>
    </row>
    <row r="6552" spans="1:2">
      <c r="A6552">
        <v>6551</v>
      </c>
      <c r="B6552" s="119">
        <v>0.96281054717268699</v>
      </c>
    </row>
    <row r="6553" spans="1:2">
      <c r="A6553">
        <v>6552</v>
      </c>
      <c r="B6553" s="119">
        <v>0.11095869532083524</v>
      </c>
    </row>
    <row r="6554" spans="1:2">
      <c r="A6554">
        <v>6553</v>
      </c>
      <c r="B6554" s="119">
        <v>0.44429202865416856</v>
      </c>
    </row>
    <row r="6555" spans="1:2">
      <c r="A6555">
        <v>6554</v>
      </c>
      <c r="B6555" s="119">
        <v>0.77762536198750187</v>
      </c>
    </row>
    <row r="6556" spans="1:2">
      <c r="A6556">
        <v>6555</v>
      </c>
      <c r="B6556" s="119">
        <v>0.22206980643194632</v>
      </c>
    </row>
    <row r="6557" spans="1:2">
      <c r="A6557">
        <v>6556</v>
      </c>
      <c r="B6557" s="119">
        <v>0.55540313976527966</v>
      </c>
    </row>
    <row r="6558" spans="1:2">
      <c r="A6558">
        <v>6557</v>
      </c>
      <c r="B6558" s="119">
        <v>0.88873647309861292</v>
      </c>
    </row>
    <row r="6559" spans="1:2">
      <c r="A6559">
        <v>6558</v>
      </c>
      <c r="B6559" s="119">
        <v>0.33318091754305745</v>
      </c>
    </row>
    <row r="6560" spans="1:2">
      <c r="A6560">
        <v>6559</v>
      </c>
      <c r="B6560" s="119">
        <v>0.66651425087639082</v>
      </c>
    </row>
    <row r="6561" spans="1:2">
      <c r="A6561">
        <v>6560</v>
      </c>
      <c r="B6561" s="119">
        <v>0.99984758420972408</v>
      </c>
    </row>
    <row r="6562" spans="1:2">
      <c r="A6562">
        <v>6561</v>
      </c>
      <c r="B6562" s="119">
        <v>5.0805263425290857E-5</v>
      </c>
    </row>
    <row r="6563" spans="1:2">
      <c r="A6563">
        <v>6562</v>
      </c>
      <c r="B6563" s="119">
        <v>0.33338413859675858</v>
      </c>
    </row>
    <row r="6564" spans="1:2">
      <c r="A6564">
        <v>6563</v>
      </c>
      <c r="B6564" s="119">
        <v>0.6667174719300919</v>
      </c>
    </row>
    <row r="6565" spans="1:2">
      <c r="A6565">
        <v>6564</v>
      </c>
      <c r="B6565" s="119">
        <v>0.1111619163745364</v>
      </c>
    </row>
    <row r="6566" spans="1:2">
      <c r="A6566">
        <v>6565</v>
      </c>
      <c r="B6566" s="119">
        <v>0.44449524970786969</v>
      </c>
    </row>
    <row r="6567" spans="1:2">
      <c r="A6567">
        <v>6566</v>
      </c>
      <c r="B6567" s="119">
        <v>0.77782858304120295</v>
      </c>
    </row>
    <row r="6568" spans="1:2">
      <c r="A6568">
        <v>6567</v>
      </c>
      <c r="B6568" s="119">
        <v>0.22227302748564751</v>
      </c>
    </row>
    <row r="6569" spans="1:2">
      <c r="A6569">
        <v>6568</v>
      </c>
      <c r="B6569" s="119">
        <v>0.55560636081898085</v>
      </c>
    </row>
    <row r="6570" spans="1:2">
      <c r="A6570">
        <v>6569</v>
      </c>
      <c r="B6570" s="119">
        <v>0.88893969415231411</v>
      </c>
    </row>
    <row r="6571" spans="1:2">
      <c r="A6571">
        <v>6570</v>
      </c>
      <c r="B6571" s="119">
        <v>3.7087842300462324E-2</v>
      </c>
    </row>
    <row r="6572" spans="1:2">
      <c r="A6572">
        <v>6571</v>
      </c>
      <c r="B6572" s="119">
        <v>0.37042117563379562</v>
      </c>
    </row>
    <row r="6573" spans="1:2">
      <c r="A6573">
        <v>6572</v>
      </c>
      <c r="B6573" s="119">
        <v>0.70375450896712899</v>
      </c>
    </row>
    <row r="6574" spans="1:2">
      <c r="A6574">
        <v>6573</v>
      </c>
      <c r="B6574" s="119">
        <v>0.14819895341157344</v>
      </c>
    </row>
    <row r="6575" spans="1:2">
      <c r="A6575">
        <v>6574</v>
      </c>
      <c r="B6575" s="119">
        <v>0.48153228674490672</v>
      </c>
    </row>
    <row r="6576" spans="1:2">
      <c r="A6576">
        <v>6575</v>
      </c>
      <c r="B6576" s="119">
        <v>0.81486562007823993</v>
      </c>
    </row>
    <row r="6577" spans="1:2">
      <c r="A6577">
        <v>6576</v>
      </c>
      <c r="B6577" s="119">
        <v>0.25931006452268451</v>
      </c>
    </row>
    <row r="6578" spans="1:2">
      <c r="A6578">
        <v>6577</v>
      </c>
      <c r="B6578" s="119">
        <v>0.59264339785601783</v>
      </c>
    </row>
    <row r="6579" spans="1:2">
      <c r="A6579">
        <v>6578</v>
      </c>
      <c r="B6579" s="119">
        <v>0.92597673118935109</v>
      </c>
    </row>
    <row r="6580" spans="1:2">
      <c r="A6580">
        <v>6579</v>
      </c>
      <c r="B6580" s="119">
        <v>7.4124879337499366E-2</v>
      </c>
    </row>
    <row r="6581" spans="1:2">
      <c r="A6581">
        <v>6580</v>
      </c>
      <c r="B6581" s="119">
        <v>0.40745821267083265</v>
      </c>
    </row>
    <row r="6582" spans="1:2">
      <c r="A6582">
        <v>6581</v>
      </c>
      <c r="B6582" s="119">
        <v>0.74079154600416597</v>
      </c>
    </row>
    <row r="6583" spans="1:2">
      <c r="A6583">
        <v>6582</v>
      </c>
      <c r="B6583" s="119">
        <v>0.18523599044861047</v>
      </c>
    </row>
    <row r="6584" spans="1:2">
      <c r="A6584">
        <v>6583</v>
      </c>
      <c r="B6584" s="119">
        <v>0.51856932378194376</v>
      </c>
    </row>
    <row r="6585" spans="1:2">
      <c r="A6585">
        <v>6584</v>
      </c>
      <c r="B6585" s="119">
        <v>0.85190265711527702</v>
      </c>
    </row>
    <row r="6586" spans="1:2">
      <c r="A6586">
        <v>6585</v>
      </c>
      <c r="B6586" s="119">
        <v>0.29634710155972155</v>
      </c>
    </row>
    <row r="6587" spans="1:2">
      <c r="A6587">
        <v>6586</v>
      </c>
      <c r="B6587" s="119">
        <v>0.62968043489305492</v>
      </c>
    </row>
    <row r="6588" spans="1:2">
      <c r="A6588">
        <v>6587</v>
      </c>
      <c r="B6588" s="119">
        <v>0.96301376822638818</v>
      </c>
    </row>
    <row r="6589" spans="1:2">
      <c r="A6589">
        <v>6588</v>
      </c>
      <c r="B6589" s="119">
        <v>1.239648427577097E-2</v>
      </c>
    </row>
    <row r="6590" spans="1:2">
      <c r="A6590">
        <v>6589</v>
      </c>
      <c r="B6590" s="119">
        <v>0.34572981760910426</v>
      </c>
    </row>
    <row r="6591" spans="1:2">
      <c r="A6591">
        <v>6590</v>
      </c>
      <c r="B6591" s="119">
        <v>0.67906315094243752</v>
      </c>
    </row>
    <row r="6592" spans="1:2">
      <c r="A6592">
        <v>6591</v>
      </c>
      <c r="B6592" s="119">
        <v>0.12350759538688208</v>
      </c>
    </row>
    <row r="6593" spans="1:2">
      <c r="A6593">
        <v>6592</v>
      </c>
      <c r="B6593" s="119">
        <v>0.45684092872021537</v>
      </c>
    </row>
    <row r="6594" spans="1:2">
      <c r="A6594">
        <v>6593</v>
      </c>
      <c r="B6594" s="119">
        <v>0.79017426205354868</v>
      </c>
    </row>
    <row r="6595" spans="1:2">
      <c r="A6595">
        <v>6594</v>
      </c>
      <c r="B6595" s="119">
        <v>0.23461870649799318</v>
      </c>
    </row>
    <row r="6596" spans="1:2">
      <c r="A6596">
        <v>6595</v>
      </c>
      <c r="B6596" s="119">
        <v>0.56795203983132658</v>
      </c>
    </row>
    <row r="6597" spans="1:2">
      <c r="A6597">
        <v>6596</v>
      </c>
      <c r="B6597" s="119">
        <v>0.90128537316465984</v>
      </c>
    </row>
    <row r="6598" spans="1:2">
      <c r="A6598">
        <v>6597</v>
      </c>
      <c r="B6598" s="119">
        <v>4.9433521312808003E-2</v>
      </c>
    </row>
    <row r="6599" spans="1:2">
      <c r="A6599">
        <v>6598</v>
      </c>
      <c r="B6599" s="119">
        <v>0.3827668546461413</v>
      </c>
    </row>
    <row r="6600" spans="1:2">
      <c r="A6600">
        <v>6599</v>
      </c>
      <c r="B6600" s="119">
        <v>0.71610018797947472</v>
      </c>
    </row>
    <row r="6601" spans="1:2">
      <c r="A6601">
        <v>6600</v>
      </c>
      <c r="B6601" s="119">
        <v>0.16054463242391911</v>
      </c>
    </row>
    <row r="6602" spans="1:2">
      <c r="A6602">
        <v>6601</v>
      </c>
      <c r="B6602" s="119">
        <v>0.4938779657572524</v>
      </c>
    </row>
    <row r="6603" spans="1:2">
      <c r="A6603">
        <v>6602</v>
      </c>
      <c r="B6603" s="119">
        <v>0.82721129909058566</v>
      </c>
    </row>
    <row r="6604" spans="1:2">
      <c r="A6604">
        <v>6603</v>
      </c>
      <c r="B6604" s="119">
        <v>0.27165574353503019</v>
      </c>
    </row>
    <row r="6605" spans="1:2">
      <c r="A6605">
        <v>6604</v>
      </c>
      <c r="B6605" s="119">
        <v>0.60498907686836356</v>
      </c>
    </row>
    <row r="6606" spans="1:2">
      <c r="A6606">
        <v>6605</v>
      </c>
      <c r="B6606" s="119">
        <v>0.93832241020169682</v>
      </c>
    </row>
    <row r="6607" spans="1:2">
      <c r="A6607">
        <v>6606</v>
      </c>
      <c r="B6607" s="119">
        <v>8.6470558349845045E-2</v>
      </c>
    </row>
    <row r="6608" spans="1:2">
      <c r="A6608">
        <v>6607</v>
      </c>
      <c r="B6608" s="119">
        <v>0.41980389168317833</v>
      </c>
    </row>
    <row r="6609" spans="1:2">
      <c r="A6609">
        <v>6608</v>
      </c>
      <c r="B6609" s="119">
        <v>0.7531372250165117</v>
      </c>
    </row>
    <row r="6610" spans="1:2">
      <c r="A6610">
        <v>6609</v>
      </c>
      <c r="B6610" s="119">
        <v>0.19758166946095615</v>
      </c>
    </row>
    <row r="6611" spans="1:2">
      <c r="A6611">
        <v>6610</v>
      </c>
      <c r="B6611" s="119">
        <v>0.53091500279428938</v>
      </c>
    </row>
    <row r="6612" spans="1:2">
      <c r="A6612">
        <v>6611</v>
      </c>
      <c r="B6612" s="119">
        <v>0.86424833612762264</v>
      </c>
    </row>
    <row r="6613" spans="1:2">
      <c r="A6613">
        <v>6612</v>
      </c>
      <c r="B6613" s="119">
        <v>0.30869278057206723</v>
      </c>
    </row>
    <row r="6614" spans="1:2">
      <c r="A6614">
        <v>6613</v>
      </c>
      <c r="B6614" s="119">
        <v>0.64202611390540054</v>
      </c>
    </row>
    <row r="6615" spans="1:2">
      <c r="A6615">
        <v>6614</v>
      </c>
      <c r="B6615" s="119">
        <v>0.9753594472387338</v>
      </c>
    </row>
    <row r="6616" spans="1:2">
      <c r="A6616">
        <v>6615</v>
      </c>
      <c r="B6616" s="119">
        <v>2.4742163288116646E-2</v>
      </c>
    </row>
    <row r="6617" spans="1:2">
      <c r="A6617">
        <v>6616</v>
      </c>
      <c r="B6617" s="119">
        <v>0.35807549662144994</v>
      </c>
    </row>
    <row r="6618" spans="1:2">
      <c r="A6618">
        <v>6617</v>
      </c>
      <c r="B6618" s="119">
        <v>0.69140882995478326</v>
      </c>
    </row>
    <row r="6619" spans="1:2">
      <c r="A6619">
        <v>6618</v>
      </c>
      <c r="B6619" s="119">
        <v>0.13585327439922776</v>
      </c>
    </row>
    <row r="6620" spans="1:2">
      <c r="A6620">
        <v>6619</v>
      </c>
      <c r="B6620" s="119">
        <v>0.46918660773256105</v>
      </c>
    </row>
    <row r="6621" spans="1:2">
      <c r="A6621">
        <v>6620</v>
      </c>
      <c r="B6621" s="119">
        <v>0.8025199410658943</v>
      </c>
    </row>
    <row r="6622" spans="1:2">
      <c r="A6622">
        <v>6621</v>
      </c>
      <c r="B6622" s="119">
        <v>0.24696438551033886</v>
      </c>
    </row>
    <row r="6623" spans="1:2">
      <c r="A6623">
        <v>6622</v>
      </c>
      <c r="B6623" s="119">
        <v>0.58029771884367221</v>
      </c>
    </row>
    <row r="6624" spans="1:2">
      <c r="A6624">
        <v>6623</v>
      </c>
      <c r="B6624" s="119">
        <v>0.91363105217700546</v>
      </c>
    </row>
    <row r="6625" spans="1:2">
      <c r="A6625">
        <v>6624</v>
      </c>
      <c r="B6625" s="119">
        <v>6.1779200325153681E-2</v>
      </c>
    </row>
    <row r="6626" spans="1:2">
      <c r="A6626">
        <v>6625</v>
      </c>
      <c r="B6626" s="119">
        <v>0.39511253365848698</v>
      </c>
    </row>
    <row r="6627" spans="1:2">
      <c r="A6627">
        <v>6626</v>
      </c>
      <c r="B6627" s="119">
        <v>0.72844586699182035</v>
      </c>
    </row>
    <row r="6628" spans="1:2">
      <c r="A6628">
        <v>6627</v>
      </c>
      <c r="B6628" s="119">
        <v>0.17289031143626479</v>
      </c>
    </row>
    <row r="6629" spans="1:2">
      <c r="A6629">
        <v>6628</v>
      </c>
      <c r="B6629" s="119">
        <v>0.50622364476959814</v>
      </c>
    </row>
    <row r="6630" spans="1:2">
      <c r="A6630">
        <v>6629</v>
      </c>
      <c r="B6630" s="119">
        <v>0.83955697810293128</v>
      </c>
    </row>
    <row r="6631" spans="1:2">
      <c r="A6631">
        <v>6630</v>
      </c>
      <c r="B6631" s="119">
        <v>0.28400142254737587</v>
      </c>
    </row>
    <row r="6632" spans="1:2">
      <c r="A6632">
        <v>6631</v>
      </c>
      <c r="B6632" s="119">
        <v>0.61733475588070919</v>
      </c>
    </row>
    <row r="6633" spans="1:2">
      <c r="A6633">
        <v>6632</v>
      </c>
      <c r="B6633" s="119">
        <v>0.95066808921404244</v>
      </c>
    </row>
    <row r="6634" spans="1:2">
      <c r="A6634">
        <v>6633</v>
      </c>
      <c r="B6634" s="119">
        <v>9.8816237362190723E-2</v>
      </c>
    </row>
    <row r="6635" spans="1:2">
      <c r="A6635">
        <v>6634</v>
      </c>
      <c r="B6635" s="119">
        <v>0.43214957069552401</v>
      </c>
    </row>
    <row r="6636" spans="1:2">
      <c r="A6636">
        <v>6635</v>
      </c>
      <c r="B6636" s="119">
        <v>0.76548290402885732</v>
      </c>
    </row>
    <row r="6637" spans="1:2">
      <c r="A6637">
        <v>6636</v>
      </c>
      <c r="B6637" s="119">
        <v>0.20992734847330183</v>
      </c>
    </row>
    <row r="6638" spans="1:2">
      <c r="A6638">
        <v>6637</v>
      </c>
      <c r="B6638" s="119">
        <v>0.54326068180663512</v>
      </c>
    </row>
    <row r="6639" spans="1:2">
      <c r="A6639">
        <v>6638</v>
      </c>
      <c r="B6639" s="119">
        <v>0.87659401513996837</v>
      </c>
    </row>
    <row r="6640" spans="1:2">
      <c r="A6640">
        <v>6639</v>
      </c>
      <c r="B6640" s="119">
        <v>0.32103845958441291</v>
      </c>
    </row>
    <row r="6641" spans="1:2">
      <c r="A6641">
        <v>6640</v>
      </c>
      <c r="B6641" s="119">
        <v>0.65437179291774628</v>
      </c>
    </row>
    <row r="6642" spans="1:2">
      <c r="A6642">
        <v>6641</v>
      </c>
      <c r="B6642" s="119">
        <v>0.98770512625107953</v>
      </c>
    </row>
    <row r="6643" spans="1:2">
      <c r="A6643">
        <v>6642</v>
      </c>
      <c r="B6643" s="119">
        <v>4.1660316008738513E-3</v>
      </c>
    </row>
    <row r="6644" spans="1:2">
      <c r="A6644">
        <v>6643</v>
      </c>
      <c r="B6644" s="119">
        <v>0.33749936493420712</v>
      </c>
    </row>
    <row r="6645" spans="1:2">
      <c r="A6645">
        <v>6644</v>
      </c>
      <c r="B6645" s="119">
        <v>0.67083269826754044</v>
      </c>
    </row>
    <row r="6646" spans="1:2">
      <c r="A6646">
        <v>6645</v>
      </c>
      <c r="B6646" s="119">
        <v>0.11527714271198496</v>
      </c>
    </row>
    <row r="6647" spans="1:2">
      <c r="A6647">
        <v>6646</v>
      </c>
      <c r="B6647" s="119">
        <v>0.44861047604531823</v>
      </c>
    </row>
    <row r="6648" spans="1:2">
      <c r="A6648">
        <v>6647</v>
      </c>
      <c r="B6648" s="119">
        <v>0.78194380937865149</v>
      </c>
    </row>
    <row r="6649" spans="1:2">
      <c r="A6649">
        <v>6648</v>
      </c>
      <c r="B6649" s="119">
        <v>0.22638825382309608</v>
      </c>
    </row>
    <row r="6650" spans="1:2">
      <c r="A6650">
        <v>6649</v>
      </c>
      <c r="B6650" s="119">
        <v>0.55972158715642939</v>
      </c>
    </row>
    <row r="6651" spans="1:2">
      <c r="A6651">
        <v>6650</v>
      </c>
      <c r="B6651" s="119">
        <v>0.89305492048976265</v>
      </c>
    </row>
    <row r="6652" spans="1:2">
      <c r="A6652">
        <v>6651</v>
      </c>
      <c r="B6652" s="119">
        <v>4.1203068637910886E-2</v>
      </c>
    </row>
    <row r="6653" spans="1:2">
      <c r="A6653">
        <v>6652</v>
      </c>
      <c r="B6653" s="119">
        <v>0.37453640197124416</v>
      </c>
    </row>
    <row r="6654" spans="1:2">
      <c r="A6654">
        <v>6653</v>
      </c>
      <c r="B6654" s="119">
        <v>0.70786973530457753</v>
      </c>
    </row>
    <row r="6655" spans="1:2">
      <c r="A6655">
        <v>6654</v>
      </c>
      <c r="B6655" s="119">
        <v>0.15231417974902201</v>
      </c>
    </row>
    <row r="6656" spans="1:2">
      <c r="A6656">
        <v>6655</v>
      </c>
      <c r="B6656" s="119">
        <v>0.48564751308235526</v>
      </c>
    </row>
    <row r="6657" spans="1:2">
      <c r="A6657">
        <v>6656</v>
      </c>
      <c r="B6657" s="119">
        <v>0.81898084641568847</v>
      </c>
    </row>
    <row r="6658" spans="1:2">
      <c r="A6658">
        <v>6657</v>
      </c>
      <c r="B6658" s="119">
        <v>0.26342529086013305</v>
      </c>
    </row>
    <row r="6659" spans="1:2">
      <c r="A6659">
        <v>6658</v>
      </c>
      <c r="B6659" s="119">
        <v>0.59675862419346637</v>
      </c>
    </row>
    <row r="6660" spans="1:2">
      <c r="A6660">
        <v>6659</v>
      </c>
      <c r="B6660" s="119">
        <v>0.93009195752679963</v>
      </c>
    </row>
    <row r="6661" spans="1:2">
      <c r="A6661">
        <v>6660</v>
      </c>
      <c r="B6661" s="119">
        <v>7.8240105674947921E-2</v>
      </c>
    </row>
    <row r="6662" spans="1:2">
      <c r="A6662">
        <v>6661</v>
      </c>
      <c r="B6662" s="119">
        <v>0.41157343900828119</v>
      </c>
    </row>
    <row r="6663" spans="1:2">
      <c r="A6663">
        <v>6662</v>
      </c>
      <c r="B6663" s="119">
        <v>0.74490677234161451</v>
      </c>
    </row>
    <row r="6664" spans="1:2">
      <c r="A6664">
        <v>6663</v>
      </c>
      <c r="B6664" s="119">
        <v>0.18935121678605904</v>
      </c>
    </row>
    <row r="6665" spans="1:2">
      <c r="A6665">
        <v>6664</v>
      </c>
      <c r="B6665" s="119">
        <v>0.5226845501193923</v>
      </c>
    </row>
    <row r="6666" spans="1:2">
      <c r="A6666">
        <v>6665</v>
      </c>
      <c r="B6666" s="119">
        <v>0.85601788345272556</v>
      </c>
    </row>
    <row r="6667" spans="1:2">
      <c r="A6667">
        <v>6666</v>
      </c>
      <c r="B6667" s="119">
        <v>0.30046232789717009</v>
      </c>
    </row>
    <row r="6668" spans="1:2">
      <c r="A6668">
        <v>6667</v>
      </c>
      <c r="B6668" s="119">
        <v>0.63379566123050346</v>
      </c>
    </row>
    <row r="6669" spans="1:2">
      <c r="A6669">
        <v>6668</v>
      </c>
      <c r="B6669" s="119">
        <v>0.96712899456383672</v>
      </c>
    </row>
    <row r="6670" spans="1:2">
      <c r="A6670">
        <v>6669</v>
      </c>
      <c r="B6670" s="119">
        <v>1.651171061321953E-2</v>
      </c>
    </row>
    <row r="6671" spans="1:2">
      <c r="A6671">
        <v>6670</v>
      </c>
      <c r="B6671" s="119">
        <v>0.3498450439465528</v>
      </c>
    </row>
    <row r="6672" spans="1:2">
      <c r="A6672">
        <v>6671</v>
      </c>
      <c r="B6672" s="119">
        <v>0.68317837727988606</v>
      </c>
    </row>
    <row r="6673" spans="1:2">
      <c r="A6673">
        <v>6672</v>
      </c>
      <c r="B6673" s="119">
        <v>0.12762282172433065</v>
      </c>
    </row>
    <row r="6674" spans="1:2">
      <c r="A6674">
        <v>6673</v>
      </c>
      <c r="B6674" s="119">
        <v>0.46095615505766391</v>
      </c>
    </row>
    <row r="6675" spans="1:2">
      <c r="A6675">
        <v>6674</v>
      </c>
      <c r="B6675" s="119">
        <v>0.79428948839099722</v>
      </c>
    </row>
    <row r="6676" spans="1:2">
      <c r="A6676">
        <v>6675</v>
      </c>
      <c r="B6676" s="119">
        <v>0.23873393283544175</v>
      </c>
    </row>
    <row r="6677" spans="1:2">
      <c r="A6677">
        <v>6676</v>
      </c>
      <c r="B6677" s="119">
        <v>0.57206726616877512</v>
      </c>
    </row>
    <row r="6678" spans="1:2">
      <c r="A6678">
        <v>6677</v>
      </c>
      <c r="B6678" s="119">
        <v>0.90540059950210838</v>
      </c>
    </row>
    <row r="6679" spans="1:2">
      <c r="A6679">
        <v>6678</v>
      </c>
      <c r="B6679" s="119">
        <v>5.3548747650256565E-2</v>
      </c>
    </row>
    <row r="6680" spans="1:2">
      <c r="A6680">
        <v>6679</v>
      </c>
      <c r="B6680" s="119">
        <v>0.38688208098358984</v>
      </c>
    </row>
    <row r="6681" spans="1:2">
      <c r="A6681">
        <v>6680</v>
      </c>
      <c r="B6681" s="119">
        <v>0.72021541431692326</v>
      </c>
    </row>
    <row r="6682" spans="1:2">
      <c r="A6682">
        <v>6681</v>
      </c>
      <c r="B6682" s="119">
        <v>0.16465985876136768</v>
      </c>
    </row>
    <row r="6683" spans="1:2">
      <c r="A6683">
        <v>6682</v>
      </c>
      <c r="B6683" s="119">
        <v>0.49799319209470094</v>
      </c>
    </row>
    <row r="6684" spans="1:2">
      <c r="A6684">
        <v>6683</v>
      </c>
      <c r="B6684" s="119">
        <v>0.8313265254280342</v>
      </c>
    </row>
    <row r="6685" spans="1:2">
      <c r="A6685">
        <v>6684</v>
      </c>
      <c r="B6685" s="119">
        <v>0.27577096987247873</v>
      </c>
    </row>
    <row r="6686" spans="1:2">
      <c r="A6686">
        <v>6685</v>
      </c>
      <c r="B6686" s="119">
        <v>0.6091043032058121</v>
      </c>
    </row>
    <row r="6687" spans="1:2">
      <c r="A6687">
        <v>6686</v>
      </c>
      <c r="B6687" s="119">
        <v>0.94243763653914536</v>
      </c>
    </row>
    <row r="6688" spans="1:2">
      <c r="A6688">
        <v>6687</v>
      </c>
      <c r="B6688" s="119">
        <v>9.05857846872936E-2</v>
      </c>
    </row>
    <row r="6689" spans="1:2">
      <c r="A6689">
        <v>6688</v>
      </c>
      <c r="B6689" s="119">
        <v>0.42391911802062687</v>
      </c>
    </row>
    <row r="6690" spans="1:2">
      <c r="A6690">
        <v>6689</v>
      </c>
      <c r="B6690" s="119">
        <v>0.75725245135396024</v>
      </c>
    </row>
    <row r="6691" spans="1:2">
      <c r="A6691">
        <v>6690</v>
      </c>
      <c r="B6691" s="119">
        <v>0.20169689579840472</v>
      </c>
    </row>
    <row r="6692" spans="1:2">
      <c r="A6692">
        <v>6691</v>
      </c>
      <c r="B6692" s="119">
        <v>0.53503022913173792</v>
      </c>
    </row>
    <row r="6693" spans="1:2">
      <c r="A6693">
        <v>6692</v>
      </c>
      <c r="B6693" s="119">
        <v>0.86836356246507118</v>
      </c>
    </row>
    <row r="6694" spans="1:2">
      <c r="A6694">
        <v>6693</v>
      </c>
      <c r="B6694" s="119">
        <v>0.31280800690951577</v>
      </c>
    </row>
    <row r="6695" spans="1:2">
      <c r="A6695">
        <v>6694</v>
      </c>
      <c r="B6695" s="119">
        <v>0.64614134024284908</v>
      </c>
    </row>
    <row r="6696" spans="1:2">
      <c r="A6696">
        <v>6695</v>
      </c>
      <c r="B6696" s="119">
        <v>0.97947467357618234</v>
      </c>
    </row>
    <row r="6697" spans="1:2">
      <c r="A6697">
        <v>6696</v>
      </c>
      <c r="B6697" s="119">
        <v>2.8857389625565208E-2</v>
      </c>
    </row>
    <row r="6698" spans="1:2">
      <c r="A6698">
        <v>6697</v>
      </c>
      <c r="B6698" s="119">
        <v>0.36219072295889848</v>
      </c>
    </row>
    <row r="6699" spans="1:2">
      <c r="A6699">
        <v>6698</v>
      </c>
      <c r="B6699" s="119">
        <v>0.6955240562922318</v>
      </c>
    </row>
    <row r="6700" spans="1:2">
      <c r="A6700">
        <v>6699</v>
      </c>
      <c r="B6700" s="119">
        <v>0.13996850073667633</v>
      </c>
    </row>
    <row r="6701" spans="1:2">
      <c r="A6701">
        <v>6700</v>
      </c>
      <c r="B6701" s="119">
        <v>0.47330183407000959</v>
      </c>
    </row>
    <row r="6702" spans="1:2">
      <c r="A6702">
        <v>6701</v>
      </c>
      <c r="B6702" s="119">
        <v>0.80663516740334285</v>
      </c>
    </row>
    <row r="6703" spans="1:2">
      <c r="A6703">
        <v>6702</v>
      </c>
      <c r="B6703" s="119">
        <v>0.25107961184778738</v>
      </c>
    </row>
    <row r="6704" spans="1:2">
      <c r="A6704">
        <v>6703</v>
      </c>
      <c r="B6704" s="119">
        <v>0.58441294518112075</v>
      </c>
    </row>
    <row r="6705" spans="1:2">
      <c r="A6705">
        <v>6704</v>
      </c>
      <c r="B6705" s="119">
        <v>0.91774627851445401</v>
      </c>
    </row>
    <row r="6706" spans="1:2">
      <c r="A6706">
        <v>6705</v>
      </c>
      <c r="B6706" s="119">
        <v>6.5894426662602243E-2</v>
      </c>
    </row>
    <row r="6707" spans="1:2">
      <c r="A6707">
        <v>6706</v>
      </c>
      <c r="B6707" s="119">
        <v>0.39922775999593552</v>
      </c>
    </row>
    <row r="6708" spans="1:2">
      <c r="A6708">
        <v>6707</v>
      </c>
      <c r="B6708" s="119">
        <v>0.73256109332926889</v>
      </c>
    </row>
    <row r="6709" spans="1:2">
      <c r="A6709">
        <v>6708</v>
      </c>
      <c r="B6709" s="119">
        <v>0.17700553777371336</v>
      </c>
    </row>
    <row r="6710" spans="1:2">
      <c r="A6710">
        <v>6709</v>
      </c>
      <c r="B6710" s="119">
        <v>0.51033887110704668</v>
      </c>
    </row>
    <row r="6711" spans="1:2">
      <c r="A6711">
        <v>6710</v>
      </c>
      <c r="B6711" s="119">
        <v>0.84367220444037982</v>
      </c>
    </row>
    <row r="6712" spans="1:2">
      <c r="A6712">
        <v>6711</v>
      </c>
      <c r="B6712" s="119">
        <v>0.28811664888482441</v>
      </c>
    </row>
    <row r="6713" spans="1:2">
      <c r="A6713">
        <v>6712</v>
      </c>
      <c r="B6713" s="119">
        <v>0.62144998221815773</v>
      </c>
    </row>
    <row r="6714" spans="1:2">
      <c r="A6714">
        <v>6713</v>
      </c>
      <c r="B6714" s="119">
        <v>0.95478331555149099</v>
      </c>
    </row>
    <row r="6715" spans="1:2">
      <c r="A6715">
        <v>6714</v>
      </c>
      <c r="B6715" s="119">
        <v>0.10293146369963928</v>
      </c>
    </row>
    <row r="6716" spans="1:2">
      <c r="A6716">
        <v>6715</v>
      </c>
      <c r="B6716" s="119">
        <v>0.43626479703297255</v>
      </c>
    </row>
    <row r="6717" spans="1:2">
      <c r="A6717">
        <v>6716</v>
      </c>
      <c r="B6717" s="119">
        <v>0.76959813036630587</v>
      </c>
    </row>
    <row r="6718" spans="1:2">
      <c r="A6718">
        <v>6717</v>
      </c>
      <c r="B6718" s="119">
        <v>0.2140425748107504</v>
      </c>
    </row>
    <row r="6719" spans="1:2">
      <c r="A6719">
        <v>6718</v>
      </c>
      <c r="B6719" s="119">
        <v>0.54737590814408366</v>
      </c>
    </row>
    <row r="6720" spans="1:2">
      <c r="A6720">
        <v>6719</v>
      </c>
      <c r="B6720" s="119">
        <v>0.88070924147741692</v>
      </c>
    </row>
    <row r="6721" spans="1:2">
      <c r="A6721">
        <v>6720</v>
      </c>
      <c r="B6721" s="119">
        <v>0.32515368592186145</v>
      </c>
    </row>
    <row r="6722" spans="1:2">
      <c r="A6722">
        <v>6721</v>
      </c>
      <c r="B6722" s="119">
        <v>0.65848701925519482</v>
      </c>
    </row>
    <row r="6723" spans="1:2">
      <c r="A6723">
        <v>6722</v>
      </c>
      <c r="B6723" s="119">
        <v>0.99182035258852808</v>
      </c>
    </row>
    <row r="6724" spans="1:2">
      <c r="A6724">
        <v>6723</v>
      </c>
      <c r="B6724" s="119">
        <v>8.2812579383224113E-3</v>
      </c>
    </row>
    <row r="6725" spans="1:2">
      <c r="A6725">
        <v>6724</v>
      </c>
      <c r="B6725" s="119">
        <v>0.34161459127165572</v>
      </c>
    </row>
    <row r="6726" spans="1:2">
      <c r="A6726">
        <v>6725</v>
      </c>
      <c r="B6726" s="119">
        <v>0.67494792460498898</v>
      </c>
    </row>
    <row r="6727" spans="1:2">
      <c r="A6727">
        <v>6726</v>
      </c>
      <c r="B6727" s="119">
        <v>0.11939236904943352</v>
      </c>
    </row>
    <row r="6728" spans="1:2">
      <c r="A6728">
        <v>6727</v>
      </c>
      <c r="B6728" s="119">
        <v>0.45272570238276683</v>
      </c>
    </row>
    <row r="6729" spans="1:2">
      <c r="A6729">
        <v>6728</v>
      </c>
      <c r="B6729" s="119">
        <v>0.78605903571610003</v>
      </c>
    </row>
    <row r="6730" spans="1:2">
      <c r="A6730">
        <v>6729</v>
      </c>
      <c r="B6730" s="119">
        <v>0.23050348016054462</v>
      </c>
    </row>
    <row r="6731" spans="1:2">
      <c r="A6731">
        <v>6730</v>
      </c>
      <c r="B6731" s="119">
        <v>0.56383681349387793</v>
      </c>
    </row>
    <row r="6732" spans="1:2">
      <c r="A6732">
        <v>6731</v>
      </c>
      <c r="B6732" s="119">
        <v>0.89717014682721119</v>
      </c>
    </row>
    <row r="6733" spans="1:2">
      <c r="A6733">
        <v>6732</v>
      </c>
      <c r="B6733" s="119">
        <v>4.5318294975359448E-2</v>
      </c>
    </row>
    <row r="6734" spans="1:2">
      <c r="A6734">
        <v>6733</v>
      </c>
      <c r="B6734" s="119">
        <v>0.37865162830869276</v>
      </c>
    </row>
    <row r="6735" spans="1:2">
      <c r="A6735">
        <v>6734</v>
      </c>
      <c r="B6735" s="119">
        <v>0.71198496164202607</v>
      </c>
    </row>
    <row r="6736" spans="1:2">
      <c r="A6736">
        <v>6735</v>
      </c>
      <c r="B6736" s="119">
        <v>0.15642940608647055</v>
      </c>
    </row>
    <row r="6737" spans="1:2">
      <c r="A6737">
        <v>6736</v>
      </c>
      <c r="B6737" s="119">
        <v>0.48976273941980386</v>
      </c>
    </row>
    <row r="6738" spans="1:2">
      <c r="A6738">
        <v>6737</v>
      </c>
      <c r="B6738" s="119">
        <v>0.82309607275313701</v>
      </c>
    </row>
    <row r="6739" spans="1:2">
      <c r="A6739">
        <v>6738</v>
      </c>
      <c r="B6739" s="119">
        <v>0.26754051719758165</v>
      </c>
    </row>
    <row r="6740" spans="1:2">
      <c r="A6740">
        <v>6739</v>
      </c>
      <c r="B6740" s="119">
        <v>0.60087385053091491</v>
      </c>
    </row>
    <row r="6741" spans="1:2">
      <c r="A6741">
        <v>6740</v>
      </c>
      <c r="B6741" s="119">
        <v>0.93420718386424817</v>
      </c>
    </row>
    <row r="6742" spans="1:2">
      <c r="A6742">
        <v>6741</v>
      </c>
      <c r="B6742" s="119">
        <v>8.235533201239649E-2</v>
      </c>
    </row>
    <row r="6743" spans="1:2">
      <c r="A6743">
        <v>6742</v>
      </c>
      <c r="B6743" s="119">
        <v>0.41568866534572979</v>
      </c>
    </row>
    <row r="6744" spans="1:2">
      <c r="A6744">
        <v>6743</v>
      </c>
      <c r="B6744" s="119">
        <v>0.74902199867906305</v>
      </c>
    </row>
    <row r="6745" spans="1:2">
      <c r="A6745">
        <v>6744</v>
      </c>
      <c r="B6745" s="119">
        <v>0.19346644312350758</v>
      </c>
    </row>
    <row r="6746" spans="1:2">
      <c r="A6746">
        <v>6745</v>
      </c>
      <c r="B6746" s="119">
        <v>0.52679977645684084</v>
      </c>
    </row>
    <row r="6747" spans="1:2">
      <c r="A6747">
        <v>6746</v>
      </c>
      <c r="B6747" s="119">
        <v>0.8601331097901741</v>
      </c>
    </row>
    <row r="6748" spans="1:2">
      <c r="A6748">
        <v>6747</v>
      </c>
      <c r="B6748" s="119">
        <v>0.30457755423461869</v>
      </c>
    </row>
    <row r="6749" spans="1:2">
      <c r="A6749">
        <v>6748</v>
      </c>
      <c r="B6749" s="119">
        <v>0.637910887567952</v>
      </c>
    </row>
    <row r="6750" spans="1:2">
      <c r="A6750">
        <v>6749</v>
      </c>
      <c r="B6750" s="119">
        <v>0.97124422090128526</v>
      </c>
    </row>
    <row r="6751" spans="1:2">
      <c r="A6751">
        <v>6750</v>
      </c>
      <c r="B6751" s="119">
        <v>2.0626936950668088E-2</v>
      </c>
    </row>
    <row r="6752" spans="1:2">
      <c r="A6752">
        <v>6751</v>
      </c>
      <c r="B6752" s="119">
        <v>0.3539602702840014</v>
      </c>
    </row>
    <row r="6753" spans="1:2">
      <c r="A6753">
        <v>6752</v>
      </c>
      <c r="B6753" s="119">
        <v>0.6872936036173346</v>
      </c>
    </row>
    <row r="6754" spans="1:2">
      <c r="A6754">
        <v>6753</v>
      </c>
      <c r="B6754" s="119">
        <v>0.13173804806177919</v>
      </c>
    </row>
    <row r="6755" spans="1:2">
      <c r="A6755">
        <v>6754</v>
      </c>
      <c r="B6755" s="119">
        <v>0.4650713813951125</v>
      </c>
    </row>
    <row r="6756" spans="1:2">
      <c r="A6756">
        <v>6755</v>
      </c>
      <c r="B6756" s="119">
        <v>0.79840471472844576</v>
      </c>
    </row>
    <row r="6757" spans="1:2">
      <c r="A6757">
        <v>6756</v>
      </c>
      <c r="B6757" s="119">
        <v>0.24284915917289029</v>
      </c>
    </row>
    <row r="6758" spans="1:2">
      <c r="A6758">
        <v>6757</v>
      </c>
      <c r="B6758" s="119">
        <v>0.57618249250622366</v>
      </c>
    </row>
    <row r="6759" spans="1:2">
      <c r="A6759">
        <v>6758</v>
      </c>
      <c r="B6759" s="119">
        <v>0.90951582583955692</v>
      </c>
    </row>
    <row r="6760" spans="1:2">
      <c r="A6760">
        <v>6759</v>
      </c>
      <c r="B6760" s="119">
        <v>5.7663973987705126E-2</v>
      </c>
    </row>
    <row r="6761" spans="1:2">
      <c r="A6761">
        <v>6760</v>
      </c>
      <c r="B6761" s="119">
        <v>0.39099730732103843</v>
      </c>
    </row>
    <row r="6762" spans="1:2">
      <c r="A6762">
        <v>6761</v>
      </c>
      <c r="B6762" s="119">
        <v>0.7243306406543718</v>
      </c>
    </row>
    <row r="6763" spans="1:2">
      <c r="A6763">
        <v>6762</v>
      </c>
      <c r="B6763" s="119">
        <v>0.16877508509881622</v>
      </c>
    </row>
    <row r="6764" spans="1:2">
      <c r="A6764">
        <v>6763</v>
      </c>
      <c r="B6764" s="119">
        <v>0.50210841843214948</v>
      </c>
    </row>
    <row r="6765" spans="1:2">
      <c r="A6765">
        <v>6764</v>
      </c>
      <c r="B6765" s="119">
        <v>0.83544175176548274</v>
      </c>
    </row>
    <row r="6766" spans="1:2">
      <c r="A6766">
        <v>6765</v>
      </c>
      <c r="B6766" s="119">
        <v>0.27988619620992733</v>
      </c>
    </row>
    <row r="6767" spans="1:2">
      <c r="A6767">
        <v>6766</v>
      </c>
      <c r="B6767" s="119">
        <v>0.61321952954326064</v>
      </c>
    </row>
    <row r="6768" spans="1:2">
      <c r="A6768">
        <v>6767</v>
      </c>
      <c r="B6768" s="119">
        <v>0.9465528628765939</v>
      </c>
    </row>
    <row r="6769" spans="1:2">
      <c r="A6769">
        <v>6768</v>
      </c>
      <c r="B6769" s="119">
        <v>9.4701011024742168E-2</v>
      </c>
    </row>
    <row r="6770" spans="1:2">
      <c r="A6770">
        <v>6769</v>
      </c>
      <c r="B6770" s="119">
        <v>0.42803434435807547</v>
      </c>
    </row>
    <row r="6771" spans="1:2">
      <c r="A6771">
        <v>6770</v>
      </c>
      <c r="B6771" s="119">
        <v>0.76136767769140878</v>
      </c>
    </row>
    <row r="6772" spans="1:2">
      <c r="A6772">
        <v>6771</v>
      </c>
      <c r="B6772" s="119">
        <v>0.20581212213585326</v>
      </c>
    </row>
    <row r="6773" spans="1:2">
      <c r="A6773">
        <v>6772</v>
      </c>
      <c r="B6773" s="119">
        <v>0.53914545546918646</v>
      </c>
    </row>
    <row r="6774" spans="1:2">
      <c r="A6774">
        <v>6773</v>
      </c>
      <c r="B6774" s="119">
        <v>0.87247878880251972</v>
      </c>
    </row>
    <row r="6775" spans="1:2">
      <c r="A6775">
        <v>6774</v>
      </c>
      <c r="B6775" s="119">
        <v>0.31692323324696436</v>
      </c>
    </row>
    <row r="6776" spans="1:2">
      <c r="A6776">
        <v>6775</v>
      </c>
      <c r="B6776" s="119">
        <v>0.65025656658029762</v>
      </c>
    </row>
    <row r="6777" spans="1:2">
      <c r="A6777">
        <v>6776</v>
      </c>
      <c r="B6777" s="119">
        <v>0.98358989991363088</v>
      </c>
    </row>
    <row r="6778" spans="1:2">
      <c r="A6778">
        <v>6777</v>
      </c>
      <c r="B6778" s="119">
        <v>3.297261596301377E-2</v>
      </c>
    </row>
    <row r="6779" spans="1:2">
      <c r="A6779">
        <v>6778</v>
      </c>
      <c r="B6779" s="119">
        <v>0.36630594929634708</v>
      </c>
    </row>
    <row r="6780" spans="1:2">
      <c r="A6780">
        <v>6779</v>
      </c>
      <c r="B6780" s="119">
        <v>0.69963928262968034</v>
      </c>
    </row>
    <row r="6781" spans="1:2">
      <c r="A6781">
        <v>6780</v>
      </c>
      <c r="B6781" s="119">
        <v>0.14408372707412487</v>
      </c>
    </row>
    <row r="6782" spans="1:2">
      <c r="A6782">
        <v>6781</v>
      </c>
      <c r="B6782" s="119">
        <v>0.47741706040745818</v>
      </c>
    </row>
    <row r="6783" spans="1:2">
      <c r="A6783">
        <v>6782</v>
      </c>
      <c r="B6783" s="119">
        <v>0.81075039374079139</v>
      </c>
    </row>
    <row r="6784" spans="1:2">
      <c r="A6784">
        <v>6783</v>
      </c>
      <c r="B6784" s="119">
        <v>0.25519483818523597</v>
      </c>
    </row>
    <row r="6785" spans="1:2">
      <c r="A6785">
        <v>6784</v>
      </c>
      <c r="B6785" s="119">
        <v>0.58852817151856929</v>
      </c>
    </row>
    <row r="6786" spans="1:2">
      <c r="A6786">
        <v>6785</v>
      </c>
      <c r="B6786" s="119">
        <v>0.92186150485190255</v>
      </c>
    </row>
    <row r="6787" spans="1:2">
      <c r="A6787">
        <v>6786</v>
      </c>
      <c r="B6787" s="119">
        <v>7.0009653000050812E-2</v>
      </c>
    </row>
    <row r="6788" spans="1:2">
      <c r="A6788">
        <v>6787</v>
      </c>
      <c r="B6788" s="119">
        <v>0.40334298633338411</v>
      </c>
    </row>
    <row r="6789" spans="1:2">
      <c r="A6789">
        <v>6788</v>
      </c>
      <c r="B6789" s="119">
        <v>0.73667631966671743</v>
      </c>
    </row>
    <row r="6790" spans="1:2">
      <c r="A6790">
        <v>6789</v>
      </c>
      <c r="B6790" s="119">
        <v>0.1811207641111619</v>
      </c>
    </row>
    <row r="6791" spans="1:2">
      <c r="A6791">
        <v>6790</v>
      </c>
      <c r="B6791" s="119">
        <v>0.51445409744449522</v>
      </c>
    </row>
    <row r="6792" spans="1:2">
      <c r="A6792">
        <v>6791</v>
      </c>
      <c r="B6792" s="119">
        <v>0.84778743077782837</v>
      </c>
    </row>
    <row r="6793" spans="1:2">
      <c r="A6793">
        <v>6792</v>
      </c>
      <c r="B6793" s="119">
        <v>0.29223187522227301</v>
      </c>
    </row>
    <row r="6794" spans="1:2">
      <c r="A6794">
        <v>6793</v>
      </c>
      <c r="B6794" s="119">
        <v>0.62556520855560627</v>
      </c>
    </row>
    <row r="6795" spans="1:2">
      <c r="A6795">
        <v>6794</v>
      </c>
      <c r="B6795" s="119">
        <v>0.95889854188893953</v>
      </c>
    </row>
    <row r="6796" spans="1:2">
      <c r="A6796">
        <v>6795</v>
      </c>
      <c r="B6796" s="119">
        <v>0.10704669003708785</v>
      </c>
    </row>
    <row r="6797" spans="1:2">
      <c r="A6797">
        <v>6796</v>
      </c>
      <c r="B6797" s="119">
        <v>0.44038002337042115</v>
      </c>
    </row>
    <row r="6798" spans="1:2">
      <c r="A6798">
        <v>6797</v>
      </c>
      <c r="B6798" s="119">
        <v>0.77371335670375441</v>
      </c>
    </row>
    <row r="6799" spans="1:2">
      <c r="A6799">
        <v>6798</v>
      </c>
      <c r="B6799" s="119">
        <v>0.21815780114819894</v>
      </c>
    </row>
    <row r="6800" spans="1:2">
      <c r="A6800">
        <v>6799</v>
      </c>
      <c r="B6800" s="119">
        <v>0.5514911344815322</v>
      </c>
    </row>
    <row r="6801" spans="1:2">
      <c r="A6801">
        <v>6800</v>
      </c>
      <c r="B6801" s="119">
        <v>0.88482446781486546</v>
      </c>
    </row>
    <row r="6802" spans="1:2">
      <c r="A6802">
        <v>6801</v>
      </c>
      <c r="B6802" s="119">
        <v>0.32926891225931004</v>
      </c>
    </row>
    <row r="6803" spans="1:2">
      <c r="A6803">
        <v>6802</v>
      </c>
      <c r="B6803" s="119">
        <v>0.66260224559264336</v>
      </c>
    </row>
    <row r="6804" spans="1:2">
      <c r="A6804">
        <v>6803</v>
      </c>
      <c r="B6804" s="119">
        <v>0.99593557892597662</v>
      </c>
    </row>
    <row r="6805" spans="1:2">
      <c r="A6805">
        <v>6804</v>
      </c>
      <c r="B6805" s="119">
        <v>1.4225473759081439E-3</v>
      </c>
    </row>
    <row r="6806" spans="1:2">
      <c r="A6806">
        <v>6805</v>
      </c>
      <c r="B6806" s="119">
        <v>0.33475588070924145</v>
      </c>
    </row>
    <row r="6807" spans="1:2">
      <c r="A6807">
        <v>6806</v>
      </c>
      <c r="B6807" s="119">
        <v>0.66808921404257471</v>
      </c>
    </row>
    <row r="6808" spans="1:2">
      <c r="A6808">
        <v>6807</v>
      </c>
      <c r="B6808" s="119">
        <v>0.11253365848701925</v>
      </c>
    </row>
    <row r="6809" spans="1:2">
      <c r="A6809">
        <v>6808</v>
      </c>
      <c r="B6809" s="119">
        <v>0.44586699182035255</v>
      </c>
    </row>
    <row r="6810" spans="1:2">
      <c r="A6810">
        <v>6809</v>
      </c>
      <c r="B6810" s="119">
        <v>0.77920032515368576</v>
      </c>
    </row>
    <row r="6811" spans="1:2">
      <c r="A6811">
        <v>6810</v>
      </c>
      <c r="B6811" s="119">
        <v>0.22364476959813037</v>
      </c>
    </row>
    <row r="6812" spans="1:2">
      <c r="A6812">
        <v>6811</v>
      </c>
      <c r="B6812" s="119">
        <v>0.55697810293146366</v>
      </c>
    </row>
    <row r="6813" spans="1:2">
      <c r="A6813">
        <v>6812</v>
      </c>
      <c r="B6813" s="119">
        <v>0.89031143626479692</v>
      </c>
    </row>
    <row r="6814" spans="1:2">
      <c r="A6814">
        <v>6813</v>
      </c>
      <c r="B6814" s="119">
        <v>3.8459584412945176E-2</v>
      </c>
    </row>
    <row r="6815" spans="1:2">
      <c r="A6815">
        <v>6814</v>
      </c>
      <c r="B6815" s="119">
        <v>0.37179291774627848</v>
      </c>
    </row>
    <row r="6816" spans="1:2">
      <c r="A6816">
        <v>6815</v>
      </c>
      <c r="B6816" s="119">
        <v>0.7051262510796118</v>
      </c>
    </row>
    <row r="6817" spans="1:2">
      <c r="A6817">
        <v>6816</v>
      </c>
      <c r="B6817" s="119">
        <v>0.1495706955240563</v>
      </c>
    </row>
    <row r="6818" spans="1:2">
      <c r="A6818">
        <v>6817</v>
      </c>
      <c r="B6818" s="119">
        <v>0.48290402885738959</v>
      </c>
    </row>
    <row r="6819" spans="1:2">
      <c r="A6819">
        <v>6818</v>
      </c>
      <c r="B6819" s="119">
        <v>0.81623736219072274</v>
      </c>
    </row>
    <row r="6820" spans="1:2">
      <c r="A6820">
        <v>6819</v>
      </c>
      <c r="B6820" s="119">
        <v>0.26068180663516738</v>
      </c>
    </row>
    <row r="6821" spans="1:2">
      <c r="A6821">
        <v>6820</v>
      </c>
      <c r="B6821" s="119">
        <v>0.59401513996850064</v>
      </c>
    </row>
    <row r="6822" spans="1:2">
      <c r="A6822">
        <v>6821</v>
      </c>
      <c r="B6822" s="119">
        <v>0.9273484733018339</v>
      </c>
    </row>
    <row r="6823" spans="1:2">
      <c r="A6823">
        <v>6822</v>
      </c>
      <c r="B6823" s="119">
        <v>7.5496621449982218E-2</v>
      </c>
    </row>
    <row r="6824" spans="1:2">
      <c r="A6824">
        <v>6823</v>
      </c>
      <c r="B6824" s="119">
        <v>0.40882995478331552</v>
      </c>
    </row>
    <row r="6825" spans="1:2">
      <c r="A6825">
        <v>6824</v>
      </c>
      <c r="B6825" s="119">
        <v>0.74216328811664878</v>
      </c>
    </row>
    <row r="6826" spans="1:2">
      <c r="A6826">
        <v>6825</v>
      </c>
      <c r="B6826" s="119">
        <v>0.18660773256109334</v>
      </c>
    </row>
    <row r="6827" spans="1:2">
      <c r="A6827">
        <v>6826</v>
      </c>
      <c r="B6827" s="119">
        <v>0.51994106589442657</v>
      </c>
    </row>
    <row r="6828" spans="1:2">
      <c r="A6828">
        <v>6827</v>
      </c>
      <c r="B6828" s="119">
        <v>0.85327439922775983</v>
      </c>
    </row>
    <row r="6829" spans="1:2">
      <c r="A6829">
        <v>6828</v>
      </c>
      <c r="B6829" s="119">
        <v>0.29771884367220441</v>
      </c>
    </row>
    <row r="6830" spans="1:2">
      <c r="A6830">
        <v>6829</v>
      </c>
      <c r="B6830" s="119">
        <v>0.63105217700553773</v>
      </c>
    </row>
    <row r="6831" spans="1:2">
      <c r="A6831">
        <v>6830</v>
      </c>
      <c r="B6831" s="119">
        <v>0.96438551033887099</v>
      </c>
    </row>
    <row r="6832" spans="1:2">
      <c r="A6832">
        <v>6831</v>
      </c>
      <c r="B6832" s="119">
        <v>1.3768226388253823E-2</v>
      </c>
    </row>
    <row r="6833" spans="1:2">
      <c r="A6833">
        <v>6832</v>
      </c>
      <c r="B6833" s="119">
        <v>0.34710155972158713</v>
      </c>
    </row>
    <row r="6834" spans="1:2">
      <c r="A6834">
        <v>6833</v>
      </c>
      <c r="B6834" s="119">
        <v>0.68043489305492033</v>
      </c>
    </row>
    <row r="6835" spans="1:2">
      <c r="A6835">
        <v>6834</v>
      </c>
      <c r="B6835" s="119">
        <v>0.12487933749936493</v>
      </c>
    </row>
    <row r="6836" spans="1:2">
      <c r="A6836">
        <v>6835</v>
      </c>
      <c r="B6836" s="119">
        <v>0.45821267083269823</v>
      </c>
    </row>
    <row r="6837" spans="1:2">
      <c r="A6837">
        <v>6836</v>
      </c>
      <c r="B6837" s="119">
        <v>0.79154600416603149</v>
      </c>
    </row>
    <row r="6838" spans="1:2">
      <c r="A6838">
        <v>6837</v>
      </c>
      <c r="B6838" s="119">
        <v>0.23599044861047605</v>
      </c>
    </row>
    <row r="6839" spans="1:2">
      <c r="A6839">
        <v>6838</v>
      </c>
      <c r="B6839" s="119">
        <v>0.56932378194380939</v>
      </c>
    </row>
    <row r="6840" spans="1:2">
      <c r="A6840">
        <v>6839</v>
      </c>
      <c r="B6840" s="119">
        <v>0.90265711527714265</v>
      </c>
    </row>
    <row r="6841" spans="1:2">
      <c r="A6841">
        <v>6840</v>
      </c>
      <c r="B6841" s="119">
        <v>5.0805263425290854E-2</v>
      </c>
    </row>
    <row r="6842" spans="1:2">
      <c r="A6842">
        <v>6841</v>
      </c>
      <c r="B6842" s="119">
        <v>0.38413859675862416</v>
      </c>
    </row>
    <row r="6843" spans="1:2">
      <c r="A6843">
        <v>6842</v>
      </c>
      <c r="B6843" s="119">
        <v>0.71747193009195753</v>
      </c>
    </row>
    <row r="6844" spans="1:2">
      <c r="A6844">
        <v>6843</v>
      </c>
      <c r="B6844" s="119">
        <v>0.16191637453640198</v>
      </c>
    </row>
    <row r="6845" spans="1:2">
      <c r="A6845">
        <v>6844</v>
      </c>
      <c r="B6845" s="119">
        <v>0.49524970786973527</v>
      </c>
    </row>
    <row r="6846" spans="1:2">
      <c r="A6846">
        <v>6845</v>
      </c>
      <c r="B6846" s="119">
        <v>0.82858304120306847</v>
      </c>
    </row>
    <row r="6847" spans="1:2">
      <c r="A6847">
        <v>6846</v>
      </c>
      <c r="B6847" s="119">
        <v>0.27302748564751306</v>
      </c>
    </row>
    <row r="6848" spans="1:2">
      <c r="A6848">
        <v>6847</v>
      </c>
      <c r="B6848" s="119">
        <v>0.60636081898084637</v>
      </c>
    </row>
    <row r="6849" spans="1:2">
      <c r="A6849">
        <v>6848</v>
      </c>
      <c r="B6849" s="119">
        <v>0.93969415231417963</v>
      </c>
    </row>
    <row r="6850" spans="1:2">
      <c r="A6850">
        <v>6849</v>
      </c>
      <c r="B6850" s="119">
        <v>8.7842300462327896E-2</v>
      </c>
    </row>
    <row r="6851" spans="1:2">
      <c r="A6851">
        <v>6850</v>
      </c>
      <c r="B6851" s="119">
        <v>0.4211756337956612</v>
      </c>
    </row>
    <row r="6852" spans="1:2">
      <c r="A6852">
        <v>6851</v>
      </c>
      <c r="B6852" s="119">
        <v>0.75450896712899451</v>
      </c>
    </row>
    <row r="6853" spans="1:2">
      <c r="A6853">
        <v>6852</v>
      </c>
      <c r="B6853" s="119">
        <v>0.19895341157343902</v>
      </c>
    </row>
    <row r="6854" spans="1:2">
      <c r="A6854">
        <v>6853</v>
      </c>
      <c r="B6854" s="119">
        <v>0.53228674490677219</v>
      </c>
    </row>
    <row r="6855" spans="1:2">
      <c r="A6855">
        <v>6854</v>
      </c>
      <c r="B6855" s="119">
        <v>0.86562007824010545</v>
      </c>
    </row>
    <row r="6856" spans="1:2">
      <c r="A6856">
        <v>6855</v>
      </c>
      <c r="B6856" s="119">
        <v>0.31006452268455009</v>
      </c>
    </row>
    <row r="6857" spans="1:2">
      <c r="A6857">
        <v>6856</v>
      </c>
      <c r="B6857" s="119">
        <v>0.64339785601788335</v>
      </c>
    </row>
    <row r="6858" spans="1:2">
      <c r="A6858">
        <v>6857</v>
      </c>
      <c r="B6858" s="119">
        <v>0.97673118935121661</v>
      </c>
    </row>
    <row r="6859" spans="1:2">
      <c r="A6859">
        <v>6858</v>
      </c>
      <c r="B6859" s="119">
        <v>2.6113905400599498E-2</v>
      </c>
    </row>
    <row r="6860" spans="1:2">
      <c r="A6860">
        <v>6859</v>
      </c>
      <c r="B6860" s="119">
        <v>0.35944723873393281</v>
      </c>
    </row>
    <row r="6861" spans="1:2">
      <c r="A6861">
        <v>6860</v>
      </c>
      <c r="B6861" s="119">
        <v>0.69278057206726606</v>
      </c>
    </row>
    <row r="6862" spans="1:2">
      <c r="A6862">
        <v>6861</v>
      </c>
      <c r="B6862" s="119">
        <v>0.13722501651171062</v>
      </c>
    </row>
    <row r="6863" spans="1:2">
      <c r="A6863">
        <v>6862</v>
      </c>
      <c r="B6863" s="119">
        <v>0.47055834984504391</v>
      </c>
    </row>
    <row r="6864" spans="1:2">
      <c r="A6864">
        <v>6863</v>
      </c>
      <c r="B6864" s="119">
        <v>0.80389168317837711</v>
      </c>
    </row>
    <row r="6865" spans="1:2">
      <c r="A6865">
        <v>6864</v>
      </c>
      <c r="B6865" s="119">
        <v>0.24833612762282173</v>
      </c>
    </row>
    <row r="6866" spans="1:2">
      <c r="A6866">
        <v>6865</v>
      </c>
      <c r="B6866" s="119">
        <v>0.58166946095615502</v>
      </c>
    </row>
    <row r="6867" spans="1:2">
      <c r="A6867">
        <v>6866</v>
      </c>
      <c r="B6867" s="119">
        <v>0.91500279428948827</v>
      </c>
    </row>
    <row r="6868" spans="1:2">
      <c r="A6868">
        <v>6867</v>
      </c>
      <c r="B6868" s="119">
        <v>6.315094243763654E-2</v>
      </c>
    </row>
    <row r="6869" spans="1:2">
      <c r="A6869">
        <v>6868</v>
      </c>
      <c r="B6869" s="119">
        <v>0.39648427577096984</v>
      </c>
    </row>
    <row r="6870" spans="1:2">
      <c r="A6870">
        <v>6869</v>
      </c>
      <c r="B6870" s="119">
        <v>0.72981760910430316</v>
      </c>
    </row>
    <row r="6871" spans="1:2">
      <c r="A6871">
        <v>6870</v>
      </c>
      <c r="B6871" s="119">
        <v>0.17426205354874766</v>
      </c>
    </row>
    <row r="6872" spans="1:2">
      <c r="A6872">
        <v>6871</v>
      </c>
      <c r="B6872" s="119">
        <v>0.50759538688208095</v>
      </c>
    </row>
    <row r="6873" spans="1:2">
      <c r="A6873">
        <v>6872</v>
      </c>
      <c r="B6873" s="119">
        <v>0.84092872021541409</v>
      </c>
    </row>
    <row r="6874" spans="1:2">
      <c r="A6874">
        <v>6873</v>
      </c>
      <c r="B6874" s="119">
        <v>0.28537316465985874</v>
      </c>
    </row>
    <row r="6875" spans="1:2">
      <c r="A6875">
        <v>6874</v>
      </c>
      <c r="B6875" s="119">
        <v>0.618706497993192</v>
      </c>
    </row>
    <row r="6876" spans="1:2">
      <c r="A6876">
        <v>6875</v>
      </c>
      <c r="B6876" s="119">
        <v>0.95203983132652525</v>
      </c>
    </row>
    <row r="6877" spans="1:2">
      <c r="A6877">
        <v>6876</v>
      </c>
      <c r="B6877" s="119">
        <v>0.10018797947467357</v>
      </c>
    </row>
    <row r="6878" spans="1:2">
      <c r="A6878">
        <v>6877</v>
      </c>
      <c r="B6878" s="119">
        <v>0.43352131280800688</v>
      </c>
    </row>
    <row r="6879" spans="1:2">
      <c r="A6879">
        <v>6878</v>
      </c>
      <c r="B6879" s="119">
        <v>0.76685464614134013</v>
      </c>
    </row>
    <row r="6880" spans="1:2">
      <c r="A6880">
        <v>6879</v>
      </c>
      <c r="B6880" s="119">
        <v>0.21129909058578469</v>
      </c>
    </row>
    <row r="6881" spans="1:2">
      <c r="A6881">
        <v>6880</v>
      </c>
      <c r="B6881" s="119">
        <v>0.54463242391911793</v>
      </c>
    </row>
    <row r="6882" spans="1:2">
      <c r="A6882">
        <v>6881</v>
      </c>
      <c r="B6882" s="119">
        <v>0.87796575725245118</v>
      </c>
    </row>
    <row r="6883" spans="1:2">
      <c r="A6883">
        <v>6882</v>
      </c>
      <c r="B6883" s="119">
        <v>0.32241020169689577</v>
      </c>
    </row>
    <row r="6884" spans="1:2">
      <c r="A6884">
        <v>6883</v>
      </c>
      <c r="B6884" s="119">
        <v>0.65574353503022909</v>
      </c>
    </row>
    <row r="6885" spans="1:2">
      <c r="A6885">
        <v>6884</v>
      </c>
      <c r="B6885" s="119">
        <v>0.98907686836356234</v>
      </c>
    </row>
    <row r="6886" spans="1:2">
      <c r="A6886">
        <v>6885</v>
      </c>
      <c r="B6886" s="119">
        <v>5.5377737133567046E-3</v>
      </c>
    </row>
    <row r="6887" spans="1:2">
      <c r="A6887">
        <v>6886</v>
      </c>
      <c r="B6887" s="119">
        <v>0.33887110704668999</v>
      </c>
    </row>
    <row r="6888" spans="1:2">
      <c r="A6888">
        <v>6887</v>
      </c>
      <c r="B6888" s="119">
        <v>0.67220444038002325</v>
      </c>
    </row>
    <row r="6889" spans="1:2">
      <c r="A6889">
        <v>6888</v>
      </c>
      <c r="B6889" s="119">
        <v>0.11664888482446781</v>
      </c>
    </row>
    <row r="6890" spans="1:2">
      <c r="A6890">
        <v>6889</v>
      </c>
      <c r="B6890" s="119">
        <v>0.44998221815780109</v>
      </c>
    </row>
    <row r="6891" spans="1:2">
      <c r="A6891">
        <v>6890</v>
      </c>
      <c r="B6891" s="119">
        <v>0.7833155514911343</v>
      </c>
    </row>
    <row r="6892" spans="1:2">
      <c r="A6892">
        <v>6891</v>
      </c>
      <c r="B6892" s="119">
        <v>0.22775999593557894</v>
      </c>
    </row>
    <row r="6893" spans="1:2">
      <c r="A6893">
        <v>6892</v>
      </c>
      <c r="B6893" s="119">
        <v>0.5610933292689122</v>
      </c>
    </row>
    <row r="6894" spans="1:2">
      <c r="A6894">
        <v>6893</v>
      </c>
      <c r="B6894" s="119">
        <v>0.89442666260224546</v>
      </c>
    </row>
    <row r="6895" spans="1:2">
      <c r="A6895">
        <v>6894</v>
      </c>
      <c r="B6895" s="119">
        <v>4.2574810750393738E-2</v>
      </c>
    </row>
    <row r="6896" spans="1:2">
      <c r="A6896">
        <v>6895</v>
      </c>
      <c r="B6896" s="119">
        <v>0.37590814408372702</v>
      </c>
    </row>
    <row r="6897" spans="1:2">
      <c r="A6897">
        <v>6896</v>
      </c>
      <c r="B6897" s="119">
        <v>0.70924147741706034</v>
      </c>
    </row>
    <row r="6898" spans="1:2">
      <c r="A6898">
        <v>6897</v>
      </c>
      <c r="B6898" s="119">
        <v>0.15368592186150487</v>
      </c>
    </row>
    <row r="6899" spans="1:2">
      <c r="A6899">
        <v>6898</v>
      </c>
      <c r="B6899" s="119">
        <v>0.48701925519483813</v>
      </c>
    </row>
    <row r="6900" spans="1:2">
      <c r="A6900">
        <v>6899</v>
      </c>
      <c r="B6900" s="119">
        <v>0.82035258852817128</v>
      </c>
    </row>
    <row r="6901" spans="1:2">
      <c r="A6901">
        <v>6900</v>
      </c>
      <c r="B6901" s="119">
        <v>0.26479703297261592</v>
      </c>
    </row>
    <row r="6902" spans="1:2">
      <c r="A6902">
        <v>6901</v>
      </c>
      <c r="B6902" s="119">
        <v>0.59813036630594918</v>
      </c>
    </row>
    <row r="6903" spans="1:2">
      <c r="A6903">
        <v>6902</v>
      </c>
      <c r="B6903" s="119">
        <v>0.93146369963928244</v>
      </c>
    </row>
    <row r="6904" spans="1:2">
      <c r="A6904">
        <v>6903</v>
      </c>
      <c r="B6904" s="119">
        <v>7.9611847787430773E-2</v>
      </c>
    </row>
    <row r="6905" spans="1:2">
      <c r="A6905">
        <v>6904</v>
      </c>
      <c r="B6905" s="119">
        <v>0.41294518112076406</v>
      </c>
    </row>
    <row r="6906" spans="1:2">
      <c r="A6906">
        <v>6905</v>
      </c>
      <c r="B6906" s="119">
        <v>0.74627851445409732</v>
      </c>
    </row>
    <row r="6907" spans="1:2">
      <c r="A6907">
        <v>6906</v>
      </c>
      <c r="B6907" s="119">
        <v>0.19072295889854191</v>
      </c>
    </row>
    <row r="6908" spans="1:2">
      <c r="A6908">
        <v>6907</v>
      </c>
      <c r="B6908" s="119">
        <v>0.52405629223187511</v>
      </c>
    </row>
    <row r="6909" spans="1:2">
      <c r="A6909">
        <v>6908</v>
      </c>
      <c r="B6909" s="119">
        <v>0.85738962556520837</v>
      </c>
    </row>
    <row r="6910" spans="1:2">
      <c r="A6910">
        <v>6909</v>
      </c>
      <c r="B6910" s="119">
        <v>0.30183407000965295</v>
      </c>
    </row>
    <row r="6911" spans="1:2">
      <c r="A6911">
        <v>6910</v>
      </c>
      <c r="B6911" s="119">
        <v>0.63516740334298627</v>
      </c>
    </row>
    <row r="6912" spans="1:2">
      <c r="A6912">
        <v>6911</v>
      </c>
      <c r="B6912" s="119">
        <v>0.96850073667631953</v>
      </c>
    </row>
    <row r="6913" spans="1:2">
      <c r="A6913">
        <v>6912</v>
      </c>
      <c r="B6913" s="119">
        <v>1.7883452725702381E-2</v>
      </c>
    </row>
    <row r="6914" spans="1:2">
      <c r="A6914">
        <v>6913</v>
      </c>
      <c r="B6914" s="119">
        <v>0.35121678605903567</v>
      </c>
    </row>
    <row r="6915" spans="1:2">
      <c r="A6915">
        <v>6914</v>
      </c>
      <c r="B6915" s="119">
        <v>0.68455011939236887</v>
      </c>
    </row>
    <row r="6916" spans="1:2">
      <c r="A6916">
        <v>6915</v>
      </c>
      <c r="B6916" s="119">
        <v>0.12899456383681351</v>
      </c>
    </row>
    <row r="6917" spans="1:2">
      <c r="A6917">
        <v>6916</v>
      </c>
      <c r="B6917" s="119">
        <v>0.46232789717014677</v>
      </c>
    </row>
    <row r="6918" spans="1:2">
      <c r="A6918">
        <v>6917</v>
      </c>
      <c r="B6918" s="119">
        <v>0.79566123050348003</v>
      </c>
    </row>
    <row r="6919" spans="1:2">
      <c r="A6919">
        <v>6918</v>
      </c>
      <c r="B6919" s="119">
        <v>0.24010567494792462</v>
      </c>
    </row>
    <row r="6920" spans="1:2">
      <c r="A6920">
        <v>6919</v>
      </c>
      <c r="B6920" s="119">
        <v>0.57343900828125793</v>
      </c>
    </row>
    <row r="6921" spans="1:2">
      <c r="A6921">
        <v>6920</v>
      </c>
      <c r="B6921" s="119">
        <v>0.90677234161459119</v>
      </c>
    </row>
    <row r="6922" spans="1:2">
      <c r="A6922">
        <v>6921</v>
      </c>
      <c r="B6922" s="119">
        <v>5.4920489762739416E-2</v>
      </c>
    </row>
    <row r="6923" spans="1:2">
      <c r="A6923">
        <v>6922</v>
      </c>
      <c r="B6923" s="119">
        <v>0.3882538230960727</v>
      </c>
    </row>
    <row r="6924" spans="1:2">
      <c r="A6924">
        <v>6923</v>
      </c>
      <c r="B6924" s="119">
        <v>0.72158715642940607</v>
      </c>
    </row>
    <row r="6925" spans="1:2">
      <c r="A6925">
        <v>6924</v>
      </c>
      <c r="B6925" s="119">
        <v>0.16603160087385055</v>
      </c>
    </row>
    <row r="6926" spans="1:2">
      <c r="A6926">
        <v>6925</v>
      </c>
      <c r="B6926" s="119">
        <v>0.49936493420718381</v>
      </c>
    </row>
    <row r="6927" spans="1:2">
      <c r="A6927">
        <v>6926</v>
      </c>
      <c r="B6927" s="119">
        <v>0.83269826754051701</v>
      </c>
    </row>
    <row r="6928" spans="1:2">
      <c r="A6928">
        <v>6927</v>
      </c>
      <c r="B6928" s="119">
        <v>0.2771427119849616</v>
      </c>
    </row>
    <row r="6929" spans="1:2">
      <c r="A6929">
        <v>6928</v>
      </c>
      <c r="B6929" s="119">
        <v>0.61047604531829491</v>
      </c>
    </row>
    <row r="6930" spans="1:2">
      <c r="A6930">
        <v>6929</v>
      </c>
      <c r="B6930" s="119">
        <v>0.94380937865162817</v>
      </c>
    </row>
    <row r="6931" spans="1:2">
      <c r="A6931">
        <v>6930</v>
      </c>
      <c r="B6931" s="119">
        <v>9.1957526799776451E-2</v>
      </c>
    </row>
    <row r="6932" spans="1:2">
      <c r="A6932">
        <v>6931</v>
      </c>
      <c r="B6932" s="119">
        <v>0.42529086013310974</v>
      </c>
    </row>
    <row r="6933" spans="1:2">
      <c r="A6933">
        <v>6932</v>
      </c>
      <c r="B6933" s="119">
        <v>0.75862419346644305</v>
      </c>
    </row>
    <row r="6934" spans="1:2">
      <c r="A6934">
        <v>6933</v>
      </c>
      <c r="B6934" s="119">
        <v>0.20306863791088758</v>
      </c>
    </row>
    <row r="6935" spans="1:2">
      <c r="A6935">
        <v>6934</v>
      </c>
      <c r="B6935" s="119">
        <v>0.53640197124422073</v>
      </c>
    </row>
    <row r="6936" spans="1:2">
      <c r="A6936">
        <v>6935</v>
      </c>
      <c r="B6936" s="119">
        <v>0.86973530457755399</v>
      </c>
    </row>
    <row r="6937" spans="1:2">
      <c r="A6937">
        <v>6936</v>
      </c>
      <c r="B6937" s="119">
        <v>0.31417974902199863</v>
      </c>
    </row>
    <row r="6938" spans="1:2">
      <c r="A6938">
        <v>6937</v>
      </c>
      <c r="B6938" s="119">
        <v>0.64751308235533189</v>
      </c>
    </row>
    <row r="6939" spans="1:2">
      <c r="A6939">
        <v>6938</v>
      </c>
      <c r="B6939" s="119">
        <v>0.98084641568866515</v>
      </c>
    </row>
    <row r="6940" spans="1:2">
      <c r="A6940">
        <v>6939</v>
      </c>
      <c r="B6940" s="119">
        <v>3.022913173804806E-2</v>
      </c>
    </row>
    <row r="6941" spans="1:2">
      <c r="A6941">
        <v>6940</v>
      </c>
      <c r="B6941" s="119">
        <v>0.36356246507138135</v>
      </c>
    </row>
    <row r="6942" spans="1:2">
      <c r="A6942">
        <v>6941</v>
      </c>
      <c r="B6942" s="119">
        <v>0.69689579840471461</v>
      </c>
    </row>
    <row r="6943" spans="1:2">
      <c r="A6943">
        <v>6942</v>
      </c>
      <c r="B6943" s="119">
        <v>0.14134024284915919</v>
      </c>
    </row>
    <row r="6944" spans="1:2">
      <c r="A6944">
        <v>6943</v>
      </c>
      <c r="B6944" s="119">
        <v>0.47467357618249245</v>
      </c>
    </row>
    <row r="6945" spans="1:2">
      <c r="A6945">
        <v>6944</v>
      </c>
      <c r="B6945" s="119">
        <v>0.80800690951582566</v>
      </c>
    </row>
    <row r="6946" spans="1:2">
      <c r="A6946">
        <v>6945</v>
      </c>
      <c r="B6946" s="119">
        <v>0.25245135396027024</v>
      </c>
    </row>
    <row r="6947" spans="1:2">
      <c r="A6947">
        <v>6946</v>
      </c>
      <c r="B6947" s="119">
        <v>0.58578468729360356</v>
      </c>
    </row>
    <row r="6948" spans="1:2">
      <c r="A6948">
        <v>6947</v>
      </c>
      <c r="B6948" s="119">
        <v>0.91911802062693682</v>
      </c>
    </row>
    <row r="6949" spans="1:2">
      <c r="A6949">
        <v>6948</v>
      </c>
      <c r="B6949" s="119">
        <v>6.7266168775085095E-2</v>
      </c>
    </row>
    <row r="6950" spans="1:2">
      <c r="A6950">
        <v>6949</v>
      </c>
      <c r="B6950" s="119">
        <v>0.40059950210841838</v>
      </c>
    </row>
    <row r="6951" spans="1:2">
      <c r="A6951">
        <v>6950</v>
      </c>
      <c r="B6951" s="119">
        <v>0.7339328354417517</v>
      </c>
    </row>
    <row r="6952" spans="1:2">
      <c r="A6952">
        <v>6951</v>
      </c>
      <c r="B6952" s="119">
        <v>0.17837727988619623</v>
      </c>
    </row>
    <row r="6953" spans="1:2">
      <c r="A6953">
        <v>6952</v>
      </c>
      <c r="B6953" s="119">
        <v>0.51171061321952949</v>
      </c>
    </row>
    <row r="6954" spans="1:2">
      <c r="A6954">
        <v>6953</v>
      </c>
      <c r="B6954" s="119">
        <v>0.84504394655286263</v>
      </c>
    </row>
    <row r="6955" spans="1:2">
      <c r="A6955">
        <v>6954</v>
      </c>
      <c r="B6955" s="119">
        <v>0.28948839099730728</v>
      </c>
    </row>
    <row r="6956" spans="1:2">
      <c r="A6956">
        <v>6955</v>
      </c>
      <c r="B6956" s="119">
        <v>0.62282172433064054</v>
      </c>
    </row>
    <row r="6957" spans="1:2">
      <c r="A6957">
        <v>6956</v>
      </c>
      <c r="B6957" s="119">
        <v>0.9561550576639738</v>
      </c>
    </row>
    <row r="6958" spans="1:2">
      <c r="A6958">
        <v>6957</v>
      </c>
      <c r="B6958" s="119">
        <v>0.10430320581212213</v>
      </c>
    </row>
    <row r="6959" spans="1:2">
      <c r="A6959">
        <v>6958</v>
      </c>
      <c r="B6959" s="119">
        <v>0.43763653914545542</v>
      </c>
    </row>
    <row r="6960" spans="1:2">
      <c r="A6960">
        <v>6959</v>
      </c>
      <c r="B6960" s="119">
        <v>0.77096987247878868</v>
      </c>
    </row>
    <row r="6961" spans="1:2">
      <c r="A6961">
        <v>6960</v>
      </c>
      <c r="B6961" s="119">
        <v>0.21541431692323326</v>
      </c>
    </row>
    <row r="6962" spans="1:2">
      <c r="A6962">
        <v>6961</v>
      </c>
      <c r="B6962" s="119">
        <v>0.54874765025656647</v>
      </c>
    </row>
    <row r="6963" spans="1:2">
      <c r="A6963">
        <v>6962</v>
      </c>
      <c r="B6963" s="119">
        <v>0.88208098358989973</v>
      </c>
    </row>
    <row r="6964" spans="1:2">
      <c r="A6964">
        <v>6963</v>
      </c>
      <c r="B6964" s="119">
        <v>0.32652542803434431</v>
      </c>
    </row>
    <row r="6965" spans="1:2">
      <c r="A6965">
        <v>6964</v>
      </c>
      <c r="B6965" s="119">
        <v>0.65985876136767763</v>
      </c>
    </row>
    <row r="6966" spans="1:2">
      <c r="A6966">
        <v>6965</v>
      </c>
      <c r="B6966" s="119">
        <v>0.99319209470101089</v>
      </c>
    </row>
    <row r="6967" spans="1:2">
      <c r="A6967">
        <v>6966</v>
      </c>
      <c r="B6967" s="119">
        <v>9.6530000508052646E-3</v>
      </c>
    </row>
    <row r="6968" spans="1:2">
      <c r="A6968">
        <v>6967</v>
      </c>
      <c r="B6968" s="119">
        <v>0.34298633338413859</v>
      </c>
    </row>
    <row r="6969" spans="1:2">
      <c r="A6969">
        <v>6968</v>
      </c>
      <c r="B6969" s="119">
        <v>0.67631966671747179</v>
      </c>
    </row>
    <row r="6970" spans="1:2">
      <c r="A6970">
        <v>6969</v>
      </c>
      <c r="B6970" s="119">
        <v>0.12076411116191638</v>
      </c>
    </row>
    <row r="6971" spans="1:2">
      <c r="A6971">
        <v>6970</v>
      </c>
      <c r="B6971" s="119">
        <v>0.45409744449524969</v>
      </c>
    </row>
    <row r="6972" spans="1:2">
      <c r="A6972">
        <v>6971</v>
      </c>
      <c r="B6972" s="119">
        <v>0.78743077782858284</v>
      </c>
    </row>
    <row r="6973" spans="1:2">
      <c r="A6973">
        <v>6972</v>
      </c>
      <c r="B6973" s="119">
        <v>0.23187522227302748</v>
      </c>
    </row>
    <row r="6974" spans="1:2">
      <c r="A6974">
        <v>6973</v>
      </c>
      <c r="B6974" s="119">
        <v>0.56520855560636074</v>
      </c>
    </row>
    <row r="6975" spans="1:2">
      <c r="A6975">
        <v>6974</v>
      </c>
      <c r="B6975" s="119">
        <v>0.898541888939694</v>
      </c>
    </row>
    <row r="6976" spans="1:2">
      <c r="A6976">
        <v>6975</v>
      </c>
      <c r="B6976" s="119">
        <v>4.66900370878423E-2</v>
      </c>
    </row>
    <row r="6977" spans="1:2">
      <c r="A6977">
        <v>6976</v>
      </c>
      <c r="B6977" s="119">
        <v>0.38002337042117562</v>
      </c>
    </row>
    <row r="6978" spans="1:2">
      <c r="A6978">
        <v>6977</v>
      </c>
      <c r="B6978" s="119">
        <v>0.71335670375450888</v>
      </c>
    </row>
    <row r="6979" spans="1:2">
      <c r="A6979">
        <v>6978</v>
      </c>
      <c r="B6979" s="119">
        <v>0.15780114819895341</v>
      </c>
    </row>
    <row r="6980" spans="1:2">
      <c r="A6980">
        <v>6979</v>
      </c>
      <c r="B6980" s="119">
        <v>0.49113448153228673</v>
      </c>
    </row>
    <row r="6981" spans="1:2">
      <c r="A6981">
        <v>6980</v>
      </c>
      <c r="B6981" s="119">
        <v>0.82446781486561982</v>
      </c>
    </row>
    <row r="6982" spans="1:2">
      <c r="A6982">
        <v>6981</v>
      </c>
      <c r="B6982" s="119">
        <v>0.26891225931006452</v>
      </c>
    </row>
    <row r="6983" spans="1:2">
      <c r="A6983">
        <v>6982</v>
      </c>
      <c r="B6983" s="119">
        <v>0.60224559264339772</v>
      </c>
    </row>
    <row r="6984" spans="1:2">
      <c r="A6984">
        <v>6983</v>
      </c>
      <c r="B6984" s="119">
        <v>0.93557892597673098</v>
      </c>
    </row>
    <row r="6985" spans="1:2">
      <c r="A6985">
        <v>6984</v>
      </c>
      <c r="B6985" s="119">
        <v>8.3727074124879342E-2</v>
      </c>
    </row>
    <row r="6986" spans="1:2">
      <c r="A6986">
        <v>6985</v>
      </c>
      <c r="B6986" s="119">
        <v>0.41706040745821266</v>
      </c>
    </row>
    <row r="6987" spans="1:2">
      <c r="A6987">
        <v>6986</v>
      </c>
      <c r="B6987" s="119">
        <v>0.75039374079154586</v>
      </c>
    </row>
    <row r="6988" spans="1:2">
      <c r="A6988">
        <v>6987</v>
      </c>
      <c r="B6988" s="119">
        <v>0.19483818523599045</v>
      </c>
    </row>
    <row r="6989" spans="1:2">
      <c r="A6989">
        <v>6988</v>
      </c>
      <c r="B6989" s="119">
        <v>0.52817151856932365</v>
      </c>
    </row>
    <row r="6990" spans="1:2">
      <c r="A6990">
        <v>6989</v>
      </c>
      <c r="B6990" s="119">
        <v>0.86150485190265691</v>
      </c>
    </row>
    <row r="6991" spans="1:2">
      <c r="A6991">
        <v>6990</v>
      </c>
      <c r="B6991" s="119">
        <v>0.30594929634710155</v>
      </c>
    </row>
    <row r="6992" spans="1:2">
      <c r="A6992">
        <v>6991</v>
      </c>
      <c r="B6992" s="119">
        <v>0.63928262968043481</v>
      </c>
    </row>
    <row r="6993" spans="1:2">
      <c r="A6993">
        <v>6992</v>
      </c>
      <c r="B6993" s="119">
        <v>0.97261596301376807</v>
      </c>
    </row>
    <row r="6994" spans="1:2">
      <c r="A6994">
        <v>6993</v>
      </c>
      <c r="B6994" s="119">
        <v>2.1998679063150939E-2</v>
      </c>
    </row>
    <row r="6995" spans="1:2">
      <c r="A6995">
        <v>6994</v>
      </c>
      <c r="B6995" s="119">
        <v>0.35533201239648426</v>
      </c>
    </row>
    <row r="6996" spans="1:2">
      <c r="A6996">
        <v>6995</v>
      </c>
      <c r="B6996" s="119">
        <v>0.68866534572981741</v>
      </c>
    </row>
    <row r="6997" spans="1:2">
      <c r="A6997">
        <v>6996</v>
      </c>
      <c r="B6997" s="119">
        <v>0.13310979017426205</v>
      </c>
    </row>
    <row r="6998" spans="1:2">
      <c r="A6998">
        <v>6997</v>
      </c>
      <c r="B6998" s="119">
        <v>0.46644312350759537</v>
      </c>
    </row>
    <row r="6999" spans="1:2">
      <c r="A6999">
        <v>6998</v>
      </c>
      <c r="B6999" s="119">
        <v>0.79977645684092857</v>
      </c>
    </row>
    <row r="7000" spans="1:2">
      <c r="A7000">
        <v>6999</v>
      </c>
      <c r="B7000" s="119">
        <v>0.24422090128537316</v>
      </c>
    </row>
    <row r="7001" spans="1:2">
      <c r="A7001">
        <v>7000</v>
      </c>
      <c r="B7001" s="119">
        <v>0.57755423461870647</v>
      </c>
    </row>
    <row r="7002" spans="1:2">
      <c r="A7002">
        <v>7001</v>
      </c>
      <c r="B7002" s="119">
        <v>0.91088756795203973</v>
      </c>
    </row>
    <row r="7003" spans="1:2">
      <c r="A7003">
        <v>7002</v>
      </c>
      <c r="B7003" s="119">
        <v>5.9035716100187978E-2</v>
      </c>
    </row>
    <row r="7004" spans="1:2">
      <c r="A7004">
        <v>7003</v>
      </c>
      <c r="B7004" s="119">
        <v>0.3923690494335213</v>
      </c>
    </row>
    <row r="7005" spans="1:2">
      <c r="A7005">
        <v>7004</v>
      </c>
      <c r="B7005" s="119">
        <v>0.72570238276685461</v>
      </c>
    </row>
    <row r="7006" spans="1:2">
      <c r="A7006">
        <v>7005</v>
      </c>
      <c r="B7006" s="119">
        <v>0.17014682721129909</v>
      </c>
    </row>
    <row r="7007" spans="1:2">
      <c r="A7007">
        <v>7006</v>
      </c>
      <c r="B7007" s="119">
        <v>0.50348016054463229</v>
      </c>
    </row>
    <row r="7008" spans="1:2">
      <c r="A7008">
        <v>7007</v>
      </c>
      <c r="B7008" s="119">
        <v>0.83681349387796555</v>
      </c>
    </row>
    <row r="7009" spans="1:2">
      <c r="A7009">
        <v>7008</v>
      </c>
      <c r="B7009" s="119">
        <v>0.28125793832241019</v>
      </c>
    </row>
    <row r="7010" spans="1:2">
      <c r="A7010">
        <v>7009</v>
      </c>
      <c r="B7010" s="119">
        <v>0.61459127165574345</v>
      </c>
    </row>
    <row r="7011" spans="1:2">
      <c r="A7011">
        <v>7010</v>
      </c>
      <c r="B7011" s="119">
        <v>0.94792460498907671</v>
      </c>
    </row>
    <row r="7012" spans="1:2">
      <c r="A7012">
        <v>7011</v>
      </c>
      <c r="B7012" s="119">
        <v>9.607275313722502E-2</v>
      </c>
    </row>
    <row r="7013" spans="1:2">
      <c r="A7013">
        <v>7012</v>
      </c>
      <c r="B7013" s="119">
        <v>0.42940608647055833</v>
      </c>
    </row>
    <row r="7014" spans="1:2">
      <c r="A7014">
        <v>7013</v>
      </c>
      <c r="B7014" s="119">
        <v>0.76273941980389159</v>
      </c>
    </row>
    <row r="7015" spans="1:2">
      <c r="A7015">
        <v>7014</v>
      </c>
      <c r="B7015" s="119">
        <v>0.20718386424833612</v>
      </c>
    </row>
    <row r="7016" spans="1:2">
      <c r="A7016">
        <v>7015</v>
      </c>
      <c r="B7016" s="119">
        <v>0.54051719758166927</v>
      </c>
    </row>
    <row r="7017" spans="1:2">
      <c r="A7017">
        <v>7016</v>
      </c>
      <c r="B7017" s="119">
        <v>0.87385053091500253</v>
      </c>
    </row>
    <row r="7018" spans="1:2">
      <c r="A7018">
        <v>7017</v>
      </c>
      <c r="B7018" s="119">
        <v>0.31829497535944723</v>
      </c>
    </row>
    <row r="7019" spans="1:2">
      <c r="A7019">
        <v>7018</v>
      </c>
      <c r="B7019" s="119">
        <v>0.65162830869278043</v>
      </c>
    </row>
    <row r="7020" spans="1:2">
      <c r="A7020">
        <v>7019</v>
      </c>
      <c r="B7020" s="119">
        <v>0.98496164202611369</v>
      </c>
    </row>
    <row r="7021" spans="1:2">
      <c r="A7021">
        <v>7020</v>
      </c>
      <c r="B7021" s="119">
        <v>3.4344358075496621E-2</v>
      </c>
    </row>
    <row r="7022" spans="1:2">
      <c r="A7022">
        <v>7021</v>
      </c>
      <c r="B7022" s="119">
        <v>0.36767769140882994</v>
      </c>
    </row>
    <row r="7023" spans="1:2">
      <c r="A7023">
        <v>7022</v>
      </c>
      <c r="B7023" s="119">
        <v>0.70101102474216315</v>
      </c>
    </row>
    <row r="7024" spans="1:2">
      <c r="A7024">
        <v>7023</v>
      </c>
      <c r="B7024" s="119">
        <v>0.14545546918660773</v>
      </c>
    </row>
    <row r="7025" spans="1:2">
      <c r="A7025">
        <v>7024</v>
      </c>
      <c r="B7025" s="119">
        <v>0.47878880251994105</v>
      </c>
    </row>
    <row r="7026" spans="1:2">
      <c r="A7026">
        <v>7025</v>
      </c>
      <c r="B7026" s="119">
        <v>0.8121221358532742</v>
      </c>
    </row>
    <row r="7027" spans="1:2">
      <c r="A7027">
        <v>7026</v>
      </c>
      <c r="B7027" s="119">
        <v>0.25656658029771884</v>
      </c>
    </row>
    <row r="7028" spans="1:2">
      <c r="A7028">
        <v>7027</v>
      </c>
      <c r="B7028" s="119">
        <v>0.5898999136310521</v>
      </c>
    </row>
    <row r="7029" spans="1:2">
      <c r="A7029">
        <v>7028</v>
      </c>
      <c r="B7029" s="119">
        <v>0.92323324696438536</v>
      </c>
    </row>
    <row r="7030" spans="1:2">
      <c r="A7030">
        <v>7029</v>
      </c>
      <c r="B7030" s="119">
        <v>7.1381395112533663E-2</v>
      </c>
    </row>
    <row r="7031" spans="1:2">
      <c r="A7031">
        <v>7030</v>
      </c>
      <c r="B7031" s="119">
        <v>0.40471472844586698</v>
      </c>
    </row>
    <row r="7032" spans="1:2">
      <c r="A7032">
        <v>7031</v>
      </c>
      <c r="B7032" s="119">
        <v>0.73804806177920024</v>
      </c>
    </row>
    <row r="7033" spans="1:2">
      <c r="A7033">
        <v>7032</v>
      </c>
      <c r="B7033" s="119">
        <v>0.18249250622364477</v>
      </c>
    </row>
    <row r="7034" spans="1:2">
      <c r="A7034">
        <v>7033</v>
      </c>
      <c r="B7034" s="119">
        <v>0.51582583955697803</v>
      </c>
    </row>
    <row r="7035" spans="1:2">
      <c r="A7035">
        <v>7034</v>
      </c>
      <c r="B7035" s="119">
        <v>0.84915917289031118</v>
      </c>
    </row>
    <row r="7036" spans="1:2">
      <c r="A7036">
        <v>7035</v>
      </c>
      <c r="B7036" s="119">
        <v>0.29360361733475587</v>
      </c>
    </row>
    <row r="7037" spans="1:2">
      <c r="A7037">
        <v>7036</v>
      </c>
      <c r="B7037" s="119">
        <v>0.62693695066808908</v>
      </c>
    </row>
    <row r="7038" spans="1:2">
      <c r="A7038">
        <v>7037</v>
      </c>
      <c r="B7038" s="119">
        <v>0.96027028400142234</v>
      </c>
    </row>
    <row r="7039" spans="1:2">
      <c r="A7039">
        <v>7038</v>
      </c>
      <c r="B7039" s="119">
        <v>0.1084184321495707</v>
      </c>
    </row>
    <row r="7040" spans="1:2">
      <c r="A7040">
        <v>7039</v>
      </c>
      <c r="B7040" s="119">
        <v>0.44175176548290401</v>
      </c>
    </row>
    <row r="7041" spans="1:2">
      <c r="A7041">
        <v>7040</v>
      </c>
      <c r="B7041" s="119">
        <v>0.77508509881623722</v>
      </c>
    </row>
    <row r="7042" spans="1:2">
      <c r="A7042">
        <v>7041</v>
      </c>
      <c r="B7042" s="119">
        <v>0.2195295432606818</v>
      </c>
    </row>
    <row r="7043" spans="1:2">
      <c r="A7043">
        <v>7042</v>
      </c>
      <c r="B7043" s="119">
        <v>0.55286287659401501</v>
      </c>
    </row>
    <row r="7044" spans="1:2">
      <c r="A7044">
        <v>7043</v>
      </c>
      <c r="B7044" s="119">
        <v>0.88619620992734827</v>
      </c>
    </row>
    <row r="7045" spans="1:2">
      <c r="A7045">
        <v>7044</v>
      </c>
      <c r="B7045" s="119">
        <v>0.33064065437179291</v>
      </c>
    </row>
    <row r="7046" spans="1:2">
      <c r="A7046">
        <v>7045</v>
      </c>
      <c r="B7046" s="119">
        <v>0.66397398770512617</v>
      </c>
    </row>
    <row r="7047" spans="1:2">
      <c r="A7047">
        <v>7046</v>
      </c>
      <c r="B7047" s="119">
        <v>0.99730732103845943</v>
      </c>
    </row>
    <row r="7048" spans="1:2">
      <c r="A7048">
        <v>7047</v>
      </c>
      <c r="B7048" s="119">
        <v>2.7942894883909971E-3</v>
      </c>
    </row>
    <row r="7049" spans="1:2">
      <c r="A7049">
        <v>7048</v>
      </c>
      <c r="B7049" s="119">
        <v>0.33612762282172431</v>
      </c>
    </row>
    <row r="7050" spans="1:2">
      <c r="A7050">
        <v>7049</v>
      </c>
      <c r="B7050" s="119">
        <v>0.66946095615505763</v>
      </c>
    </row>
    <row r="7051" spans="1:2">
      <c r="A7051">
        <v>7050</v>
      </c>
      <c r="B7051" s="119">
        <v>0.1139054005995021</v>
      </c>
    </row>
    <row r="7052" spans="1:2">
      <c r="A7052">
        <v>7051</v>
      </c>
      <c r="B7052" s="119">
        <v>0.44723873393283542</v>
      </c>
    </row>
    <row r="7053" spans="1:2">
      <c r="A7053">
        <v>7052</v>
      </c>
      <c r="B7053" s="119">
        <v>0.78057206726616868</v>
      </c>
    </row>
    <row r="7054" spans="1:2">
      <c r="A7054">
        <v>7053</v>
      </c>
      <c r="B7054" s="119">
        <v>0.22501651171061321</v>
      </c>
    </row>
    <row r="7055" spans="1:2">
      <c r="A7055">
        <v>7054</v>
      </c>
      <c r="B7055" s="119">
        <v>0.55834984504394658</v>
      </c>
    </row>
    <row r="7056" spans="1:2">
      <c r="A7056">
        <v>7055</v>
      </c>
      <c r="B7056" s="119">
        <v>0.89168317837727984</v>
      </c>
    </row>
    <row r="7057" spans="1:2">
      <c r="A7057">
        <v>7056</v>
      </c>
      <c r="B7057" s="119">
        <v>3.9831326525428028E-2</v>
      </c>
    </row>
    <row r="7058" spans="1:2">
      <c r="A7058">
        <v>7057</v>
      </c>
      <c r="B7058" s="119">
        <v>0.37316465985876135</v>
      </c>
    </row>
    <row r="7059" spans="1:2">
      <c r="A7059">
        <v>7058</v>
      </c>
      <c r="B7059" s="119">
        <v>0.70649799319209472</v>
      </c>
    </row>
    <row r="7060" spans="1:2">
      <c r="A7060">
        <v>7059</v>
      </c>
      <c r="B7060" s="119">
        <v>0.15094243763653914</v>
      </c>
    </row>
    <row r="7061" spans="1:2">
      <c r="A7061">
        <v>7060</v>
      </c>
      <c r="B7061" s="119">
        <v>0.48427577096987245</v>
      </c>
    </row>
    <row r="7062" spans="1:2">
      <c r="A7062">
        <v>7061</v>
      </c>
      <c r="B7062" s="119">
        <v>0.81760910430320566</v>
      </c>
    </row>
    <row r="7063" spans="1:2">
      <c r="A7063">
        <v>7062</v>
      </c>
      <c r="B7063" s="119">
        <v>0.26205354874765024</v>
      </c>
    </row>
    <row r="7064" spans="1:2">
      <c r="A7064">
        <v>7063</v>
      </c>
      <c r="B7064" s="119">
        <v>0.59538688208098356</v>
      </c>
    </row>
    <row r="7065" spans="1:2">
      <c r="A7065">
        <v>7064</v>
      </c>
      <c r="B7065" s="119">
        <v>0.92872021541431682</v>
      </c>
    </row>
    <row r="7066" spans="1:2">
      <c r="A7066">
        <v>7065</v>
      </c>
      <c r="B7066" s="119">
        <v>7.686836356246507E-2</v>
      </c>
    </row>
    <row r="7067" spans="1:2">
      <c r="A7067">
        <v>7066</v>
      </c>
      <c r="B7067" s="119">
        <v>0.41020169689579838</v>
      </c>
    </row>
    <row r="7068" spans="1:2">
      <c r="A7068">
        <v>7067</v>
      </c>
      <c r="B7068" s="119">
        <v>0.7435350302291317</v>
      </c>
    </row>
    <row r="7069" spans="1:2">
      <c r="A7069">
        <v>7068</v>
      </c>
      <c r="B7069" s="119">
        <v>0.18797947467357617</v>
      </c>
    </row>
    <row r="7070" spans="1:2">
      <c r="A7070">
        <v>7069</v>
      </c>
      <c r="B7070" s="119">
        <v>0.52131280800690949</v>
      </c>
    </row>
    <row r="7071" spans="1:2">
      <c r="A7071">
        <v>7070</v>
      </c>
      <c r="B7071" s="119">
        <v>0.85464614134024275</v>
      </c>
    </row>
    <row r="7072" spans="1:2">
      <c r="A7072">
        <v>7071</v>
      </c>
      <c r="B7072" s="119">
        <v>0.29909058578468728</v>
      </c>
    </row>
    <row r="7073" spans="1:2">
      <c r="A7073">
        <v>7072</v>
      </c>
      <c r="B7073" s="119">
        <v>0.63242391911802065</v>
      </c>
    </row>
    <row r="7074" spans="1:2">
      <c r="A7074">
        <v>7073</v>
      </c>
      <c r="B7074" s="119">
        <v>0.96575725245135391</v>
      </c>
    </row>
    <row r="7075" spans="1:2">
      <c r="A7075">
        <v>7074</v>
      </c>
      <c r="B7075" s="119">
        <v>1.5139968500736676E-2</v>
      </c>
    </row>
    <row r="7076" spans="1:2">
      <c r="A7076">
        <v>7075</v>
      </c>
      <c r="B7076" s="119">
        <v>0.34847330183406999</v>
      </c>
    </row>
    <row r="7077" spans="1:2">
      <c r="A7077">
        <v>7076</v>
      </c>
      <c r="B7077" s="119">
        <v>0.68180663516740325</v>
      </c>
    </row>
    <row r="7078" spans="1:2">
      <c r="A7078">
        <v>7077</v>
      </c>
      <c r="B7078" s="119">
        <v>0.12625107961184778</v>
      </c>
    </row>
    <row r="7079" spans="1:2">
      <c r="A7079">
        <v>7078</v>
      </c>
      <c r="B7079" s="119">
        <v>0.4595844129451811</v>
      </c>
    </row>
    <row r="7080" spans="1:2">
      <c r="A7080">
        <v>7079</v>
      </c>
      <c r="B7080" s="119">
        <v>0.79291774627851441</v>
      </c>
    </row>
    <row r="7081" spans="1:2">
      <c r="A7081">
        <v>7080</v>
      </c>
      <c r="B7081" s="119">
        <v>0.23736219072295889</v>
      </c>
    </row>
    <row r="7082" spans="1:2">
      <c r="A7082">
        <v>7081</v>
      </c>
      <c r="B7082" s="119">
        <v>0.57069552405629231</v>
      </c>
    </row>
    <row r="7083" spans="1:2">
      <c r="A7083">
        <v>7082</v>
      </c>
      <c r="B7083" s="119">
        <v>0.90402885738962557</v>
      </c>
    </row>
    <row r="7084" spans="1:2">
      <c r="A7084">
        <v>7083</v>
      </c>
      <c r="B7084" s="119">
        <v>5.2177005537773706E-2</v>
      </c>
    </row>
    <row r="7085" spans="1:2">
      <c r="A7085">
        <v>7084</v>
      </c>
      <c r="B7085" s="119">
        <v>0.38551033887110703</v>
      </c>
    </row>
    <row r="7086" spans="1:2">
      <c r="A7086">
        <v>7085</v>
      </c>
      <c r="B7086" s="119">
        <v>0.71884367220444045</v>
      </c>
    </row>
    <row r="7087" spans="1:2">
      <c r="A7087">
        <v>7086</v>
      </c>
      <c r="B7087" s="119">
        <v>0.16328811664888482</v>
      </c>
    </row>
    <row r="7088" spans="1:2">
      <c r="A7088">
        <v>7087</v>
      </c>
      <c r="B7088" s="119">
        <v>0.49662144998221813</v>
      </c>
    </row>
    <row r="7089" spans="1:2">
      <c r="A7089">
        <v>7088</v>
      </c>
      <c r="B7089" s="119">
        <v>0.82995478331555139</v>
      </c>
    </row>
    <row r="7090" spans="1:2">
      <c r="A7090">
        <v>7089</v>
      </c>
      <c r="B7090" s="119">
        <v>0.27439922775999592</v>
      </c>
    </row>
    <row r="7091" spans="1:2">
      <c r="A7091">
        <v>7090</v>
      </c>
      <c r="B7091" s="119">
        <v>0.60773256109332929</v>
      </c>
    </row>
    <row r="7092" spans="1:2">
      <c r="A7092">
        <v>7091</v>
      </c>
      <c r="B7092" s="119">
        <v>0.94106589442666255</v>
      </c>
    </row>
    <row r="7093" spans="1:2">
      <c r="A7093">
        <v>7092</v>
      </c>
      <c r="B7093" s="119">
        <v>8.9214042574810748E-2</v>
      </c>
    </row>
    <row r="7094" spans="1:2">
      <c r="A7094">
        <v>7093</v>
      </c>
      <c r="B7094" s="119">
        <v>0.42254737590814406</v>
      </c>
    </row>
    <row r="7095" spans="1:2">
      <c r="A7095">
        <v>7094</v>
      </c>
      <c r="B7095" s="119">
        <v>0.75588070924147743</v>
      </c>
    </row>
    <row r="7096" spans="1:2">
      <c r="A7096">
        <v>7095</v>
      </c>
      <c r="B7096" s="119">
        <v>0.20032515368592185</v>
      </c>
    </row>
    <row r="7097" spans="1:2">
      <c r="A7097">
        <v>7096</v>
      </c>
      <c r="B7097" s="119">
        <v>0.53365848701925511</v>
      </c>
    </row>
    <row r="7098" spans="1:2">
      <c r="A7098">
        <v>7097</v>
      </c>
      <c r="B7098" s="119">
        <v>0.86699182035258837</v>
      </c>
    </row>
    <row r="7099" spans="1:2">
      <c r="A7099">
        <v>7098</v>
      </c>
      <c r="B7099" s="119">
        <v>0.31143626479703296</v>
      </c>
    </row>
    <row r="7100" spans="1:2">
      <c r="A7100">
        <v>7099</v>
      </c>
      <c r="B7100" s="119">
        <v>0.64476959813036627</v>
      </c>
    </row>
    <row r="7101" spans="1:2">
      <c r="A7101">
        <v>7100</v>
      </c>
      <c r="B7101" s="119">
        <v>0.97810293146369953</v>
      </c>
    </row>
    <row r="7102" spans="1:2">
      <c r="A7102">
        <v>7101</v>
      </c>
      <c r="B7102" s="119">
        <v>2.7485647513082353E-2</v>
      </c>
    </row>
    <row r="7103" spans="1:2">
      <c r="A7103">
        <v>7102</v>
      </c>
      <c r="B7103" s="119">
        <v>0.36081898084641567</v>
      </c>
    </row>
    <row r="7104" spans="1:2">
      <c r="A7104">
        <v>7103</v>
      </c>
      <c r="B7104" s="119">
        <v>0.69415231417974899</v>
      </c>
    </row>
    <row r="7105" spans="1:2">
      <c r="A7105">
        <v>7104</v>
      </c>
      <c r="B7105" s="119">
        <v>0.13859675862419346</v>
      </c>
    </row>
    <row r="7106" spans="1:2">
      <c r="A7106">
        <v>7105</v>
      </c>
      <c r="B7106" s="119">
        <v>0.47193009195752678</v>
      </c>
    </row>
    <row r="7107" spans="1:2">
      <c r="A7107">
        <v>7106</v>
      </c>
      <c r="B7107" s="119">
        <v>0.80526342529086004</v>
      </c>
    </row>
    <row r="7108" spans="1:2">
      <c r="A7108">
        <v>7107</v>
      </c>
      <c r="B7108" s="119">
        <v>0.24970786973530457</v>
      </c>
    </row>
    <row r="7109" spans="1:2">
      <c r="A7109">
        <v>7108</v>
      </c>
      <c r="B7109" s="119">
        <v>0.58304120306863794</v>
      </c>
    </row>
    <row r="7110" spans="1:2">
      <c r="A7110">
        <v>7109</v>
      </c>
      <c r="B7110" s="119">
        <v>0.9163745364019712</v>
      </c>
    </row>
    <row r="7111" spans="1:2">
      <c r="A7111">
        <v>7110</v>
      </c>
      <c r="B7111" s="119">
        <v>6.4522684550119391E-2</v>
      </c>
    </row>
    <row r="7112" spans="1:2">
      <c r="A7112">
        <v>7111</v>
      </c>
      <c r="B7112" s="119">
        <v>0.39785601788345271</v>
      </c>
    </row>
    <row r="7113" spans="1:2">
      <c r="A7113">
        <v>7112</v>
      </c>
      <c r="B7113" s="119">
        <v>0.73118935121678608</v>
      </c>
    </row>
    <row r="7114" spans="1:2">
      <c r="A7114">
        <v>7113</v>
      </c>
      <c r="B7114" s="119">
        <v>0.1756337956612305</v>
      </c>
    </row>
    <row r="7115" spans="1:2">
      <c r="A7115">
        <v>7114</v>
      </c>
      <c r="B7115" s="119">
        <v>0.50896712899456387</v>
      </c>
    </row>
    <row r="7116" spans="1:2">
      <c r="A7116">
        <v>7115</v>
      </c>
      <c r="B7116" s="119">
        <v>0.84230046232789701</v>
      </c>
    </row>
    <row r="7117" spans="1:2">
      <c r="A7117">
        <v>7116</v>
      </c>
      <c r="B7117" s="119">
        <v>0.2867449067723416</v>
      </c>
    </row>
    <row r="7118" spans="1:2">
      <c r="A7118">
        <v>7117</v>
      </c>
      <c r="B7118" s="119">
        <v>0.62007824010567492</v>
      </c>
    </row>
    <row r="7119" spans="1:2">
      <c r="A7119">
        <v>7118</v>
      </c>
      <c r="B7119" s="119">
        <v>0.95341157343900818</v>
      </c>
    </row>
    <row r="7120" spans="1:2">
      <c r="A7120">
        <v>7119</v>
      </c>
      <c r="B7120" s="119">
        <v>0.10155972158715643</v>
      </c>
    </row>
    <row r="7121" spans="1:2">
      <c r="A7121">
        <v>7120</v>
      </c>
      <c r="B7121" s="119">
        <v>0.43489305492048974</v>
      </c>
    </row>
    <row r="7122" spans="1:2">
      <c r="A7122">
        <v>7121</v>
      </c>
      <c r="B7122" s="119">
        <v>0.76822638825382306</v>
      </c>
    </row>
    <row r="7123" spans="1:2">
      <c r="A7123">
        <v>7122</v>
      </c>
      <c r="B7123" s="119">
        <v>0.21267083269826753</v>
      </c>
    </row>
    <row r="7124" spans="1:2">
      <c r="A7124">
        <v>7123</v>
      </c>
      <c r="B7124" s="119">
        <v>0.54600416603160085</v>
      </c>
    </row>
    <row r="7125" spans="1:2">
      <c r="A7125">
        <v>7124</v>
      </c>
      <c r="B7125" s="119">
        <v>0.87933749936493411</v>
      </c>
    </row>
    <row r="7126" spans="1:2">
      <c r="A7126">
        <v>7125</v>
      </c>
      <c r="B7126" s="119">
        <v>0.32378194380937864</v>
      </c>
    </row>
    <row r="7127" spans="1:2">
      <c r="A7127">
        <v>7126</v>
      </c>
      <c r="B7127" s="119">
        <v>0.65711527714271201</v>
      </c>
    </row>
    <row r="7128" spans="1:2">
      <c r="A7128">
        <v>7127</v>
      </c>
      <c r="B7128" s="119">
        <v>0.99044861047604527</v>
      </c>
    </row>
    <row r="7129" spans="1:2">
      <c r="A7129">
        <v>7128</v>
      </c>
      <c r="B7129" s="119">
        <v>6.909515825839558E-3</v>
      </c>
    </row>
    <row r="7130" spans="1:2">
      <c r="A7130">
        <v>7129</v>
      </c>
      <c r="B7130" s="119">
        <v>0.34024284915917286</v>
      </c>
    </row>
    <row r="7131" spans="1:2">
      <c r="A7131">
        <v>7130</v>
      </c>
      <c r="B7131" s="119">
        <v>0.67357618249250617</v>
      </c>
    </row>
    <row r="7132" spans="1:2">
      <c r="A7132">
        <v>7131</v>
      </c>
      <c r="B7132" s="119">
        <v>0.11802062693695066</v>
      </c>
    </row>
    <row r="7133" spans="1:2">
      <c r="A7133">
        <v>7132</v>
      </c>
      <c r="B7133" s="119">
        <v>0.45135396027028396</v>
      </c>
    </row>
    <row r="7134" spans="1:2">
      <c r="A7134">
        <v>7133</v>
      </c>
      <c r="B7134" s="119">
        <v>0.78468729360361722</v>
      </c>
    </row>
    <row r="7135" spans="1:2">
      <c r="A7135">
        <v>7134</v>
      </c>
      <c r="B7135" s="119">
        <v>0.22913173804806178</v>
      </c>
    </row>
    <row r="7136" spans="1:2">
      <c r="A7136">
        <v>7135</v>
      </c>
      <c r="B7136" s="119">
        <v>0.56246507138139512</v>
      </c>
    </row>
    <row r="7137" spans="1:2">
      <c r="A7137">
        <v>7136</v>
      </c>
      <c r="B7137" s="119">
        <v>0.89579840471472838</v>
      </c>
    </row>
    <row r="7138" spans="1:2">
      <c r="A7138">
        <v>7137</v>
      </c>
      <c r="B7138" s="119">
        <v>4.3946552862876589E-2</v>
      </c>
    </row>
    <row r="7139" spans="1:2">
      <c r="A7139">
        <v>7138</v>
      </c>
      <c r="B7139" s="119">
        <v>0.37727988619620989</v>
      </c>
    </row>
    <row r="7140" spans="1:2">
      <c r="A7140">
        <v>7139</v>
      </c>
      <c r="B7140" s="119">
        <v>0.71061321952954326</v>
      </c>
    </row>
    <row r="7141" spans="1:2">
      <c r="A7141">
        <v>7140</v>
      </c>
      <c r="B7141" s="119">
        <v>0.15505766397398771</v>
      </c>
    </row>
    <row r="7142" spans="1:2">
      <c r="A7142">
        <v>7141</v>
      </c>
      <c r="B7142" s="119">
        <v>0.488390997307321</v>
      </c>
    </row>
    <row r="7143" spans="1:2">
      <c r="A7143">
        <v>7142</v>
      </c>
      <c r="B7143" s="119">
        <v>0.8217243306406542</v>
      </c>
    </row>
    <row r="7144" spans="1:2">
      <c r="A7144">
        <v>7143</v>
      </c>
      <c r="B7144" s="119">
        <v>0.26616877508509879</v>
      </c>
    </row>
    <row r="7145" spans="1:2">
      <c r="A7145">
        <v>7144</v>
      </c>
      <c r="B7145" s="119">
        <v>0.5995021084184321</v>
      </c>
    </row>
    <row r="7146" spans="1:2">
      <c r="A7146">
        <v>7145</v>
      </c>
      <c r="B7146" s="119">
        <v>0.93283544175176536</v>
      </c>
    </row>
    <row r="7147" spans="1:2">
      <c r="A7147">
        <v>7146</v>
      </c>
      <c r="B7147" s="119">
        <v>8.0983589899913624E-2</v>
      </c>
    </row>
    <row r="7148" spans="1:2">
      <c r="A7148">
        <v>7147</v>
      </c>
      <c r="B7148" s="119">
        <v>0.41431692323324693</v>
      </c>
    </row>
    <row r="7149" spans="1:2">
      <c r="A7149">
        <v>7148</v>
      </c>
      <c r="B7149" s="119">
        <v>0.74765025656658024</v>
      </c>
    </row>
    <row r="7150" spans="1:2">
      <c r="A7150">
        <v>7149</v>
      </c>
      <c r="B7150" s="119">
        <v>0.19209470101102474</v>
      </c>
    </row>
    <row r="7151" spans="1:2">
      <c r="A7151">
        <v>7150</v>
      </c>
      <c r="B7151" s="119">
        <v>0.52542803434435803</v>
      </c>
    </row>
    <row r="7152" spans="1:2">
      <c r="A7152">
        <v>7151</v>
      </c>
      <c r="B7152" s="119">
        <v>0.85876136767769129</v>
      </c>
    </row>
    <row r="7153" spans="1:2">
      <c r="A7153">
        <v>7152</v>
      </c>
      <c r="B7153" s="119">
        <v>0.30320581212213582</v>
      </c>
    </row>
    <row r="7154" spans="1:2">
      <c r="A7154">
        <v>7153</v>
      </c>
      <c r="B7154" s="119">
        <v>0.63653914545546919</v>
      </c>
    </row>
    <row r="7155" spans="1:2">
      <c r="A7155">
        <v>7154</v>
      </c>
      <c r="B7155" s="119">
        <v>0.96987247878880245</v>
      </c>
    </row>
    <row r="7156" spans="1:2">
      <c r="A7156">
        <v>7155</v>
      </c>
      <c r="B7156" s="119">
        <v>1.9255194838185236E-2</v>
      </c>
    </row>
    <row r="7157" spans="1:2">
      <c r="A7157">
        <v>7156</v>
      </c>
      <c r="B7157" s="119">
        <v>0.35258852817151853</v>
      </c>
    </row>
    <row r="7158" spans="1:2">
      <c r="A7158">
        <v>7157</v>
      </c>
      <c r="B7158" s="119">
        <v>0.68592186150485179</v>
      </c>
    </row>
    <row r="7159" spans="1:2">
      <c r="A7159">
        <v>7158</v>
      </c>
      <c r="B7159" s="119">
        <v>0.13036630594929635</v>
      </c>
    </row>
    <row r="7160" spans="1:2">
      <c r="A7160">
        <v>7159</v>
      </c>
      <c r="B7160" s="119">
        <v>0.46369963928262964</v>
      </c>
    </row>
    <row r="7161" spans="1:2">
      <c r="A7161">
        <v>7160</v>
      </c>
      <c r="B7161" s="119">
        <v>0.79703297261596295</v>
      </c>
    </row>
    <row r="7162" spans="1:2">
      <c r="A7162">
        <v>7161</v>
      </c>
      <c r="B7162" s="119">
        <v>0.24147741706040746</v>
      </c>
    </row>
    <row r="7163" spans="1:2">
      <c r="A7163">
        <v>7162</v>
      </c>
      <c r="B7163" s="119">
        <v>0.57481075039374085</v>
      </c>
    </row>
    <row r="7164" spans="1:2">
      <c r="A7164">
        <v>7163</v>
      </c>
      <c r="B7164" s="119">
        <v>0.90814408372707411</v>
      </c>
    </row>
    <row r="7165" spans="1:2">
      <c r="A7165">
        <v>7164</v>
      </c>
      <c r="B7165" s="119">
        <v>5.6292231875222268E-2</v>
      </c>
    </row>
    <row r="7166" spans="1:2">
      <c r="A7166">
        <v>7165</v>
      </c>
      <c r="B7166" s="119">
        <v>0.38962556520855557</v>
      </c>
    </row>
    <row r="7167" spans="1:2">
      <c r="A7167">
        <v>7166</v>
      </c>
      <c r="B7167" s="119">
        <v>0.72295889854188899</v>
      </c>
    </row>
    <row r="7168" spans="1:2">
      <c r="A7168">
        <v>7167</v>
      </c>
      <c r="B7168" s="119">
        <v>0.16740334298633339</v>
      </c>
    </row>
    <row r="7169" spans="1:2">
      <c r="A7169">
        <v>7168</v>
      </c>
      <c r="B7169" s="119">
        <v>0.50073667631966667</v>
      </c>
    </row>
    <row r="7170" spans="1:2">
      <c r="A7170">
        <v>7169</v>
      </c>
      <c r="B7170" s="119">
        <v>0.83407000965299993</v>
      </c>
    </row>
    <row r="7171" spans="1:2">
      <c r="A7171">
        <v>7170</v>
      </c>
      <c r="B7171" s="119">
        <v>0.27851445409744446</v>
      </c>
    </row>
    <row r="7172" spans="1:2">
      <c r="A7172">
        <v>7171</v>
      </c>
      <c r="B7172" s="119">
        <v>0.61184778743077783</v>
      </c>
    </row>
    <row r="7173" spans="1:2">
      <c r="A7173">
        <v>7172</v>
      </c>
      <c r="B7173" s="119">
        <v>0.94518112076411109</v>
      </c>
    </row>
    <row r="7174" spans="1:2">
      <c r="A7174">
        <v>7173</v>
      </c>
      <c r="B7174" s="119">
        <v>9.3329268912259303E-2</v>
      </c>
    </row>
    <row r="7175" spans="1:2">
      <c r="A7175">
        <v>7174</v>
      </c>
      <c r="B7175" s="119">
        <v>0.4266626022455926</v>
      </c>
    </row>
    <row r="7176" spans="1:2">
      <c r="A7176">
        <v>7175</v>
      </c>
      <c r="B7176" s="119">
        <v>0.75999593557892597</v>
      </c>
    </row>
    <row r="7177" spans="1:2">
      <c r="A7177">
        <v>7176</v>
      </c>
      <c r="B7177" s="119">
        <v>0.20444038002337042</v>
      </c>
    </row>
    <row r="7178" spans="1:2">
      <c r="A7178">
        <v>7177</v>
      </c>
      <c r="B7178" s="119">
        <v>0.53777371335670365</v>
      </c>
    </row>
    <row r="7179" spans="1:2">
      <c r="A7179">
        <v>7178</v>
      </c>
      <c r="B7179" s="119">
        <v>0.87110704669003691</v>
      </c>
    </row>
    <row r="7180" spans="1:2">
      <c r="A7180">
        <v>7179</v>
      </c>
      <c r="B7180" s="119">
        <v>0.3155514911344815</v>
      </c>
    </row>
    <row r="7181" spans="1:2">
      <c r="A7181">
        <v>7180</v>
      </c>
      <c r="B7181" s="119">
        <v>0.64888482446781481</v>
      </c>
    </row>
    <row r="7182" spans="1:2">
      <c r="A7182">
        <v>7181</v>
      </c>
      <c r="B7182" s="119">
        <v>0.98221815780114807</v>
      </c>
    </row>
    <row r="7183" spans="1:2">
      <c r="A7183">
        <v>7182</v>
      </c>
      <c r="B7183" s="119">
        <v>3.1600873850530911E-2</v>
      </c>
    </row>
    <row r="7184" spans="1:2">
      <c r="A7184">
        <v>7183</v>
      </c>
      <c r="B7184" s="119">
        <v>0.36493420718386421</v>
      </c>
    </row>
    <row r="7185" spans="1:2">
      <c r="A7185">
        <v>7184</v>
      </c>
      <c r="B7185" s="119">
        <v>0.69826754051719753</v>
      </c>
    </row>
    <row r="7186" spans="1:2">
      <c r="A7186">
        <v>7185</v>
      </c>
      <c r="B7186" s="119">
        <v>0.14271198496164203</v>
      </c>
    </row>
    <row r="7187" spans="1:2">
      <c r="A7187">
        <v>7186</v>
      </c>
      <c r="B7187" s="119">
        <v>0.47604531829497532</v>
      </c>
    </row>
    <row r="7188" spans="1:2">
      <c r="A7188">
        <v>7187</v>
      </c>
      <c r="B7188" s="119">
        <v>0.80937865162830858</v>
      </c>
    </row>
    <row r="7189" spans="1:2">
      <c r="A7189">
        <v>7188</v>
      </c>
      <c r="B7189" s="119">
        <v>0.25382309607275311</v>
      </c>
    </row>
    <row r="7190" spans="1:2">
      <c r="A7190">
        <v>7189</v>
      </c>
      <c r="B7190" s="119">
        <v>0.58715642940608648</v>
      </c>
    </row>
    <row r="7191" spans="1:2">
      <c r="A7191">
        <v>7190</v>
      </c>
      <c r="B7191" s="119">
        <v>0.92048976273941974</v>
      </c>
    </row>
    <row r="7192" spans="1:2">
      <c r="A7192">
        <v>7191</v>
      </c>
      <c r="B7192" s="119">
        <v>6.8637910887567946E-2</v>
      </c>
    </row>
    <row r="7193" spans="1:2">
      <c r="A7193">
        <v>7192</v>
      </c>
      <c r="B7193" s="119">
        <v>0.40197124422090125</v>
      </c>
    </row>
    <row r="7194" spans="1:2">
      <c r="A7194">
        <v>7193</v>
      </c>
      <c r="B7194" s="119">
        <v>0.73530457755423462</v>
      </c>
    </row>
    <row r="7195" spans="1:2">
      <c r="A7195">
        <v>7194</v>
      </c>
      <c r="B7195" s="119">
        <v>0.17974902199867906</v>
      </c>
    </row>
    <row r="7196" spans="1:2">
      <c r="A7196">
        <v>7195</v>
      </c>
      <c r="B7196" s="119">
        <v>0.51308235533201241</v>
      </c>
    </row>
    <row r="7197" spans="1:2">
      <c r="A7197">
        <v>7196</v>
      </c>
      <c r="B7197" s="119">
        <v>0.84641568866534556</v>
      </c>
    </row>
    <row r="7198" spans="1:2">
      <c r="A7198">
        <v>7197</v>
      </c>
      <c r="B7198" s="119">
        <v>0.29086013310979014</v>
      </c>
    </row>
    <row r="7199" spans="1:2">
      <c r="A7199">
        <v>7198</v>
      </c>
      <c r="B7199" s="119">
        <v>0.62419346644312346</v>
      </c>
    </row>
    <row r="7200" spans="1:2">
      <c r="A7200">
        <v>7199</v>
      </c>
      <c r="B7200" s="119">
        <v>0.95752679977645672</v>
      </c>
    </row>
    <row r="7201" spans="1:2">
      <c r="A7201">
        <v>7200</v>
      </c>
      <c r="B7201" s="119">
        <v>0.10567494792460498</v>
      </c>
    </row>
    <row r="7202" spans="1:2">
      <c r="A7202">
        <v>7201</v>
      </c>
      <c r="B7202" s="119">
        <v>0.43900828125793828</v>
      </c>
    </row>
    <row r="7203" spans="1:2">
      <c r="A7203">
        <v>7202</v>
      </c>
      <c r="B7203" s="119">
        <v>0.7723416145912716</v>
      </c>
    </row>
    <row r="7204" spans="1:2">
      <c r="A7204">
        <v>7203</v>
      </c>
      <c r="B7204" s="119">
        <v>0.2167860590357161</v>
      </c>
    </row>
    <row r="7205" spans="1:2">
      <c r="A7205">
        <v>7204</v>
      </c>
      <c r="B7205" s="119">
        <v>0.55011939236904939</v>
      </c>
    </row>
    <row r="7206" spans="1:2">
      <c r="A7206">
        <v>7205</v>
      </c>
      <c r="B7206" s="119">
        <v>0.88345272570238265</v>
      </c>
    </row>
    <row r="7207" spans="1:2">
      <c r="A7207">
        <v>7206</v>
      </c>
      <c r="B7207" s="119">
        <v>0.32789717014682718</v>
      </c>
    </row>
    <row r="7208" spans="1:2">
      <c r="A7208">
        <v>7207</v>
      </c>
      <c r="B7208" s="119">
        <v>0.66123050348016055</v>
      </c>
    </row>
    <row r="7209" spans="1:2">
      <c r="A7209">
        <v>7208</v>
      </c>
      <c r="B7209" s="119">
        <v>0.99456383681349381</v>
      </c>
    </row>
    <row r="7210" spans="1:2">
      <c r="A7210">
        <v>7209</v>
      </c>
      <c r="B7210" s="119">
        <v>1.1024742163288118E-2</v>
      </c>
    </row>
    <row r="7211" spans="1:2">
      <c r="A7211">
        <v>7210</v>
      </c>
      <c r="B7211" s="119">
        <v>0.34435807549662145</v>
      </c>
    </row>
    <row r="7212" spans="1:2">
      <c r="A7212">
        <v>7211</v>
      </c>
      <c r="B7212" s="119">
        <v>0.67769140882995471</v>
      </c>
    </row>
    <row r="7213" spans="1:2">
      <c r="A7213">
        <v>7212</v>
      </c>
      <c r="B7213" s="119">
        <v>0.12213585327439923</v>
      </c>
    </row>
    <row r="7214" spans="1:2">
      <c r="A7214">
        <v>7213</v>
      </c>
      <c r="B7214" s="119">
        <v>0.45546918660773256</v>
      </c>
    </row>
    <row r="7215" spans="1:2">
      <c r="A7215">
        <v>7214</v>
      </c>
      <c r="B7215" s="119">
        <v>0.78880251994106576</v>
      </c>
    </row>
    <row r="7216" spans="1:2">
      <c r="A7216">
        <v>7215</v>
      </c>
      <c r="B7216" s="119">
        <v>0.23324696438551032</v>
      </c>
    </row>
    <row r="7217" spans="1:2">
      <c r="A7217">
        <v>7216</v>
      </c>
      <c r="B7217" s="119">
        <v>0.56658029771884366</v>
      </c>
    </row>
    <row r="7218" spans="1:2">
      <c r="A7218">
        <v>7217</v>
      </c>
      <c r="B7218" s="119">
        <v>0.89991363105217692</v>
      </c>
    </row>
    <row r="7219" spans="1:2">
      <c r="A7219">
        <v>7218</v>
      </c>
      <c r="B7219" s="119">
        <v>4.8061779200325151E-2</v>
      </c>
    </row>
    <row r="7220" spans="1:2">
      <c r="A7220">
        <v>7219</v>
      </c>
      <c r="B7220" s="119">
        <v>0.38139511253365849</v>
      </c>
    </row>
    <row r="7221" spans="1:2">
      <c r="A7221">
        <v>7220</v>
      </c>
      <c r="B7221" s="119">
        <v>0.7147284458669918</v>
      </c>
    </row>
    <row r="7222" spans="1:2">
      <c r="A7222">
        <v>7221</v>
      </c>
      <c r="B7222" s="119">
        <v>0.15917289031143625</v>
      </c>
    </row>
    <row r="7223" spans="1:2">
      <c r="A7223">
        <v>7222</v>
      </c>
      <c r="B7223" s="119">
        <v>0.49250622364476959</v>
      </c>
    </row>
    <row r="7224" spans="1:2">
      <c r="A7224">
        <v>7223</v>
      </c>
      <c r="B7224" s="119">
        <v>0.82583955697810274</v>
      </c>
    </row>
    <row r="7225" spans="1:2">
      <c r="A7225">
        <v>7224</v>
      </c>
      <c r="B7225" s="119">
        <v>0.27028400142254738</v>
      </c>
    </row>
    <row r="7226" spans="1:2">
      <c r="A7226">
        <v>7225</v>
      </c>
      <c r="B7226" s="119">
        <v>0.60361733475588064</v>
      </c>
    </row>
    <row r="7227" spans="1:2">
      <c r="A7227">
        <v>7226</v>
      </c>
      <c r="B7227" s="119">
        <v>0.9369506680892139</v>
      </c>
    </row>
    <row r="7228" spans="1:2">
      <c r="A7228">
        <v>7227</v>
      </c>
      <c r="B7228" s="119">
        <v>8.5098816237362193E-2</v>
      </c>
    </row>
    <row r="7229" spans="1:2">
      <c r="A7229">
        <v>7228</v>
      </c>
      <c r="B7229" s="119">
        <v>0.41843214957069552</v>
      </c>
    </row>
    <row r="7230" spans="1:2">
      <c r="A7230">
        <v>7229</v>
      </c>
      <c r="B7230" s="119">
        <v>0.75176548290402878</v>
      </c>
    </row>
    <row r="7231" spans="1:2">
      <c r="A7231">
        <v>7230</v>
      </c>
      <c r="B7231" s="119">
        <v>0.19620992734847328</v>
      </c>
    </row>
    <row r="7232" spans="1:2">
      <c r="A7232">
        <v>7231</v>
      </c>
      <c r="B7232" s="119">
        <v>0.52954326068180657</v>
      </c>
    </row>
    <row r="7233" spans="1:2">
      <c r="A7233">
        <v>7232</v>
      </c>
      <c r="B7233" s="119">
        <v>0.86287659401513983</v>
      </c>
    </row>
    <row r="7234" spans="1:2">
      <c r="A7234">
        <v>7233</v>
      </c>
      <c r="B7234" s="119">
        <v>0.30732103845958442</v>
      </c>
    </row>
    <row r="7235" spans="1:2">
      <c r="A7235">
        <v>7234</v>
      </c>
      <c r="B7235" s="119">
        <v>0.64065437179291773</v>
      </c>
    </row>
    <row r="7236" spans="1:2">
      <c r="A7236">
        <v>7235</v>
      </c>
      <c r="B7236" s="119">
        <v>0.97398770512625099</v>
      </c>
    </row>
    <row r="7237" spans="1:2">
      <c r="A7237">
        <v>7236</v>
      </c>
      <c r="B7237" s="119">
        <v>2.3370421175633795E-2</v>
      </c>
    </row>
    <row r="7238" spans="1:2">
      <c r="A7238">
        <v>7237</v>
      </c>
      <c r="B7238" s="119">
        <v>0.35670375450896713</v>
      </c>
    </row>
    <row r="7239" spans="1:2">
      <c r="A7239">
        <v>7238</v>
      </c>
      <c r="B7239" s="119">
        <v>0.69003708784230033</v>
      </c>
    </row>
    <row r="7240" spans="1:2">
      <c r="A7240">
        <v>7239</v>
      </c>
      <c r="B7240" s="119">
        <v>0.13448153228674489</v>
      </c>
    </row>
    <row r="7241" spans="1:2">
      <c r="A7241">
        <v>7240</v>
      </c>
      <c r="B7241" s="119">
        <v>0.46781486562007824</v>
      </c>
    </row>
    <row r="7242" spans="1:2">
      <c r="A7242">
        <v>7241</v>
      </c>
      <c r="B7242" s="119">
        <v>0.80114819895341149</v>
      </c>
    </row>
    <row r="7243" spans="1:2">
      <c r="A7243">
        <v>7242</v>
      </c>
      <c r="B7243" s="119">
        <v>0.245592643397856</v>
      </c>
    </row>
    <row r="7244" spans="1:2">
      <c r="A7244">
        <v>7243</v>
      </c>
      <c r="B7244" s="119">
        <v>0.5789259767311894</v>
      </c>
    </row>
    <row r="7245" spans="1:2">
      <c r="A7245">
        <v>7244</v>
      </c>
      <c r="B7245" s="119">
        <v>0.91225931006452265</v>
      </c>
    </row>
    <row r="7246" spans="1:2">
      <c r="A7246">
        <v>7245</v>
      </c>
      <c r="B7246" s="119">
        <v>6.040745821267083E-2</v>
      </c>
    </row>
    <row r="7247" spans="1:2">
      <c r="A7247">
        <v>7246</v>
      </c>
      <c r="B7247" s="119">
        <v>0.39374079154600417</v>
      </c>
    </row>
    <row r="7248" spans="1:2">
      <c r="A7248">
        <v>7247</v>
      </c>
      <c r="B7248" s="119">
        <v>0.72707412487933754</v>
      </c>
    </row>
    <row r="7249" spans="1:2">
      <c r="A7249">
        <v>7248</v>
      </c>
      <c r="B7249" s="119">
        <v>0.17151856932378193</v>
      </c>
    </row>
    <row r="7250" spans="1:2">
      <c r="A7250">
        <v>7249</v>
      </c>
      <c r="B7250" s="119">
        <v>0.50485190265711521</v>
      </c>
    </row>
    <row r="7251" spans="1:2">
      <c r="A7251">
        <v>7250</v>
      </c>
      <c r="B7251" s="119">
        <v>0.83818523599044847</v>
      </c>
    </row>
    <row r="7252" spans="1:2">
      <c r="A7252">
        <v>7251</v>
      </c>
      <c r="B7252" s="119">
        <v>0.28262968043489306</v>
      </c>
    </row>
    <row r="7253" spans="1:2">
      <c r="A7253">
        <v>7252</v>
      </c>
      <c r="B7253" s="119">
        <v>0.61596301376822638</v>
      </c>
    </row>
    <row r="7254" spans="1:2">
      <c r="A7254">
        <v>7253</v>
      </c>
      <c r="B7254" s="119">
        <v>0.94929634710155963</v>
      </c>
    </row>
    <row r="7255" spans="1:2">
      <c r="A7255">
        <v>7254</v>
      </c>
      <c r="B7255" s="119">
        <v>9.7444495249707871E-2</v>
      </c>
    </row>
    <row r="7256" spans="1:2">
      <c r="A7256">
        <v>7255</v>
      </c>
      <c r="B7256" s="119">
        <v>0.4307778285830412</v>
      </c>
    </row>
    <row r="7257" spans="1:2">
      <c r="A7257">
        <v>7256</v>
      </c>
      <c r="B7257" s="119">
        <v>0.76411116191637452</v>
      </c>
    </row>
    <row r="7258" spans="1:2">
      <c r="A7258">
        <v>7257</v>
      </c>
      <c r="B7258" s="119">
        <v>0.20855560636081896</v>
      </c>
    </row>
    <row r="7259" spans="1:2">
      <c r="A7259">
        <v>7258</v>
      </c>
      <c r="B7259" s="119">
        <v>0.54188893969415219</v>
      </c>
    </row>
    <row r="7260" spans="1:2">
      <c r="A7260">
        <v>7259</v>
      </c>
      <c r="B7260" s="119">
        <v>0.87522227302748545</v>
      </c>
    </row>
    <row r="7261" spans="1:2">
      <c r="A7261">
        <v>7260</v>
      </c>
      <c r="B7261" s="119">
        <v>0.3196667174719301</v>
      </c>
    </row>
    <row r="7262" spans="1:2">
      <c r="A7262">
        <v>7261</v>
      </c>
      <c r="B7262" s="119">
        <v>0.65300005080526335</v>
      </c>
    </row>
    <row r="7263" spans="1:2">
      <c r="A7263">
        <v>7262</v>
      </c>
      <c r="B7263" s="119">
        <v>0.98633338413859661</v>
      </c>
    </row>
    <row r="7264" spans="1:2">
      <c r="A7264">
        <v>7263</v>
      </c>
      <c r="B7264" s="119">
        <v>3.5716100187979473E-2</v>
      </c>
    </row>
    <row r="7265" spans="1:2">
      <c r="A7265">
        <v>7264</v>
      </c>
      <c r="B7265" s="119">
        <v>0.36904943352131281</v>
      </c>
    </row>
    <row r="7266" spans="1:2">
      <c r="A7266">
        <v>7265</v>
      </c>
      <c r="B7266" s="119">
        <v>0.70238276685464607</v>
      </c>
    </row>
    <row r="7267" spans="1:2">
      <c r="A7267">
        <v>7266</v>
      </c>
      <c r="B7267" s="119">
        <v>0.14682721129909057</v>
      </c>
    </row>
    <row r="7268" spans="1:2">
      <c r="A7268">
        <v>7267</v>
      </c>
      <c r="B7268" s="119">
        <v>0.48016054463242391</v>
      </c>
    </row>
    <row r="7269" spans="1:2">
      <c r="A7269">
        <v>7268</v>
      </c>
      <c r="B7269" s="119">
        <v>0.81349387796575712</v>
      </c>
    </row>
    <row r="7270" spans="1:2">
      <c r="A7270">
        <v>7269</v>
      </c>
      <c r="B7270" s="119">
        <v>0.2579383224102017</v>
      </c>
    </row>
    <row r="7271" spans="1:2">
      <c r="A7271">
        <v>7270</v>
      </c>
      <c r="B7271" s="119">
        <v>0.59127165574353502</v>
      </c>
    </row>
    <row r="7272" spans="1:2">
      <c r="A7272">
        <v>7271</v>
      </c>
      <c r="B7272" s="119">
        <v>0.92460498907686828</v>
      </c>
    </row>
    <row r="7273" spans="1:2">
      <c r="A7273">
        <v>7272</v>
      </c>
      <c r="B7273" s="119">
        <v>7.2753137225016515E-2</v>
      </c>
    </row>
    <row r="7274" spans="1:2">
      <c r="A7274">
        <v>7273</v>
      </c>
      <c r="B7274" s="119">
        <v>0.40608647055834984</v>
      </c>
    </row>
    <row r="7275" spans="1:2">
      <c r="A7275">
        <v>7274</v>
      </c>
      <c r="B7275" s="119">
        <v>0.73941980389168316</v>
      </c>
    </row>
    <row r="7276" spans="1:2">
      <c r="A7276">
        <v>7275</v>
      </c>
      <c r="B7276" s="119">
        <v>0.18386424833612761</v>
      </c>
    </row>
    <row r="7277" spans="1:2">
      <c r="A7277">
        <v>7276</v>
      </c>
      <c r="B7277" s="119">
        <v>0.51719758166946095</v>
      </c>
    </row>
    <row r="7278" spans="1:2">
      <c r="A7278">
        <v>7277</v>
      </c>
      <c r="B7278" s="119">
        <v>0.8505309150027941</v>
      </c>
    </row>
    <row r="7279" spans="1:2">
      <c r="A7279">
        <v>7278</v>
      </c>
      <c r="B7279" s="119">
        <v>0.29497535944723874</v>
      </c>
    </row>
    <row r="7280" spans="1:2">
      <c r="A7280">
        <v>7279</v>
      </c>
      <c r="B7280" s="119">
        <v>0.628308692780572</v>
      </c>
    </row>
    <row r="7281" spans="1:2">
      <c r="A7281">
        <v>7280</v>
      </c>
      <c r="B7281" s="119">
        <v>0.96164202611390526</v>
      </c>
    </row>
    <row r="7282" spans="1:2">
      <c r="A7282">
        <v>7281</v>
      </c>
      <c r="B7282" s="119">
        <v>0.10979017426205355</v>
      </c>
    </row>
    <row r="7283" spans="1:2">
      <c r="A7283">
        <v>7282</v>
      </c>
      <c r="B7283" s="119">
        <v>0.44312350759538688</v>
      </c>
    </row>
    <row r="7284" spans="1:2">
      <c r="A7284">
        <v>7283</v>
      </c>
      <c r="B7284" s="119">
        <v>0.77645684092872014</v>
      </c>
    </row>
    <row r="7285" spans="1:2">
      <c r="A7285">
        <v>7284</v>
      </c>
      <c r="B7285" s="119">
        <v>0.22090128537316464</v>
      </c>
    </row>
    <row r="7286" spans="1:2">
      <c r="A7286">
        <v>7285</v>
      </c>
      <c r="B7286" s="119">
        <v>0.55423461870649793</v>
      </c>
    </row>
    <row r="7287" spans="1:2">
      <c r="A7287">
        <v>7286</v>
      </c>
      <c r="B7287" s="119">
        <v>0.88756795203983119</v>
      </c>
    </row>
    <row r="7288" spans="1:2">
      <c r="A7288">
        <v>7287</v>
      </c>
      <c r="B7288" s="119">
        <v>0.33201239648427577</v>
      </c>
    </row>
    <row r="7289" spans="1:2">
      <c r="A7289">
        <v>7288</v>
      </c>
      <c r="B7289" s="119">
        <v>0.66534572981760909</v>
      </c>
    </row>
    <row r="7290" spans="1:2">
      <c r="A7290">
        <v>7289</v>
      </c>
      <c r="B7290" s="119">
        <v>0.99867906315094235</v>
      </c>
    </row>
    <row r="7291" spans="1:2">
      <c r="A7291">
        <v>7290</v>
      </c>
      <c r="B7291" s="119">
        <v>5.080526342529086E-4</v>
      </c>
    </row>
    <row r="7292" spans="1:2">
      <c r="A7292">
        <v>7291</v>
      </c>
      <c r="B7292" s="119">
        <v>0.33384138596758622</v>
      </c>
    </row>
    <row r="7293" spans="1:2">
      <c r="A7293">
        <v>7292</v>
      </c>
      <c r="B7293" s="119">
        <v>0.66717471930091954</v>
      </c>
    </row>
    <row r="7294" spans="1:2">
      <c r="A7294">
        <v>7293</v>
      </c>
      <c r="B7294" s="119">
        <v>0.11161916374536401</v>
      </c>
    </row>
    <row r="7295" spans="1:2">
      <c r="A7295">
        <v>7294</v>
      </c>
      <c r="B7295" s="119">
        <v>0.44495249707869733</v>
      </c>
    </row>
    <row r="7296" spans="1:2">
      <c r="A7296">
        <v>7295</v>
      </c>
      <c r="B7296" s="119">
        <v>0.77828583041203059</v>
      </c>
    </row>
    <row r="7297" spans="1:2">
      <c r="A7297">
        <v>7296</v>
      </c>
      <c r="B7297" s="119">
        <v>0.22273027485647512</v>
      </c>
    </row>
    <row r="7298" spans="1:2">
      <c r="A7298">
        <v>7297</v>
      </c>
      <c r="B7298" s="119">
        <v>0.55606360818980849</v>
      </c>
    </row>
    <row r="7299" spans="1:2">
      <c r="A7299">
        <v>7298</v>
      </c>
      <c r="B7299" s="119">
        <v>0.88939694152314175</v>
      </c>
    </row>
    <row r="7300" spans="1:2">
      <c r="A7300">
        <v>7299</v>
      </c>
      <c r="B7300" s="119">
        <v>3.7545089671289944E-2</v>
      </c>
    </row>
    <row r="7301" spans="1:2">
      <c r="A7301">
        <v>7300</v>
      </c>
      <c r="B7301" s="119">
        <v>0.37087842300462326</v>
      </c>
    </row>
    <row r="7302" spans="1:2">
      <c r="A7302">
        <v>7301</v>
      </c>
      <c r="B7302" s="119">
        <v>0.70421175633795663</v>
      </c>
    </row>
    <row r="7303" spans="1:2">
      <c r="A7303">
        <v>7302</v>
      </c>
      <c r="B7303" s="119">
        <v>0.14865620078240105</v>
      </c>
    </row>
    <row r="7304" spans="1:2">
      <c r="A7304">
        <v>7303</v>
      </c>
      <c r="B7304" s="119">
        <v>0.48198953411573436</v>
      </c>
    </row>
    <row r="7305" spans="1:2">
      <c r="A7305">
        <v>7304</v>
      </c>
      <c r="B7305" s="119">
        <v>0.81532286744906757</v>
      </c>
    </row>
    <row r="7306" spans="1:2">
      <c r="A7306">
        <v>7305</v>
      </c>
      <c r="B7306" s="119">
        <v>0.25976731189351215</v>
      </c>
    </row>
    <row r="7307" spans="1:2">
      <c r="A7307">
        <v>7306</v>
      </c>
      <c r="B7307" s="119">
        <v>0.59310064522684547</v>
      </c>
    </row>
    <row r="7308" spans="1:2">
      <c r="A7308">
        <v>7307</v>
      </c>
      <c r="B7308" s="119">
        <v>0.92643397856017873</v>
      </c>
    </row>
    <row r="7309" spans="1:2">
      <c r="A7309">
        <v>7308</v>
      </c>
      <c r="B7309" s="119">
        <v>7.4582126708326979E-2</v>
      </c>
    </row>
    <row r="7310" spans="1:2">
      <c r="A7310">
        <v>7309</v>
      </c>
      <c r="B7310" s="119">
        <v>0.40791546004166029</v>
      </c>
    </row>
    <row r="7311" spans="1:2">
      <c r="A7311">
        <v>7310</v>
      </c>
      <c r="B7311" s="119">
        <v>0.74124879337499361</v>
      </c>
    </row>
    <row r="7312" spans="1:2">
      <c r="A7312">
        <v>7311</v>
      </c>
      <c r="B7312" s="119">
        <v>0.18569323781943808</v>
      </c>
    </row>
    <row r="7313" spans="1:2">
      <c r="A7313">
        <v>7312</v>
      </c>
      <c r="B7313" s="119">
        <v>0.5190265711527714</v>
      </c>
    </row>
    <row r="7314" spans="1:2">
      <c r="A7314">
        <v>7313</v>
      </c>
      <c r="B7314" s="119">
        <v>0.85235990448610466</v>
      </c>
    </row>
    <row r="7315" spans="1:2">
      <c r="A7315">
        <v>7314</v>
      </c>
      <c r="B7315" s="119">
        <v>0.29680434893054919</v>
      </c>
    </row>
    <row r="7316" spans="1:2">
      <c r="A7316">
        <v>7315</v>
      </c>
      <c r="B7316" s="119">
        <v>0.63013768226388256</v>
      </c>
    </row>
    <row r="7317" spans="1:2">
      <c r="A7317">
        <v>7316</v>
      </c>
      <c r="B7317" s="119">
        <v>0.96347101559721582</v>
      </c>
    </row>
    <row r="7318" spans="1:2">
      <c r="A7318">
        <v>7317</v>
      </c>
      <c r="B7318" s="119">
        <v>1.2853731646598587E-2</v>
      </c>
    </row>
    <row r="7319" spans="1:2">
      <c r="A7319">
        <v>7318</v>
      </c>
      <c r="B7319" s="119">
        <v>0.3461870649799319</v>
      </c>
    </row>
    <row r="7320" spans="1:2">
      <c r="A7320">
        <v>7319</v>
      </c>
      <c r="B7320" s="119">
        <v>0.67952039831326516</v>
      </c>
    </row>
    <row r="7321" spans="1:2">
      <c r="A7321">
        <v>7320</v>
      </c>
      <c r="B7321" s="119">
        <v>0.12396484275770969</v>
      </c>
    </row>
    <row r="7322" spans="1:2">
      <c r="A7322">
        <v>7321</v>
      </c>
      <c r="B7322" s="119">
        <v>0.45729817609104301</v>
      </c>
    </row>
    <row r="7323" spans="1:2">
      <c r="A7323">
        <v>7322</v>
      </c>
      <c r="B7323" s="119">
        <v>0.79063150942437632</v>
      </c>
    </row>
    <row r="7324" spans="1:2">
      <c r="A7324">
        <v>7323</v>
      </c>
      <c r="B7324" s="119">
        <v>0.2350759538688208</v>
      </c>
    </row>
    <row r="7325" spans="1:2">
      <c r="A7325">
        <v>7324</v>
      </c>
      <c r="B7325" s="119">
        <v>0.56840928720215422</v>
      </c>
    </row>
    <row r="7326" spans="1:2">
      <c r="A7326">
        <v>7325</v>
      </c>
      <c r="B7326" s="119">
        <v>0.90174262053548748</v>
      </c>
    </row>
    <row r="7327" spans="1:2">
      <c r="A7327">
        <v>7326</v>
      </c>
      <c r="B7327" s="119">
        <v>4.9890768683635622E-2</v>
      </c>
    </row>
    <row r="7328" spans="1:2">
      <c r="A7328">
        <v>7327</v>
      </c>
      <c r="B7328" s="119">
        <v>0.38322410201696894</v>
      </c>
    </row>
    <row r="7329" spans="1:2">
      <c r="A7329">
        <v>7328</v>
      </c>
      <c r="B7329" s="119">
        <v>0.71655743535030236</v>
      </c>
    </row>
    <row r="7330" spans="1:2">
      <c r="A7330">
        <v>7329</v>
      </c>
      <c r="B7330" s="119">
        <v>0.16100187979474673</v>
      </c>
    </row>
    <row r="7331" spans="1:2">
      <c r="A7331">
        <v>7330</v>
      </c>
      <c r="B7331" s="119">
        <v>0.49433521312808004</v>
      </c>
    </row>
    <row r="7332" spans="1:2">
      <c r="A7332">
        <v>7331</v>
      </c>
      <c r="B7332" s="119">
        <v>0.8276685464614133</v>
      </c>
    </row>
    <row r="7333" spans="1:2">
      <c r="A7333">
        <v>7332</v>
      </c>
      <c r="B7333" s="119">
        <v>0.27211299090585783</v>
      </c>
    </row>
    <row r="7334" spans="1:2">
      <c r="A7334">
        <v>7333</v>
      </c>
      <c r="B7334" s="119">
        <v>0.6054463242391912</v>
      </c>
    </row>
    <row r="7335" spans="1:2">
      <c r="A7335">
        <v>7334</v>
      </c>
      <c r="B7335" s="119">
        <v>0.93877965757252446</v>
      </c>
    </row>
    <row r="7336" spans="1:2">
      <c r="A7336">
        <v>7335</v>
      </c>
      <c r="B7336" s="119">
        <v>8.6927805720672657E-2</v>
      </c>
    </row>
    <row r="7337" spans="1:2">
      <c r="A7337">
        <v>7336</v>
      </c>
      <c r="B7337" s="119">
        <v>0.42026113905400597</v>
      </c>
    </row>
    <row r="7338" spans="1:2">
      <c r="A7338">
        <v>7337</v>
      </c>
      <c r="B7338" s="119">
        <v>0.75359447238733934</v>
      </c>
    </row>
    <row r="7339" spans="1:2">
      <c r="A7339">
        <v>7338</v>
      </c>
      <c r="B7339" s="119">
        <v>0.19803891683178376</v>
      </c>
    </row>
    <row r="7340" spans="1:2">
      <c r="A7340">
        <v>7339</v>
      </c>
      <c r="B7340" s="119">
        <v>0.53137225016511702</v>
      </c>
    </row>
    <row r="7341" spans="1:2">
      <c r="A7341">
        <v>7340</v>
      </c>
      <c r="B7341" s="119">
        <v>0.86470558349845028</v>
      </c>
    </row>
    <row r="7342" spans="1:2">
      <c r="A7342">
        <v>7341</v>
      </c>
      <c r="B7342" s="119">
        <v>0.30915002794289487</v>
      </c>
    </row>
    <row r="7343" spans="1:2">
      <c r="A7343">
        <v>7342</v>
      </c>
      <c r="B7343" s="119">
        <v>0.64248336127622818</v>
      </c>
    </row>
    <row r="7344" spans="1:2">
      <c r="A7344">
        <v>7343</v>
      </c>
      <c r="B7344" s="119">
        <v>0.97581669460956144</v>
      </c>
    </row>
    <row r="7345" spans="1:2">
      <c r="A7345">
        <v>7344</v>
      </c>
      <c r="B7345" s="119">
        <v>2.5199410658944262E-2</v>
      </c>
    </row>
    <row r="7346" spans="1:2">
      <c r="A7346">
        <v>7345</v>
      </c>
      <c r="B7346" s="119">
        <v>0.35853274399227758</v>
      </c>
    </row>
    <row r="7347" spans="1:2">
      <c r="A7347">
        <v>7346</v>
      </c>
      <c r="B7347" s="119">
        <v>0.6918660773256109</v>
      </c>
    </row>
    <row r="7348" spans="1:2">
      <c r="A7348">
        <v>7347</v>
      </c>
      <c r="B7348" s="119">
        <v>0.13631052177005537</v>
      </c>
    </row>
    <row r="7349" spans="1:2">
      <c r="A7349">
        <v>7348</v>
      </c>
      <c r="B7349" s="119">
        <v>0.46964385510338869</v>
      </c>
    </row>
    <row r="7350" spans="1:2">
      <c r="A7350">
        <v>7349</v>
      </c>
      <c r="B7350" s="119">
        <v>0.80297718843672194</v>
      </c>
    </row>
    <row r="7351" spans="1:2">
      <c r="A7351">
        <v>7350</v>
      </c>
      <c r="B7351" s="119">
        <v>0.24742163288116648</v>
      </c>
    </row>
    <row r="7352" spans="1:2">
      <c r="A7352">
        <v>7351</v>
      </c>
      <c r="B7352" s="119">
        <v>0.58075496621449985</v>
      </c>
    </row>
    <row r="7353" spans="1:2">
      <c r="A7353">
        <v>7352</v>
      </c>
      <c r="B7353" s="119">
        <v>0.91408829954783311</v>
      </c>
    </row>
    <row r="7354" spans="1:2">
      <c r="A7354">
        <v>7353</v>
      </c>
      <c r="B7354" s="119">
        <v>6.2236447695981301E-2</v>
      </c>
    </row>
    <row r="7355" spans="1:2">
      <c r="A7355">
        <v>7354</v>
      </c>
      <c r="B7355" s="119">
        <v>0.39556978102931462</v>
      </c>
    </row>
    <row r="7356" spans="1:2">
      <c r="A7356">
        <v>7355</v>
      </c>
      <c r="B7356" s="119">
        <v>0.72890311436264799</v>
      </c>
    </row>
    <row r="7357" spans="1:2">
      <c r="A7357">
        <v>7356</v>
      </c>
      <c r="B7357" s="119">
        <v>0.17334755880709241</v>
      </c>
    </row>
    <row r="7358" spans="1:2">
      <c r="A7358">
        <v>7357</v>
      </c>
      <c r="B7358" s="119">
        <v>0.50668089214042578</v>
      </c>
    </row>
    <row r="7359" spans="1:2">
      <c r="A7359">
        <v>7358</v>
      </c>
      <c r="B7359" s="119">
        <v>0.84001422547375892</v>
      </c>
    </row>
    <row r="7360" spans="1:2">
      <c r="A7360">
        <v>7359</v>
      </c>
      <c r="B7360" s="119">
        <v>0.28445866991820351</v>
      </c>
    </row>
    <row r="7361" spans="1:2">
      <c r="A7361">
        <v>7360</v>
      </c>
      <c r="B7361" s="119">
        <v>0.61779200325153683</v>
      </c>
    </row>
    <row r="7362" spans="1:2">
      <c r="A7362">
        <v>7361</v>
      </c>
      <c r="B7362" s="119">
        <v>0.95112533658487008</v>
      </c>
    </row>
    <row r="7363" spans="1:2">
      <c r="A7363">
        <v>7362</v>
      </c>
      <c r="B7363" s="119">
        <v>9.9273484733018336E-2</v>
      </c>
    </row>
    <row r="7364" spans="1:2">
      <c r="A7364">
        <v>7363</v>
      </c>
      <c r="B7364" s="119">
        <v>0.43260681806635165</v>
      </c>
    </row>
    <row r="7365" spans="1:2">
      <c r="A7365">
        <v>7364</v>
      </c>
      <c r="B7365" s="119">
        <v>0.76594015139968497</v>
      </c>
    </row>
    <row r="7366" spans="1:2">
      <c r="A7366">
        <v>7365</v>
      </c>
      <c r="B7366" s="119">
        <v>0.21038459584412944</v>
      </c>
    </row>
    <row r="7367" spans="1:2">
      <c r="A7367">
        <v>7366</v>
      </c>
      <c r="B7367" s="119">
        <v>0.54371792917746276</v>
      </c>
    </row>
    <row r="7368" spans="1:2">
      <c r="A7368">
        <v>7367</v>
      </c>
      <c r="B7368" s="119">
        <v>0.87705126251079601</v>
      </c>
    </row>
    <row r="7369" spans="1:2">
      <c r="A7369">
        <v>7368</v>
      </c>
      <c r="B7369" s="119">
        <v>0.32149570695524055</v>
      </c>
    </row>
    <row r="7370" spans="1:2">
      <c r="A7370">
        <v>7369</v>
      </c>
      <c r="B7370" s="119">
        <v>0.65482904028857392</v>
      </c>
    </row>
    <row r="7371" spans="1:2">
      <c r="A7371">
        <v>7370</v>
      </c>
      <c r="B7371" s="119">
        <v>0.98816237362190718</v>
      </c>
    </row>
    <row r="7372" spans="1:2">
      <c r="A7372">
        <v>7371</v>
      </c>
      <c r="B7372" s="119">
        <v>4.6232789717014691E-3</v>
      </c>
    </row>
    <row r="7373" spans="1:2">
      <c r="A7373">
        <v>7372</v>
      </c>
      <c r="B7373" s="119">
        <v>0.33795661230503476</v>
      </c>
    </row>
    <row r="7374" spans="1:2">
      <c r="A7374">
        <v>7373</v>
      </c>
      <c r="B7374" s="119">
        <v>0.67128994563836808</v>
      </c>
    </row>
    <row r="7375" spans="1:2">
      <c r="A7375">
        <v>7374</v>
      </c>
      <c r="B7375" s="119">
        <v>0.11573439008281257</v>
      </c>
    </row>
    <row r="7376" spans="1:2">
      <c r="A7376">
        <v>7375</v>
      </c>
      <c r="B7376" s="119">
        <v>0.44906772341614587</v>
      </c>
    </row>
    <row r="7377" spans="1:2">
      <c r="A7377">
        <v>7376</v>
      </c>
      <c r="B7377" s="119">
        <v>0.78240105674947913</v>
      </c>
    </row>
    <row r="7378" spans="1:2">
      <c r="A7378">
        <v>7377</v>
      </c>
      <c r="B7378" s="119">
        <v>0.22684550119392369</v>
      </c>
    </row>
    <row r="7379" spans="1:2">
      <c r="A7379">
        <v>7378</v>
      </c>
      <c r="B7379" s="119">
        <v>0.56017883452725703</v>
      </c>
    </row>
    <row r="7380" spans="1:2">
      <c r="A7380">
        <v>7379</v>
      </c>
      <c r="B7380" s="119">
        <v>0.89351216786059029</v>
      </c>
    </row>
    <row r="7381" spans="1:2">
      <c r="A7381">
        <v>7380</v>
      </c>
      <c r="B7381" s="119">
        <v>4.1660316008738506E-2</v>
      </c>
    </row>
    <row r="7382" spans="1:2">
      <c r="A7382">
        <v>7381</v>
      </c>
      <c r="B7382" s="119">
        <v>0.3749936493420718</v>
      </c>
    </row>
    <row r="7383" spans="1:2">
      <c r="A7383">
        <v>7382</v>
      </c>
      <c r="B7383" s="119">
        <v>0.70832698267540517</v>
      </c>
    </row>
    <row r="7384" spans="1:2">
      <c r="A7384">
        <v>7383</v>
      </c>
      <c r="B7384" s="119">
        <v>0.15277142711984962</v>
      </c>
    </row>
    <row r="7385" spans="1:2">
      <c r="A7385">
        <v>7384</v>
      </c>
      <c r="B7385" s="119">
        <v>0.4861047604531829</v>
      </c>
    </row>
    <row r="7386" spans="1:2">
      <c r="A7386">
        <v>7385</v>
      </c>
      <c r="B7386" s="119">
        <v>0.81943809378651611</v>
      </c>
    </row>
    <row r="7387" spans="1:2">
      <c r="A7387">
        <v>7386</v>
      </c>
      <c r="B7387" s="119">
        <v>0.26388253823096069</v>
      </c>
    </row>
    <row r="7388" spans="1:2">
      <c r="A7388">
        <v>7387</v>
      </c>
      <c r="B7388" s="119">
        <v>0.59721587156429401</v>
      </c>
    </row>
    <row r="7389" spans="1:2">
      <c r="A7389">
        <v>7388</v>
      </c>
      <c r="B7389" s="119">
        <v>0.93054920489762727</v>
      </c>
    </row>
    <row r="7390" spans="1:2">
      <c r="A7390">
        <v>7389</v>
      </c>
      <c r="B7390" s="119">
        <v>7.8697353045775534E-2</v>
      </c>
    </row>
    <row r="7391" spans="1:2">
      <c r="A7391">
        <v>7390</v>
      </c>
      <c r="B7391" s="119">
        <v>0.41203068637910883</v>
      </c>
    </row>
    <row r="7392" spans="1:2">
      <c r="A7392">
        <v>7391</v>
      </c>
      <c r="B7392" s="119">
        <v>0.74536401971244215</v>
      </c>
    </row>
    <row r="7393" spans="1:2">
      <c r="A7393">
        <v>7392</v>
      </c>
      <c r="B7393" s="119">
        <v>0.18980846415688665</v>
      </c>
    </row>
    <row r="7394" spans="1:2">
      <c r="A7394">
        <v>7393</v>
      </c>
      <c r="B7394" s="119">
        <v>0.52314179749021994</v>
      </c>
    </row>
    <row r="7395" spans="1:2">
      <c r="A7395">
        <v>7394</v>
      </c>
      <c r="B7395" s="119">
        <v>0.8564751308235532</v>
      </c>
    </row>
    <row r="7396" spans="1:2">
      <c r="A7396">
        <v>7395</v>
      </c>
      <c r="B7396" s="119">
        <v>0.30091957526799773</v>
      </c>
    </row>
    <row r="7397" spans="1:2">
      <c r="A7397">
        <v>7396</v>
      </c>
      <c r="B7397" s="119">
        <v>0.6342529086013311</v>
      </c>
    </row>
    <row r="7398" spans="1:2">
      <c r="A7398">
        <v>7397</v>
      </c>
      <c r="B7398" s="119">
        <v>0.96758624193466436</v>
      </c>
    </row>
    <row r="7399" spans="1:2">
      <c r="A7399">
        <v>7398</v>
      </c>
      <c r="B7399" s="119">
        <v>1.6968957984047146E-2</v>
      </c>
    </row>
    <row r="7400" spans="1:2">
      <c r="A7400">
        <v>7399</v>
      </c>
      <c r="B7400" s="119">
        <v>0.35030229131738044</v>
      </c>
    </row>
    <row r="7401" spans="1:2">
      <c r="A7401">
        <v>7400</v>
      </c>
      <c r="B7401" s="119">
        <v>0.6836356246507137</v>
      </c>
    </row>
    <row r="7402" spans="1:2">
      <c r="A7402">
        <v>7401</v>
      </c>
      <c r="B7402" s="119">
        <v>0.12808006909515826</v>
      </c>
    </row>
    <row r="7403" spans="1:2">
      <c r="A7403">
        <v>7402</v>
      </c>
      <c r="B7403" s="119">
        <v>0.46141340242849155</v>
      </c>
    </row>
    <row r="7404" spans="1:2">
      <c r="A7404">
        <v>7403</v>
      </c>
      <c r="B7404" s="119">
        <v>0.79474673576182486</v>
      </c>
    </row>
    <row r="7405" spans="1:2">
      <c r="A7405">
        <v>7404</v>
      </c>
      <c r="B7405" s="119">
        <v>0.23919118020626937</v>
      </c>
    </row>
    <row r="7406" spans="1:2">
      <c r="A7406">
        <v>7405</v>
      </c>
      <c r="B7406" s="119">
        <v>0.57252451353960276</v>
      </c>
    </row>
    <row r="7407" spans="1:2">
      <c r="A7407">
        <v>7406</v>
      </c>
      <c r="B7407" s="119">
        <v>0.90585784687293602</v>
      </c>
    </row>
    <row r="7408" spans="1:2">
      <c r="A7408">
        <v>7407</v>
      </c>
      <c r="B7408" s="119">
        <v>5.4005995021084184E-2</v>
      </c>
    </row>
    <row r="7409" spans="1:2">
      <c r="A7409">
        <v>7408</v>
      </c>
      <c r="B7409" s="119">
        <v>0.38733932835441748</v>
      </c>
    </row>
    <row r="7410" spans="1:2">
      <c r="A7410">
        <v>7409</v>
      </c>
      <c r="B7410" s="119">
        <v>0.7206726616877509</v>
      </c>
    </row>
    <row r="7411" spans="1:2">
      <c r="A7411">
        <v>7410</v>
      </c>
      <c r="B7411" s="119">
        <v>0.1651171061321953</v>
      </c>
    </row>
    <row r="7412" spans="1:2">
      <c r="A7412">
        <v>7411</v>
      </c>
      <c r="B7412" s="119">
        <v>0.49845043946552858</v>
      </c>
    </row>
    <row r="7413" spans="1:2">
      <c r="A7413">
        <v>7412</v>
      </c>
      <c r="B7413" s="119">
        <v>0.83178377279886184</v>
      </c>
    </row>
    <row r="7414" spans="1:2">
      <c r="A7414">
        <v>7413</v>
      </c>
      <c r="B7414" s="119">
        <v>0.27622821724330637</v>
      </c>
    </row>
    <row r="7415" spans="1:2">
      <c r="A7415">
        <v>7414</v>
      </c>
      <c r="B7415" s="119">
        <v>0.60956155057663974</v>
      </c>
    </row>
    <row r="7416" spans="1:2">
      <c r="A7416">
        <v>7415</v>
      </c>
      <c r="B7416" s="119">
        <v>0.942894883909973</v>
      </c>
    </row>
    <row r="7417" spans="1:2">
      <c r="A7417">
        <v>7416</v>
      </c>
      <c r="B7417" s="119">
        <v>9.1043032058121212E-2</v>
      </c>
    </row>
    <row r="7418" spans="1:2">
      <c r="A7418">
        <v>7417</v>
      </c>
      <c r="B7418" s="119">
        <v>0.42437636539145451</v>
      </c>
    </row>
    <row r="7419" spans="1:2">
      <c r="A7419">
        <v>7418</v>
      </c>
      <c r="B7419" s="119">
        <v>0.75770969872478788</v>
      </c>
    </row>
    <row r="7420" spans="1:2">
      <c r="A7420">
        <v>7419</v>
      </c>
      <c r="B7420" s="119">
        <v>0.20215414316923233</v>
      </c>
    </row>
    <row r="7421" spans="1:2">
      <c r="A7421">
        <v>7420</v>
      </c>
      <c r="B7421" s="119">
        <v>0.53548747650256556</v>
      </c>
    </row>
    <row r="7422" spans="1:2">
      <c r="A7422">
        <v>7421</v>
      </c>
      <c r="B7422" s="119">
        <v>0.86882080983589882</v>
      </c>
    </row>
    <row r="7423" spans="1:2">
      <c r="A7423">
        <v>7422</v>
      </c>
      <c r="B7423" s="119">
        <v>0.31326525428034341</v>
      </c>
    </row>
    <row r="7424" spans="1:2">
      <c r="A7424">
        <v>7423</v>
      </c>
      <c r="B7424" s="119">
        <v>0.64659858761367672</v>
      </c>
    </row>
    <row r="7425" spans="1:2">
      <c r="A7425">
        <v>7424</v>
      </c>
      <c r="B7425" s="119">
        <v>0.97993192094700998</v>
      </c>
    </row>
    <row r="7426" spans="1:2">
      <c r="A7426">
        <v>7425</v>
      </c>
      <c r="B7426" s="119">
        <v>2.9314636996392824E-2</v>
      </c>
    </row>
    <row r="7427" spans="1:2">
      <c r="A7427">
        <v>7426</v>
      </c>
      <c r="B7427" s="119">
        <v>0.36264797032972612</v>
      </c>
    </row>
    <row r="7428" spans="1:2">
      <c r="A7428">
        <v>7427</v>
      </c>
      <c r="B7428" s="119">
        <v>0.69598130366305944</v>
      </c>
    </row>
    <row r="7429" spans="1:2">
      <c r="A7429">
        <v>7428</v>
      </c>
      <c r="B7429" s="119">
        <v>0.14042574810750394</v>
      </c>
    </row>
    <row r="7430" spans="1:2">
      <c r="A7430">
        <v>7429</v>
      </c>
      <c r="B7430" s="119">
        <v>0.47375908144083723</v>
      </c>
    </row>
    <row r="7431" spans="1:2">
      <c r="A7431">
        <v>7430</v>
      </c>
      <c r="B7431" s="119">
        <v>0.80709241477417049</v>
      </c>
    </row>
    <row r="7432" spans="1:2">
      <c r="A7432">
        <v>7431</v>
      </c>
      <c r="B7432" s="119">
        <v>0.25153685921861502</v>
      </c>
    </row>
    <row r="7433" spans="1:2">
      <c r="A7433">
        <v>7432</v>
      </c>
      <c r="B7433" s="119">
        <v>0.58487019255194839</v>
      </c>
    </row>
    <row r="7434" spans="1:2">
      <c r="A7434">
        <v>7433</v>
      </c>
      <c r="B7434" s="119">
        <v>0.91820352588528165</v>
      </c>
    </row>
    <row r="7435" spans="1:2">
      <c r="A7435">
        <v>7434</v>
      </c>
      <c r="B7435" s="119">
        <v>6.6351674033429855E-2</v>
      </c>
    </row>
    <row r="7436" spans="1:2">
      <c r="A7436">
        <v>7435</v>
      </c>
      <c r="B7436" s="119">
        <v>0.39968500736676316</v>
      </c>
    </row>
    <row r="7437" spans="1:2">
      <c r="A7437">
        <v>7436</v>
      </c>
      <c r="B7437" s="119">
        <v>0.73301834070009653</v>
      </c>
    </row>
    <row r="7438" spans="1:2">
      <c r="A7438">
        <v>7437</v>
      </c>
      <c r="B7438" s="119">
        <v>0.17746278514454097</v>
      </c>
    </row>
    <row r="7439" spans="1:2">
      <c r="A7439">
        <v>7438</v>
      </c>
      <c r="B7439" s="119">
        <v>0.51079611847787432</v>
      </c>
    </row>
    <row r="7440" spans="1:2">
      <c r="A7440">
        <v>7439</v>
      </c>
      <c r="B7440" s="119">
        <v>0.84412945181120747</v>
      </c>
    </row>
    <row r="7441" spans="1:2">
      <c r="A7441">
        <v>7440</v>
      </c>
      <c r="B7441" s="119">
        <v>0.28857389625565205</v>
      </c>
    </row>
    <row r="7442" spans="1:2">
      <c r="A7442">
        <v>7441</v>
      </c>
      <c r="B7442" s="119">
        <v>0.62190722958898537</v>
      </c>
    </row>
    <row r="7443" spans="1:2">
      <c r="A7443">
        <v>7442</v>
      </c>
      <c r="B7443" s="119">
        <v>0.95524056292231863</v>
      </c>
    </row>
    <row r="7444" spans="1:2">
      <c r="A7444">
        <v>7443</v>
      </c>
      <c r="B7444" s="119">
        <v>0.10338871107046689</v>
      </c>
    </row>
    <row r="7445" spans="1:2">
      <c r="A7445">
        <v>7444</v>
      </c>
      <c r="B7445" s="119">
        <v>0.43672204440380019</v>
      </c>
    </row>
    <row r="7446" spans="1:2">
      <c r="A7446">
        <v>7445</v>
      </c>
      <c r="B7446" s="119">
        <v>0.77005537773713351</v>
      </c>
    </row>
    <row r="7447" spans="1:2">
      <c r="A7447">
        <v>7446</v>
      </c>
      <c r="B7447" s="119">
        <v>0.21449982218157801</v>
      </c>
    </row>
    <row r="7448" spans="1:2">
      <c r="A7448">
        <v>7447</v>
      </c>
      <c r="B7448" s="119">
        <v>0.5478331555149113</v>
      </c>
    </row>
    <row r="7449" spans="1:2">
      <c r="A7449">
        <v>7448</v>
      </c>
      <c r="B7449" s="119">
        <v>0.88116648884824456</v>
      </c>
    </row>
    <row r="7450" spans="1:2">
      <c r="A7450">
        <v>7449</v>
      </c>
      <c r="B7450" s="119">
        <v>0.32561093329268909</v>
      </c>
    </row>
    <row r="7451" spans="1:2">
      <c r="A7451">
        <v>7450</v>
      </c>
      <c r="B7451" s="119">
        <v>0.65894426662602246</v>
      </c>
    </row>
    <row r="7452" spans="1:2">
      <c r="A7452">
        <v>7451</v>
      </c>
      <c r="B7452" s="119">
        <v>0.99227759995935572</v>
      </c>
    </row>
    <row r="7453" spans="1:2">
      <c r="A7453">
        <v>7452</v>
      </c>
      <c r="B7453" s="119">
        <v>8.7385053091500291E-3</v>
      </c>
    </row>
    <row r="7454" spans="1:2">
      <c r="A7454">
        <v>7453</v>
      </c>
      <c r="B7454" s="119">
        <v>0.34207183864248336</v>
      </c>
    </row>
    <row r="7455" spans="1:2">
      <c r="A7455">
        <v>7454</v>
      </c>
      <c r="B7455" s="119">
        <v>0.67540517197581662</v>
      </c>
    </row>
    <row r="7456" spans="1:2">
      <c r="A7456">
        <v>7455</v>
      </c>
      <c r="B7456" s="119">
        <v>0.11984961642026114</v>
      </c>
    </row>
    <row r="7457" spans="1:2">
      <c r="A7457">
        <v>7456</v>
      </c>
      <c r="B7457" s="119">
        <v>0.45318294975359447</v>
      </c>
    </row>
    <row r="7458" spans="1:2">
      <c r="A7458">
        <v>7457</v>
      </c>
      <c r="B7458" s="119">
        <v>0.78651628308692767</v>
      </c>
    </row>
    <row r="7459" spans="1:2">
      <c r="A7459">
        <v>7458</v>
      </c>
      <c r="B7459" s="119">
        <v>0.23096072753137223</v>
      </c>
    </row>
    <row r="7460" spans="1:2">
      <c r="A7460">
        <v>7459</v>
      </c>
      <c r="B7460" s="119">
        <v>0.56429406086470557</v>
      </c>
    </row>
    <row r="7461" spans="1:2">
      <c r="A7461">
        <v>7460</v>
      </c>
      <c r="B7461" s="119">
        <v>0.89762739419803883</v>
      </c>
    </row>
    <row r="7462" spans="1:2">
      <c r="A7462">
        <v>7461</v>
      </c>
      <c r="B7462" s="119">
        <v>4.5775542346187068E-2</v>
      </c>
    </row>
    <row r="7463" spans="1:2">
      <c r="A7463">
        <v>7462</v>
      </c>
      <c r="B7463" s="119">
        <v>0.3791088756795204</v>
      </c>
    </row>
    <row r="7464" spans="1:2">
      <c r="A7464">
        <v>7463</v>
      </c>
      <c r="B7464" s="119">
        <v>0.71244220901285371</v>
      </c>
    </row>
    <row r="7465" spans="1:2">
      <c r="A7465">
        <v>7464</v>
      </c>
      <c r="B7465" s="119">
        <v>0.15688665345729816</v>
      </c>
    </row>
    <row r="7466" spans="1:2">
      <c r="A7466">
        <v>7465</v>
      </c>
      <c r="B7466" s="119">
        <v>0.4902199867906315</v>
      </c>
    </row>
    <row r="7467" spans="1:2">
      <c r="A7467">
        <v>7466</v>
      </c>
      <c r="B7467" s="119">
        <v>0.82355332012396465</v>
      </c>
    </row>
    <row r="7468" spans="1:2">
      <c r="A7468">
        <v>7467</v>
      </c>
      <c r="B7468" s="119">
        <v>0.26799776456840929</v>
      </c>
    </row>
    <row r="7469" spans="1:2">
      <c r="A7469">
        <v>7468</v>
      </c>
      <c r="B7469" s="119">
        <v>0.60133109790174255</v>
      </c>
    </row>
    <row r="7470" spans="1:2">
      <c r="A7470">
        <v>7469</v>
      </c>
      <c r="B7470" s="119">
        <v>0.93466443123507581</v>
      </c>
    </row>
    <row r="7471" spans="1:2">
      <c r="A7471">
        <v>7470</v>
      </c>
      <c r="B7471" s="119">
        <v>8.2812579383224103E-2</v>
      </c>
    </row>
    <row r="7472" spans="1:2">
      <c r="A7472">
        <v>7471</v>
      </c>
      <c r="B7472" s="119">
        <v>0.41614591271655743</v>
      </c>
    </row>
    <row r="7473" spans="1:2">
      <c r="A7473">
        <v>7472</v>
      </c>
      <c r="B7473" s="119">
        <v>0.74947924604989069</v>
      </c>
    </row>
    <row r="7474" spans="1:2">
      <c r="A7474">
        <v>7473</v>
      </c>
      <c r="B7474" s="119">
        <v>0.19392369049433519</v>
      </c>
    </row>
    <row r="7475" spans="1:2">
      <c r="A7475">
        <v>7474</v>
      </c>
      <c r="B7475" s="119">
        <v>0.52725702382766848</v>
      </c>
    </row>
    <row r="7476" spans="1:2">
      <c r="A7476">
        <v>7475</v>
      </c>
      <c r="B7476" s="119">
        <v>0.86059035716100174</v>
      </c>
    </row>
    <row r="7477" spans="1:2">
      <c r="A7477">
        <v>7476</v>
      </c>
      <c r="B7477" s="119">
        <v>0.30503480160544633</v>
      </c>
    </row>
    <row r="7478" spans="1:2">
      <c r="A7478">
        <v>7477</v>
      </c>
      <c r="B7478" s="119">
        <v>0.63836813493877964</v>
      </c>
    </row>
    <row r="7479" spans="1:2">
      <c r="A7479">
        <v>7478</v>
      </c>
      <c r="B7479" s="119">
        <v>0.9717014682721129</v>
      </c>
    </row>
    <row r="7480" spans="1:2">
      <c r="A7480">
        <v>7479</v>
      </c>
      <c r="B7480" s="119">
        <v>2.1084184321495704E-2</v>
      </c>
    </row>
    <row r="7481" spans="1:2">
      <c r="A7481">
        <v>7480</v>
      </c>
      <c r="B7481" s="119">
        <v>0.35441751765482904</v>
      </c>
    </row>
    <row r="7482" spans="1:2">
      <c r="A7482">
        <v>7481</v>
      </c>
      <c r="B7482" s="119">
        <v>0.68775085098816224</v>
      </c>
    </row>
    <row r="7483" spans="1:2">
      <c r="A7483">
        <v>7482</v>
      </c>
      <c r="B7483" s="119">
        <v>0.1321952954326068</v>
      </c>
    </row>
    <row r="7484" spans="1:2">
      <c r="A7484">
        <v>7483</v>
      </c>
      <c r="B7484" s="119">
        <v>0.46552862876594014</v>
      </c>
    </row>
    <row r="7485" spans="1:2">
      <c r="A7485">
        <v>7484</v>
      </c>
      <c r="B7485" s="119">
        <v>0.7988619620992734</v>
      </c>
    </row>
    <row r="7486" spans="1:2">
      <c r="A7486">
        <v>7485</v>
      </c>
      <c r="B7486" s="119">
        <v>0.24330640654371791</v>
      </c>
    </row>
    <row r="7487" spans="1:2">
      <c r="A7487">
        <v>7486</v>
      </c>
      <c r="B7487" s="119">
        <v>0.5766397398770513</v>
      </c>
    </row>
    <row r="7488" spans="1:2">
      <c r="A7488">
        <v>7487</v>
      </c>
      <c r="B7488" s="119">
        <v>0.90997307321038456</v>
      </c>
    </row>
    <row r="7489" spans="1:2">
      <c r="A7489">
        <v>7488</v>
      </c>
      <c r="B7489" s="119">
        <v>5.8121221358532746E-2</v>
      </c>
    </row>
    <row r="7490" spans="1:2">
      <c r="A7490">
        <v>7489</v>
      </c>
      <c r="B7490" s="119">
        <v>0.39145455469186607</v>
      </c>
    </row>
    <row r="7491" spans="1:2">
      <c r="A7491">
        <v>7490</v>
      </c>
      <c r="B7491" s="119">
        <v>0.72478788802519944</v>
      </c>
    </row>
    <row r="7492" spans="1:2">
      <c r="A7492">
        <v>7491</v>
      </c>
      <c r="B7492" s="119">
        <v>0.16923233246964384</v>
      </c>
    </row>
    <row r="7493" spans="1:2">
      <c r="A7493">
        <v>7492</v>
      </c>
      <c r="B7493" s="119">
        <v>0.50256566580297712</v>
      </c>
    </row>
    <row r="7494" spans="1:2">
      <c r="A7494">
        <v>7493</v>
      </c>
      <c r="B7494" s="119">
        <v>0.83589899913631038</v>
      </c>
    </row>
    <row r="7495" spans="1:2">
      <c r="A7495">
        <v>7494</v>
      </c>
      <c r="B7495" s="119">
        <v>0.28034344358075497</v>
      </c>
    </row>
    <row r="7496" spans="1:2">
      <c r="A7496">
        <v>7495</v>
      </c>
      <c r="B7496" s="119">
        <v>0.61367677691408828</v>
      </c>
    </row>
    <row r="7497" spans="1:2">
      <c r="A7497">
        <v>7496</v>
      </c>
      <c r="B7497" s="119">
        <v>0.94701011024742154</v>
      </c>
    </row>
    <row r="7498" spans="1:2">
      <c r="A7498">
        <v>7497</v>
      </c>
      <c r="B7498" s="119">
        <v>9.5158258395569781E-2</v>
      </c>
    </row>
    <row r="7499" spans="1:2">
      <c r="A7499">
        <v>7498</v>
      </c>
      <c r="B7499" s="119">
        <v>0.42849159172890311</v>
      </c>
    </row>
    <row r="7500" spans="1:2">
      <c r="A7500">
        <v>7499</v>
      </c>
      <c r="B7500" s="119">
        <v>0.76182492506223642</v>
      </c>
    </row>
    <row r="7501" spans="1:2">
      <c r="A7501">
        <v>7500</v>
      </c>
      <c r="B7501" s="119">
        <v>0.20626936950668087</v>
      </c>
    </row>
    <row r="7502" spans="1:2">
      <c r="A7502">
        <v>7501</v>
      </c>
      <c r="B7502" s="119">
        <v>0.5396027028400141</v>
      </c>
    </row>
    <row r="7503" spans="1:2">
      <c r="A7503">
        <v>7502</v>
      </c>
      <c r="B7503" s="119">
        <v>0.87293603617334736</v>
      </c>
    </row>
    <row r="7504" spans="1:2">
      <c r="A7504">
        <v>7503</v>
      </c>
      <c r="B7504" s="119">
        <v>0.317380480617792</v>
      </c>
    </row>
    <row r="7505" spans="1:2">
      <c r="A7505">
        <v>7504</v>
      </c>
      <c r="B7505" s="119">
        <v>0.65071381395112526</v>
      </c>
    </row>
    <row r="7506" spans="1:2">
      <c r="A7506">
        <v>7505</v>
      </c>
      <c r="B7506" s="119">
        <v>0.98404714728445852</v>
      </c>
    </row>
    <row r="7507" spans="1:2">
      <c r="A7507">
        <v>7506</v>
      </c>
      <c r="B7507" s="119">
        <v>3.3429863333841389E-2</v>
      </c>
    </row>
    <row r="7508" spans="1:2">
      <c r="A7508">
        <v>7507</v>
      </c>
      <c r="B7508" s="119">
        <v>0.36676319666717472</v>
      </c>
    </row>
    <row r="7509" spans="1:2">
      <c r="A7509">
        <v>7508</v>
      </c>
      <c r="B7509" s="119">
        <v>0.70009653000050798</v>
      </c>
    </row>
    <row r="7510" spans="1:2">
      <c r="A7510">
        <v>7509</v>
      </c>
      <c r="B7510" s="119">
        <v>0.14454097444495248</v>
      </c>
    </row>
    <row r="7511" spans="1:2">
      <c r="A7511">
        <v>7510</v>
      </c>
      <c r="B7511" s="119">
        <v>0.47787430777828582</v>
      </c>
    </row>
    <row r="7512" spans="1:2">
      <c r="A7512">
        <v>7511</v>
      </c>
      <c r="B7512" s="119">
        <v>0.81120764111161903</v>
      </c>
    </row>
    <row r="7513" spans="1:2">
      <c r="A7513">
        <v>7512</v>
      </c>
      <c r="B7513" s="119">
        <v>0.25565208555606361</v>
      </c>
    </row>
    <row r="7514" spans="1:2">
      <c r="A7514">
        <v>7513</v>
      </c>
      <c r="B7514" s="119">
        <v>0.58898541888939693</v>
      </c>
    </row>
    <row r="7515" spans="1:2">
      <c r="A7515">
        <v>7514</v>
      </c>
      <c r="B7515" s="119">
        <v>0.92231875222273019</v>
      </c>
    </row>
    <row r="7516" spans="1:2">
      <c r="A7516">
        <v>7515</v>
      </c>
      <c r="B7516" s="119">
        <v>7.0466900370878424E-2</v>
      </c>
    </row>
    <row r="7517" spans="1:2">
      <c r="A7517">
        <v>7516</v>
      </c>
      <c r="B7517" s="119">
        <v>0.40380023370421175</v>
      </c>
    </row>
    <row r="7518" spans="1:2">
      <c r="A7518">
        <v>7517</v>
      </c>
      <c r="B7518" s="119">
        <v>0.73713356703754507</v>
      </c>
    </row>
    <row r="7519" spans="1:2">
      <c r="A7519">
        <v>7518</v>
      </c>
      <c r="B7519" s="119">
        <v>0.18157801148198952</v>
      </c>
    </row>
    <row r="7520" spans="1:2">
      <c r="A7520">
        <v>7519</v>
      </c>
      <c r="B7520" s="119">
        <v>0.51491134481532286</v>
      </c>
    </row>
    <row r="7521" spans="1:2">
      <c r="A7521">
        <v>7520</v>
      </c>
      <c r="B7521" s="119">
        <v>0.84824467814865601</v>
      </c>
    </row>
    <row r="7522" spans="1:2">
      <c r="A7522">
        <v>7521</v>
      </c>
      <c r="B7522" s="119">
        <v>0.29268912259310065</v>
      </c>
    </row>
    <row r="7523" spans="1:2">
      <c r="A7523">
        <v>7522</v>
      </c>
      <c r="B7523" s="119">
        <v>0.62602245592643391</v>
      </c>
    </row>
    <row r="7524" spans="1:2">
      <c r="A7524">
        <v>7523</v>
      </c>
      <c r="B7524" s="119">
        <v>0.95935578925976717</v>
      </c>
    </row>
    <row r="7525" spans="1:2">
      <c r="A7525">
        <v>7524</v>
      </c>
      <c r="B7525" s="119">
        <v>0.10750393740791546</v>
      </c>
    </row>
    <row r="7526" spans="1:2">
      <c r="A7526">
        <v>7525</v>
      </c>
      <c r="B7526" s="119">
        <v>0.44083727074124879</v>
      </c>
    </row>
    <row r="7527" spans="1:2">
      <c r="A7527">
        <v>7526</v>
      </c>
      <c r="B7527" s="119">
        <v>0.77417060407458205</v>
      </c>
    </row>
    <row r="7528" spans="1:2">
      <c r="A7528">
        <v>7527</v>
      </c>
      <c r="B7528" s="119">
        <v>0.21861504851902655</v>
      </c>
    </row>
    <row r="7529" spans="1:2">
      <c r="A7529">
        <v>7528</v>
      </c>
      <c r="B7529" s="119">
        <v>0.55194838185235984</v>
      </c>
    </row>
    <row r="7530" spans="1:2">
      <c r="A7530">
        <v>7529</v>
      </c>
      <c r="B7530" s="119">
        <v>0.8852817151856931</v>
      </c>
    </row>
    <row r="7531" spans="1:2">
      <c r="A7531">
        <v>7530</v>
      </c>
      <c r="B7531" s="119">
        <v>0.32972615963013768</v>
      </c>
    </row>
    <row r="7532" spans="1:2">
      <c r="A7532">
        <v>7531</v>
      </c>
      <c r="B7532" s="119">
        <v>0.663059492963471</v>
      </c>
    </row>
    <row r="7533" spans="1:2">
      <c r="A7533">
        <v>7532</v>
      </c>
      <c r="B7533" s="119">
        <v>0.99639282629680426</v>
      </c>
    </row>
    <row r="7534" spans="1:2">
      <c r="A7534">
        <v>7533</v>
      </c>
      <c r="B7534" s="119">
        <v>1.8797947467357617E-3</v>
      </c>
    </row>
    <row r="7535" spans="1:2">
      <c r="A7535">
        <v>7534</v>
      </c>
      <c r="B7535" s="119">
        <v>0.33521312808006909</v>
      </c>
    </row>
    <row r="7536" spans="1:2">
      <c r="A7536">
        <v>7535</v>
      </c>
      <c r="B7536" s="119">
        <v>0.66854646141340235</v>
      </c>
    </row>
    <row r="7537" spans="1:2">
      <c r="A7537">
        <v>7536</v>
      </c>
      <c r="B7537" s="119">
        <v>0.11299090585784687</v>
      </c>
    </row>
    <row r="7538" spans="1:2">
      <c r="A7538">
        <v>7537</v>
      </c>
      <c r="B7538" s="119">
        <v>0.44632423919118019</v>
      </c>
    </row>
    <row r="7539" spans="1:2">
      <c r="A7539">
        <v>7538</v>
      </c>
      <c r="B7539" s="119">
        <v>0.7796575725245134</v>
      </c>
    </row>
    <row r="7540" spans="1:2">
      <c r="A7540">
        <v>7539</v>
      </c>
      <c r="B7540" s="119">
        <v>0.22410201696895798</v>
      </c>
    </row>
    <row r="7541" spans="1:2">
      <c r="A7541">
        <v>7540</v>
      </c>
      <c r="B7541" s="119">
        <v>0.5574353503022913</v>
      </c>
    </row>
    <row r="7542" spans="1:2">
      <c r="A7542">
        <v>7541</v>
      </c>
      <c r="B7542" s="119">
        <v>0.89076868363562456</v>
      </c>
    </row>
    <row r="7543" spans="1:2">
      <c r="A7543">
        <v>7542</v>
      </c>
      <c r="B7543" s="119">
        <v>3.8916831783772796E-2</v>
      </c>
    </row>
    <row r="7544" spans="1:2">
      <c r="A7544">
        <v>7543</v>
      </c>
      <c r="B7544" s="119">
        <v>0.37225016511710612</v>
      </c>
    </row>
    <row r="7545" spans="1:2">
      <c r="A7545">
        <v>7544</v>
      </c>
      <c r="B7545" s="119">
        <v>0.70558349845043944</v>
      </c>
    </row>
    <row r="7546" spans="1:2">
      <c r="A7546">
        <v>7545</v>
      </c>
      <c r="B7546" s="119">
        <v>0.15002794289488391</v>
      </c>
    </row>
    <row r="7547" spans="1:2">
      <c r="A7547">
        <v>7546</v>
      </c>
      <c r="B7547" s="119">
        <v>0.48336127622821723</v>
      </c>
    </row>
    <row r="7548" spans="1:2">
      <c r="A7548">
        <v>7547</v>
      </c>
      <c r="B7548" s="119">
        <v>0.81669460956155038</v>
      </c>
    </row>
    <row r="7549" spans="1:2">
      <c r="A7549">
        <v>7548</v>
      </c>
      <c r="B7549" s="119">
        <v>0.26113905400599502</v>
      </c>
    </row>
    <row r="7550" spans="1:2">
      <c r="A7550">
        <v>7549</v>
      </c>
      <c r="B7550" s="119">
        <v>0.59447238733932828</v>
      </c>
    </row>
    <row r="7551" spans="1:2">
      <c r="A7551">
        <v>7550</v>
      </c>
      <c r="B7551" s="119">
        <v>0.92780572067266154</v>
      </c>
    </row>
    <row r="7552" spans="1:2">
      <c r="A7552">
        <v>7551</v>
      </c>
      <c r="B7552" s="119">
        <v>7.5953868820809831E-2</v>
      </c>
    </row>
    <row r="7553" spans="1:2">
      <c r="A7553">
        <v>7552</v>
      </c>
      <c r="B7553" s="119">
        <v>0.40928720215414316</v>
      </c>
    </row>
    <row r="7554" spans="1:2">
      <c r="A7554">
        <v>7553</v>
      </c>
      <c r="B7554" s="119">
        <v>0.74262053548747642</v>
      </c>
    </row>
    <row r="7555" spans="1:2">
      <c r="A7555">
        <v>7554</v>
      </c>
      <c r="B7555" s="119">
        <v>0.18706497993192095</v>
      </c>
    </row>
    <row r="7556" spans="1:2">
      <c r="A7556">
        <v>7555</v>
      </c>
      <c r="B7556" s="119">
        <v>0.52039831326525421</v>
      </c>
    </row>
    <row r="7557" spans="1:2">
      <c r="A7557">
        <v>7556</v>
      </c>
      <c r="B7557" s="119">
        <v>0.85373164659858747</v>
      </c>
    </row>
    <row r="7558" spans="1:2">
      <c r="A7558">
        <v>7557</v>
      </c>
      <c r="B7558" s="119">
        <v>0.29817609104303205</v>
      </c>
    </row>
    <row r="7559" spans="1:2">
      <c r="A7559">
        <v>7558</v>
      </c>
      <c r="B7559" s="119">
        <v>0.63150942437636537</v>
      </c>
    </row>
    <row r="7560" spans="1:2">
      <c r="A7560">
        <v>7559</v>
      </c>
      <c r="B7560" s="119">
        <v>0.96484275770969863</v>
      </c>
    </row>
    <row r="7561" spans="1:2">
      <c r="A7561">
        <v>7560</v>
      </c>
      <c r="B7561" s="119">
        <v>1.4225473759081441E-2</v>
      </c>
    </row>
    <row r="7562" spans="1:2">
      <c r="A7562">
        <v>7561</v>
      </c>
      <c r="B7562" s="119">
        <v>0.34755880709241477</v>
      </c>
    </row>
    <row r="7563" spans="1:2">
      <c r="A7563">
        <v>7562</v>
      </c>
      <c r="B7563" s="119">
        <v>0.68089214042574797</v>
      </c>
    </row>
    <row r="7564" spans="1:2">
      <c r="A7564">
        <v>7563</v>
      </c>
      <c r="B7564" s="119">
        <v>0.12533658487019256</v>
      </c>
    </row>
    <row r="7565" spans="1:2">
      <c r="A7565">
        <v>7564</v>
      </c>
      <c r="B7565" s="119">
        <v>0.45866991820352587</v>
      </c>
    </row>
    <row r="7566" spans="1:2">
      <c r="A7566">
        <v>7565</v>
      </c>
      <c r="B7566" s="119">
        <v>0.79200325153685913</v>
      </c>
    </row>
    <row r="7567" spans="1:2">
      <c r="A7567">
        <v>7566</v>
      </c>
      <c r="B7567" s="119">
        <v>0.23644769598130366</v>
      </c>
    </row>
    <row r="7568" spans="1:2">
      <c r="A7568">
        <v>7567</v>
      </c>
      <c r="B7568" s="119">
        <v>0.56978102931463703</v>
      </c>
    </row>
    <row r="7569" spans="1:2">
      <c r="A7569">
        <v>7568</v>
      </c>
      <c r="B7569" s="119">
        <v>0.90311436264797029</v>
      </c>
    </row>
    <row r="7570" spans="1:2">
      <c r="A7570">
        <v>7569</v>
      </c>
      <c r="B7570" s="119">
        <v>5.1262510796118474E-2</v>
      </c>
    </row>
    <row r="7571" spans="1:2">
      <c r="A7571">
        <v>7570</v>
      </c>
      <c r="B7571" s="119">
        <v>0.3845958441294518</v>
      </c>
    </row>
    <row r="7572" spans="1:2">
      <c r="A7572">
        <v>7571</v>
      </c>
      <c r="B7572" s="119">
        <v>0.71792917746278517</v>
      </c>
    </row>
    <row r="7573" spans="1:2">
      <c r="A7573">
        <v>7572</v>
      </c>
      <c r="B7573" s="119">
        <v>0.16237362190722959</v>
      </c>
    </row>
    <row r="7574" spans="1:2">
      <c r="A7574">
        <v>7573</v>
      </c>
      <c r="B7574" s="119">
        <v>0.49570695524056291</v>
      </c>
    </row>
    <row r="7575" spans="1:2">
      <c r="A7575">
        <v>7574</v>
      </c>
      <c r="B7575" s="119">
        <v>0.82904028857389611</v>
      </c>
    </row>
    <row r="7576" spans="1:2">
      <c r="A7576">
        <v>7575</v>
      </c>
      <c r="B7576" s="119">
        <v>0.2734847330183407</v>
      </c>
    </row>
    <row r="7577" spans="1:2">
      <c r="A7577">
        <v>7576</v>
      </c>
      <c r="B7577" s="119">
        <v>0.60681806635167401</v>
      </c>
    </row>
    <row r="7578" spans="1:2">
      <c r="A7578">
        <v>7577</v>
      </c>
      <c r="B7578" s="119">
        <v>0.94015139968500727</v>
      </c>
    </row>
    <row r="7579" spans="1:2">
      <c r="A7579">
        <v>7578</v>
      </c>
      <c r="B7579" s="119">
        <v>8.8299547833155509E-2</v>
      </c>
    </row>
    <row r="7580" spans="1:2">
      <c r="A7580">
        <v>7579</v>
      </c>
      <c r="B7580" s="119">
        <v>0.42163288116648884</v>
      </c>
    </row>
    <row r="7581" spans="1:2">
      <c r="A7581">
        <v>7580</v>
      </c>
      <c r="B7581" s="119">
        <v>0.75496621449982215</v>
      </c>
    </row>
    <row r="7582" spans="1:2">
      <c r="A7582">
        <v>7581</v>
      </c>
      <c r="B7582" s="119">
        <v>0.19941065894426663</v>
      </c>
    </row>
    <row r="7583" spans="1:2">
      <c r="A7583">
        <v>7582</v>
      </c>
      <c r="B7583" s="119">
        <v>0.53274399227759983</v>
      </c>
    </row>
    <row r="7584" spans="1:2">
      <c r="A7584">
        <v>7583</v>
      </c>
      <c r="B7584" s="119">
        <v>0.86607732561093309</v>
      </c>
    </row>
    <row r="7585" spans="1:2">
      <c r="A7585">
        <v>7584</v>
      </c>
      <c r="B7585" s="119">
        <v>0.31052177005537773</v>
      </c>
    </row>
    <row r="7586" spans="1:2">
      <c r="A7586">
        <v>7585</v>
      </c>
      <c r="B7586" s="119">
        <v>0.64385510338871099</v>
      </c>
    </row>
    <row r="7587" spans="1:2">
      <c r="A7587">
        <v>7586</v>
      </c>
      <c r="B7587" s="119">
        <v>0.97718843672204425</v>
      </c>
    </row>
    <row r="7588" spans="1:2">
      <c r="A7588">
        <v>7587</v>
      </c>
      <c r="B7588" s="119">
        <v>2.6571152771427114E-2</v>
      </c>
    </row>
    <row r="7589" spans="1:2">
      <c r="A7589">
        <v>7588</v>
      </c>
      <c r="B7589" s="119">
        <v>0.35990448610476045</v>
      </c>
    </row>
    <row r="7590" spans="1:2">
      <c r="A7590">
        <v>7589</v>
      </c>
      <c r="B7590" s="119">
        <v>0.69323781943809371</v>
      </c>
    </row>
    <row r="7591" spans="1:2">
      <c r="A7591">
        <v>7590</v>
      </c>
      <c r="B7591" s="119">
        <v>0.13768226388253824</v>
      </c>
    </row>
    <row r="7592" spans="1:2">
      <c r="A7592">
        <v>7591</v>
      </c>
      <c r="B7592" s="119">
        <v>0.47101559721587155</v>
      </c>
    </row>
    <row r="7593" spans="1:2">
      <c r="A7593">
        <v>7592</v>
      </c>
      <c r="B7593" s="119">
        <v>0.80434893054920475</v>
      </c>
    </row>
    <row r="7594" spans="1:2">
      <c r="A7594">
        <v>7593</v>
      </c>
      <c r="B7594" s="119">
        <v>0.24879337499364934</v>
      </c>
    </row>
    <row r="7595" spans="1:2">
      <c r="A7595">
        <v>7594</v>
      </c>
      <c r="B7595" s="119">
        <v>0.58212670832698266</v>
      </c>
    </row>
    <row r="7596" spans="1:2">
      <c r="A7596">
        <v>7595</v>
      </c>
      <c r="B7596" s="119">
        <v>0.91546004166031592</v>
      </c>
    </row>
    <row r="7597" spans="1:2">
      <c r="A7597">
        <v>7596</v>
      </c>
      <c r="B7597" s="119">
        <v>6.3608189808464152E-2</v>
      </c>
    </row>
    <row r="7598" spans="1:2">
      <c r="A7598">
        <v>7597</v>
      </c>
      <c r="B7598" s="119">
        <v>0.39694152314179748</v>
      </c>
    </row>
    <row r="7599" spans="1:2">
      <c r="A7599">
        <v>7598</v>
      </c>
      <c r="B7599" s="119">
        <v>0.7302748564751308</v>
      </c>
    </row>
    <row r="7600" spans="1:2">
      <c r="A7600">
        <v>7599</v>
      </c>
      <c r="B7600" s="119">
        <v>0.17471930091957527</v>
      </c>
    </row>
    <row r="7601" spans="1:2">
      <c r="A7601">
        <v>7600</v>
      </c>
      <c r="B7601" s="119">
        <v>0.50805263425290859</v>
      </c>
    </row>
    <row r="7602" spans="1:2">
      <c r="A7602">
        <v>7601</v>
      </c>
      <c r="B7602" s="119">
        <v>0.84138596758624173</v>
      </c>
    </row>
    <row r="7603" spans="1:2">
      <c r="A7603">
        <v>7602</v>
      </c>
      <c r="B7603" s="119">
        <v>0.28583041203068638</v>
      </c>
    </row>
    <row r="7604" spans="1:2">
      <c r="A7604">
        <v>7603</v>
      </c>
      <c r="B7604" s="119">
        <v>0.61916374536401964</v>
      </c>
    </row>
    <row r="7605" spans="1:2">
      <c r="A7605">
        <v>7604</v>
      </c>
      <c r="B7605" s="119">
        <v>0.95249707869735289</v>
      </c>
    </row>
    <row r="7606" spans="1:2">
      <c r="A7606">
        <v>7605</v>
      </c>
      <c r="B7606" s="119">
        <v>0.10064522684550119</v>
      </c>
    </row>
    <row r="7607" spans="1:2">
      <c r="A7607">
        <v>7606</v>
      </c>
      <c r="B7607" s="119">
        <v>0.43397856017883452</v>
      </c>
    </row>
    <row r="7608" spans="1:2">
      <c r="A7608">
        <v>7607</v>
      </c>
      <c r="B7608" s="119">
        <v>0.76731189351216778</v>
      </c>
    </row>
    <row r="7609" spans="1:2">
      <c r="A7609">
        <v>7608</v>
      </c>
      <c r="B7609" s="119">
        <v>0.21175633795661231</v>
      </c>
    </row>
    <row r="7610" spans="1:2">
      <c r="A7610">
        <v>7609</v>
      </c>
      <c r="B7610" s="119">
        <v>0.54508967128994557</v>
      </c>
    </row>
    <row r="7611" spans="1:2">
      <c r="A7611">
        <v>7610</v>
      </c>
      <c r="B7611" s="119">
        <v>0.87842300462327882</v>
      </c>
    </row>
    <row r="7612" spans="1:2">
      <c r="A7612">
        <v>7611</v>
      </c>
      <c r="B7612" s="119">
        <v>0.32286744906772341</v>
      </c>
    </row>
    <row r="7613" spans="1:2">
      <c r="A7613">
        <v>7612</v>
      </c>
      <c r="B7613" s="119">
        <v>0.65620078240105673</v>
      </c>
    </row>
    <row r="7614" spans="1:2">
      <c r="A7614">
        <v>7613</v>
      </c>
      <c r="B7614" s="119">
        <v>0.98953411573438999</v>
      </c>
    </row>
    <row r="7615" spans="1:2">
      <c r="A7615">
        <v>7614</v>
      </c>
      <c r="B7615" s="119">
        <v>5.9950210841843224E-3</v>
      </c>
    </row>
    <row r="7616" spans="1:2">
      <c r="A7616">
        <v>7615</v>
      </c>
      <c r="B7616" s="119">
        <v>0.33932835441751763</v>
      </c>
    </row>
    <row r="7617" spans="1:2">
      <c r="A7617">
        <v>7616</v>
      </c>
      <c r="B7617" s="119">
        <v>0.67266168775085089</v>
      </c>
    </row>
    <row r="7618" spans="1:2">
      <c r="A7618">
        <v>7617</v>
      </c>
      <c r="B7618" s="119">
        <v>0.11710613219529542</v>
      </c>
    </row>
    <row r="7619" spans="1:2">
      <c r="A7619">
        <v>7618</v>
      </c>
      <c r="B7619" s="119">
        <v>0.45043946552862874</v>
      </c>
    </row>
    <row r="7620" spans="1:2">
      <c r="A7620">
        <v>7619</v>
      </c>
      <c r="B7620" s="119">
        <v>0.78377279886196194</v>
      </c>
    </row>
    <row r="7621" spans="1:2">
      <c r="A7621">
        <v>7620</v>
      </c>
      <c r="B7621" s="119">
        <v>0.22821724330640655</v>
      </c>
    </row>
    <row r="7622" spans="1:2">
      <c r="A7622">
        <v>7621</v>
      </c>
      <c r="B7622" s="119">
        <v>0.56155057663973984</v>
      </c>
    </row>
    <row r="7623" spans="1:2">
      <c r="A7623">
        <v>7622</v>
      </c>
      <c r="B7623" s="119">
        <v>0.8948839099730731</v>
      </c>
    </row>
    <row r="7624" spans="1:2">
      <c r="A7624">
        <v>7623</v>
      </c>
      <c r="B7624" s="119">
        <v>4.3032058121221357E-2</v>
      </c>
    </row>
    <row r="7625" spans="1:2">
      <c r="A7625">
        <v>7624</v>
      </c>
      <c r="B7625" s="119">
        <v>0.37636539145455467</v>
      </c>
    </row>
    <row r="7626" spans="1:2">
      <c r="A7626">
        <v>7625</v>
      </c>
      <c r="B7626" s="119">
        <v>0.70969872478788798</v>
      </c>
    </row>
    <row r="7627" spans="1:2">
      <c r="A7627">
        <v>7626</v>
      </c>
      <c r="B7627" s="119">
        <v>0.15414316923233248</v>
      </c>
    </row>
    <row r="7628" spans="1:2">
      <c r="A7628">
        <v>7627</v>
      </c>
      <c r="B7628" s="119">
        <v>0.48747650256566577</v>
      </c>
    </row>
    <row r="7629" spans="1:2">
      <c r="A7629">
        <v>7628</v>
      </c>
      <c r="B7629" s="119">
        <v>0.82080983589899892</v>
      </c>
    </row>
    <row r="7630" spans="1:2">
      <c r="A7630">
        <v>7629</v>
      </c>
      <c r="B7630" s="119">
        <v>0.26525428034344356</v>
      </c>
    </row>
    <row r="7631" spans="1:2">
      <c r="A7631">
        <v>7630</v>
      </c>
      <c r="B7631" s="119">
        <v>0.59858761367677682</v>
      </c>
    </row>
    <row r="7632" spans="1:2">
      <c r="A7632">
        <v>7631</v>
      </c>
      <c r="B7632" s="119">
        <v>0.93192094701011008</v>
      </c>
    </row>
    <row r="7633" spans="1:2">
      <c r="A7633">
        <v>7632</v>
      </c>
      <c r="B7633" s="119">
        <v>8.0069095158258385E-2</v>
      </c>
    </row>
    <row r="7634" spans="1:2">
      <c r="A7634">
        <v>7633</v>
      </c>
      <c r="B7634" s="119">
        <v>0.4134024284915917</v>
      </c>
    </row>
    <row r="7635" spans="1:2">
      <c r="A7635">
        <v>7634</v>
      </c>
      <c r="B7635" s="119">
        <v>0.74673576182492496</v>
      </c>
    </row>
    <row r="7636" spans="1:2">
      <c r="A7636">
        <v>7635</v>
      </c>
      <c r="B7636" s="119">
        <v>0.19118020626936952</v>
      </c>
    </row>
    <row r="7637" spans="1:2">
      <c r="A7637">
        <v>7636</v>
      </c>
      <c r="B7637" s="119">
        <v>0.52451353960270275</v>
      </c>
    </row>
    <row r="7638" spans="1:2">
      <c r="A7638">
        <v>7637</v>
      </c>
      <c r="B7638" s="119">
        <v>0.85784687293603601</v>
      </c>
    </row>
    <row r="7639" spans="1:2">
      <c r="A7639">
        <v>7638</v>
      </c>
      <c r="B7639" s="119">
        <v>0.3022913173804806</v>
      </c>
    </row>
    <row r="7640" spans="1:2">
      <c r="A7640">
        <v>7639</v>
      </c>
      <c r="B7640" s="119">
        <v>0.63562465071381391</v>
      </c>
    </row>
    <row r="7641" spans="1:2">
      <c r="A7641">
        <v>7640</v>
      </c>
      <c r="B7641" s="119">
        <v>0.96895798404714717</v>
      </c>
    </row>
    <row r="7642" spans="1:2">
      <c r="A7642">
        <v>7641</v>
      </c>
      <c r="B7642" s="119">
        <v>1.8340700096529997E-2</v>
      </c>
    </row>
    <row r="7643" spans="1:2">
      <c r="A7643">
        <v>7642</v>
      </c>
      <c r="B7643" s="119">
        <v>0.35167403342986331</v>
      </c>
    </row>
    <row r="7644" spans="1:2">
      <c r="A7644">
        <v>7643</v>
      </c>
      <c r="B7644" s="119">
        <v>0.68500736676319651</v>
      </c>
    </row>
    <row r="7645" spans="1:2">
      <c r="A7645">
        <v>7644</v>
      </c>
      <c r="B7645" s="119">
        <v>0.12945181120764113</v>
      </c>
    </row>
    <row r="7646" spans="1:2">
      <c r="A7646">
        <v>7645</v>
      </c>
      <c r="B7646" s="119">
        <v>0.46278514454097441</v>
      </c>
    </row>
    <row r="7647" spans="1:2">
      <c r="A7647">
        <v>7646</v>
      </c>
      <c r="B7647" s="119">
        <v>0.79611847787430767</v>
      </c>
    </row>
    <row r="7648" spans="1:2">
      <c r="A7648">
        <v>7647</v>
      </c>
      <c r="B7648" s="119">
        <v>0.24056292231875223</v>
      </c>
    </row>
    <row r="7649" spans="1:2">
      <c r="A7649">
        <v>7648</v>
      </c>
      <c r="B7649" s="119">
        <v>0.57389625565208557</v>
      </c>
    </row>
    <row r="7650" spans="1:2">
      <c r="A7650">
        <v>7649</v>
      </c>
      <c r="B7650" s="119">
        <v>0.90722958898541883</v>
      </c>
    </row>
    <row r="7651" spans="1:2">
      <c r="A7651">
        <v>7650</v>
      </c>
      <c r="B7651" s="119">
        <v>5.5377737133567036E-2</v>
      </c>
    </row>
    <row r="7652" spans="1:2">
      <c r="A7652">
        <v>7651</v>
      </c>
      <c r="B7652" s="119">
        <v>0.38871107046690034</v>
      </c>
    </row>
    <row r="7653" spans="1:2">
      <c r="A7653">
        <v>7652</v>
      </c>
      <c r="B7653" s="119">
        <v>0.72204440380023371</v>
      </c>
    </row>
    <row r="7654" spans="1:2">
      <c r="A7654">
        <v>7653</v>
      </c>
      <c r="B7654" s="119">
        <v>0.16648884824467816</v>
      </c>
    </row>
    <row r="7655" spans="1:2">
      <c r="A7655">
        <v>7654</v>
      </c>
      <c r="B7655" s="119">
        <v>0.49982218157801145</v>
      </c>
    </row>
    <row r="7656" spans="1:2">
      <c r="A7656">
        <v>7655</v>
      </c>
      <c r="B7656" s="119">
        <v>0.83315551491134465</v>
      </c>
    </row>
    <row r="7657" spans="1:2">
      <c r="A7657">
        <v>7656</v>
      </c>
      <c r="B7657" s="119">
        <v>0.27759995935578924</v>
      </c>
    </row>
    <row r="7658" spans="1:2">
      <c r="A7658">
        <v>7657</v>
      </c>
      <c r="B7658" s="119">
        <v>0.61093329268912255</v>
      </c>
    </row>
    <row r="7659" spans="1:2">
      <c r="A7659">
        <v>7658</v>
      </c>
      <c r="B7659" s="119">
        <v>0.94426662602245581</v>
      </c>
    </row>
    <row r="7660" spans="1:2">
      <c r="A7660">
        <v>7659</v>
      </c>
      <c r="B7660" s="119">
        <v>9.2414774170604064E-2</v>
      </c>
    </row>
    <row r="7661" spans="1:2">
      <c r="A7661">
        <v>7660</v>
      </c>
      <c r="B7661" s="119">
        <v>0.42574810750393738</v>
      </c>
    </row>
    <row r="7662" spans="1:2">
      <c r="A7662">
        <v>7661</v>
      </c>
      <c r="B7662" s="119">
        <v>0.75908144083727069</v>
      </c>
    </row>
    <row r="7663" spans="1:2">
      <c r="A7663">
        <v>7662</v>
      </c>
      <c r="B7663" s="119">
        <v>0.2035258852817152</v>
      </c>
    </row>
    <row r="7664" spans="1:2">
      <c r="A7664">
        <v>7663</v>
      </c>
      <c r="B7664" s="119">
        <v>0.53685921861504837</v>
      </c>
    </row>
    <row r="7665" spans="1:2">
      <c r="A7665">
        <v>7664</v>
      </c>
      <c r="B7665" s="119">
        <v>0.87019255194838163</v>
      </c>
    </row>
    <row r="7666" spans="1:2">
      <c r="A7666">
        <v>7665</v>
      </c>
      <c r="B7666" s="119">
        <v>0.31463699639282627</v>
      </c>
    </row>
    <row r="7667" spans="1:2">
      <c r="A7667">
        <v>7666</v>
      </c>
      <c r="B7667" s="119">
        <v>0.64797032972615953</v>
      </c>
    </row>
    <row r="7668" spans="1:2">
      <c r="A7668">
        <v>7667</v>
      </c>
      <c r="B7668" s="119">
        <v>0.98130366305949279</v>
      </c>
    </row>
    <row r="7669" spans="1:2">
      <c r="A7669">
        <v>7668</v>
      </c>
      <c r="B7669" s="119">
        <v>3.0686379108875676E-2</v>
      </c>
    </row>
    <row r="7670" spans="1:2">
      <c r="A7670">
        <v>7669</v>
      </c>
      <c r="B7670" s="119">
        <v>0.36401971244220899</v>
      </c>
    </row>
    <row r="7671" spans="1:2">
      <c r="A7671">
        <v>7670</v>
      </c>
      <c r="B7671" s="119">
        <v>0.69735304577554225</v>
      </c>
    </row>
    <row r="7672" spans="1:2">
      <c r="A7672">
        <v>7671</v>
      </c>
      <c r="B7672" s="119">
        <v>0.1417974902199868</v>
      </c>
    </row>
    <row r="7673" spans="1:2">
      <c r="A7673">
        <v>7672</v>
      </c>
      <c r="B7673" s="119">
        <v>0.47513082355332009</v>
      </c>
    </row>
    <row r="7674" spans="1:2">
      <c r="A7674">
        <v>7673</v>
      </c>
      <c r="B7674" s="119">
        <v>0.8084641568866533</v>
      </c>
    </row>
    <row r="7675" spans="1:2">
      <c r="A7675">
        <v>7674</v>
      </c>
      <c r="B7675" s="119">
        <v>0.25290860133109788</v>
      </c>
    </row>
    <row r="7676" spans="1:2">
      <c r="A7676">
        <v>7675</v>
      </c>
      <c r="B7676" s="119">
        <v>0.5862419346644312</v>
      </c>
    </row>
    <row r="7677" spans="1:2">
      <c r="A7677">
        <v>7676</v>
      </c>
      <c r="B7677" s="119">
        <v>0.91957526799776446</v>
      </c>
    </row>
    <row r="7678" spans="1:2">
      <c r="A7678">
        <v>7677</v>
      </c>
      <c r="B7678" s="119">
        <v>6.7723416145912707E-2</v>
      </c>
    </row>
    <row r="7679" spans="1:2">
      <c r="A7679">
        <v>7678</v>
      </c>
      <c r="B7679" s="119">
        <v>0.40105674947924602</v>
      </c>
    </row>
    <row r="7680" spans="1:2">
      <c r="A7680">
        <v>7679</v>
      </c>
      <c r="B7680" s="119">
        <v>0.73439008281257934</v>
      </c>
    </row>
    <row r="7681" spans="1:2">
      <c r="A7681">
        <v>7680</v>
      </c>
      <c r="B7681" s="119">
        <v>0.17883452725702384</v>
      </c>
    </row>
    <row r="7682" spans="1:2">
      <c r="A7682">
        <v>7681</v>
      </c>
      <c r="B7682" s="119">
        <v>0.51216786059035713</v>
      </c>
    </row>
    <row r="7683" spans="1:2">
      <c r="A7683">
        <v>7682</v>
      </c>
      <c r="B7683" s="119">
        <v>0.84550119392369028</v>
      </c>
    </row>
    <row r="7684" spans="1:2">
      <c r="A7684">
        <v>7683</v>
      </c>
      <c r="B7684" s="119">
        <v>0.28994563836813492</v>
      </c>
    </row>
    <row r="7685" spans="1:2">
      <c r="A7685">
        <v>7684</v>
      </c>
      <c r="B7685" s="119">
        <v>0.62327897170146818</v>
      </c>
    </row>
    <row r="7686" spans="1:2">
      <c r="A7686">
        <v>7685</v>
      </c>
      <c r="B7686" s="119">
        <v>0.95661230503480144</v>
      </c>
    </row>
    <row r="7687" spans="1:2">
      <c r="A7687">
        <v>7686</v>
      </c>
      <c r="B7687" s="119">
        <v>0.10476045318294974</v>
      </c>
    </row>
    <row r="7688" spans="1:2">
      <c r="A7688">
        <v>7687</v>
      </c>
      <c r="B7688" s="119">
        <v>0.43809378651628306</v>
      </c>
    </row>
    <row r="7689" spans="1:2">
      <c r="A7689">
        <v>7688</v>
      </c>
      <c r="B7689" s="119">
        <v>0.77142711984961632</v>
      </c>
    </row>
    <row r="7690" spans="1:2">
      <c r="A7690">
        <v>7689</v>
      </c>
      <c r="B7690" s="119">
        <v>0.21587156429406087</v>
      </c>
    </row>
    <row r="7691" spans="1:2">
      <c r="A7691">
        <v>7690</v>
      </c>
      <c r="B7691" s="119">
        <v>0.54920489762739411</v>
      </c>
    </row>
    <row r="7692" spans="1:2">
      <c r="A7692">
        <v>7691</v>
      </c>
      <c r="B7692" s="119">
        <v>0.88253823096072737</v>
      </c>
    </row>
    <row r="7693" spans="1:2">
      <c r="A7693">
        <v>7692</v>
      </c>
      <c r="B7693" s="119">
        <v>0.32698267540517195</v>
      </c>
    </row>
    <row r="7694" spans="1:2">
      <c r="A7694">
        <v>7693</v>
      </c>
      <c r="B7694" s="119">
        <v>0.66031600873850527</v>
      </c>
    </row>
    <row r="7695" spans="1:2">
      <c r="A7695">
        <v>7694</v>
      </c>
      <c r="B7695" s="119">
        <v>0.99364934207183853</v>
      </c>
    </row>
    <row r="7696" spans="1:2">
      <c r="A7696">
        <v>7695</v>
      </c>
      <c r="B7696" s="119">
        <v>1.0110247421632882E-2</v>
      </c>
    </row>
    <row r="7697" spans="1:2">
      <c r="A7697">
        <v>7696</v>
      </c>
      <c r="B7697" s="119">
        <v>0.34344358075496623</v>
      </c>
    </row>
    <row r="7698" spans="1:2">
      <c r="A7698">
        <v>7697</v>
      </c>
      <c r="B7698" s="119">
        <v>0.67677691408829943</v>
      </c>
    </row>
    <row r="7699" spans="1:2">
      <c r="A7699">
        <v>7698</v>
      </c>
      <c r="B7699" s="119">
        <v>0.12122135853274399</v>
      </c>
    </row>
    <row r="7700" spans="1:2">
      <c r="A7700">
        <v>7699</v>
      </c>
      <c r="B7700" s="119">
        <v>0.45455469186607733</v>
      </c>
    </row>
    <row r="7701" spans="1:2">
      <c r="A7701">
        <v>7700</v>
      </c>
      <c r="B7701" s="119">
        <v>0.78788802519941048</v>
      </c>
    </row>
    <row r="7702" spans="1:2">
      <c r="A7702">
        <v>7701</v>
      </c>
      <c r="B7702" s="119">
        <v>0.23233246964385509</v>
      </c>
    </row>
    <row r="7703" spans="1:2">
      <c r="A7703">
        <v>7702</v>
      </c>
      <c r="B7703" s="119">
        <v>0.56566580297718838</v>
      </c>
    </row>
    <row r="7704" spans="1:2">
      <c r="A7704">
        <v>7703</v>
      </c>
      <c r="B7704" s="119">
        <v>0.89899913631052164</v>
      </c>
    </row>
    <row r="7705" spans="1:2">
      <c r="A7705">
        <v>7704</v>
      </c>
      <c r="B7705" s="119">
        <v>4.7147284458669919E-2</v>
      </c>
    </row>
    <row r="7706" spans="1:2">
      <c r="A7706">
        <v>7705</v>
      </c>
      <c r="B7706" s="119">
        <v>0.38048061779200326</v>
      </c>
    </row>
    <row r="7707" spans="1:2">
      <c r="A7707">
        <v>7706</v>
      </c>
      <c r="B7707" s="119">
        <v>0.71381395112533652</v>
      </c>
    </row>
    <row r="7708" spans="1:2">
      <c r="A7708">
        <v>7707</v>
      </c>
      <c r="B7708" s="119">
        <v>0.15825839556978102</v>
      </c>
    </row>
    <row r="7709" spans="1:2">
      <c r="A7709">
        <v>7708</v>
      </c>
      <c r="B7709" s="119">
        <v>0.49159172890311437</v>
      </c>
    </row>
    <row r="7710" spans="1:2">
      <c r="A7710">
        <v>7709</v>
      </c>
      <c r="B7710" s="119">
        <v>0.82492506223644746</v>
      </c>
    </row>
    <row r="7711" spans="1:2">
      <c r="A7711">
        <v>7710</v>
      </c>
      <c r="B7711" s="119">
        <v>0.26936950668089216</v>
      </c>
    </row>
    <row r="7712" spans="1:2">
      <c r="A7712">
        <v>7711</v>
      </c>
      <c r="B7712" s="119">
        <v>0.60270284001422536</v>
      </c>
    </row>
    <row r="7713" spans="1:2">
      <c r="A7713">
        <v>7712</v>
      </c>
      <c r="B7713" s="119">
        <v>0.93603617334755862</v>
      </c>
    </row>
    <row r="7714" spans="1:2">
      <c r="A7714">
        <v>7713</v>
      </c>
      <c r="B7714" s="119">
        <v>8.4184321495706954E-2</v>
      </c>
    </row>
    <row r="7715" spans="1:2">
      <c r="A7715">
        <v>7714</v>
      </c>
      <c r="B7715" s="119">
        <v>0.4175176548290403</v>
      </c>
    </row>
    <row r="7716" spans="1:2">
      <c r="A7716">
        <v>7715</v>
      </c>
      <c r="B7716" s="119">
        <v>0.7508509881623735</v>
      </c>
    </row>
    <row r="7717" spans="1:2">
      <c r="A7717">
        <v>7716</v>
      </c>
      <c r="B7717" s="119">
        <v>0.19529543260681806</v>
      </c>
    </row>
    <row r="7718" spans="1:2">
      <c r="A7718">
        <v>7717</v>
      </c>
      <c r="B7718" s="119">
        <v>0.52862876594015129</v>
      </c>
    </row>
    <row r="7719" spans="1:2">
      <c r="A7719">
        <v>7718</v>
      </c>
      <c r="B7719" s="119">
        <v>0.86196209927348455</v>
      </c>
    </row>
    <row r="7720" spans="1:2">
      <c r="A7720">
        <v>7719</v>
      </c>
      <c r="B7720" s="119">
        <v>0.30640654371792919</v>
      </c>
    </row>
    <row r="7721" spans="1:2">
      <c r="A7721">
        <v>7720</v>
      </c>
      <c r="B7721" s="119">
        <v>0.63973987705126245</v>
      </c>
    </row>
    <row r="7722" spans="1:2">
      <c r="A7722">
        <v>7721</v>
      </c>
      <c r="B7722" s="119">
        <v>0.97307321038459571</v>
      </c>
    </row>
    <row r="7723" spans="1:2">
      <c r="A7723">
        <v>7722</v>
      </c>
      <c r="B7723" s="119">
        <v>2.2455926433978556E-2</v>
      </c>
    </row>
    <row r="7724" spans="1:2">
      <c r="A7724">
        <v>7723</v>
      </c>
      <c r="B7724" s="119">
        <v>0.35578925976731191</v>
      </c>
    </row>
    <row r="7725" spans="1:2">
      <c r="A7725">
        <v>7724</v>
      </c>
      <c r="B7725" s="119">
        <v>0.68912259310064505</v>
      </c>
    </row>
    <row r="7726" spans="1:2">
      <c r="A7726">
        <v>7725</v>
      </c>
      <c r="B7726" s="119">
        <v>0.13356703754508967</v>
      </c>
    </row>
    <row r="7727" spans="1:2">
      <c r="A7727">
        <v>7726</v>
      </c>
      <c r="B7727" s="119">
        <v>0.46690037087842301</v>
      </c>
    </row>
    <row r="7728" spans="1:2">
      <c r="A7728">
        <v>7727</v>
      </c>
      <c r="B7728" s="119">
        <v>0.80023370421175621</v>
      </c>
    </row>
    <row r="7729" spans="1:2">
      <c r="A7729">
        <v>7728</v>
      </c>
      <c r="B7729" s="119">
        <v>0.24467814865620077</v>
      </c>
    </row>
    <row r="7730" spans="1:2">
      <c r="A7730">
        <v>7729</v>
      </c>
      <c r="B7730" s="119">
        <v>0.57801148198953411</v>
      </c>
    </row>
    <row r="7731" spans="1:2">
      <c r="A7731">
        <v>7730</v>
      </c>
      <c r="B7731" s="119">
        <v>0.91134481532286737</v>
      </c>
    </row>
    <row r="7732" spans="1:2">
      <c r="A7732">
        <v>7731</v>
      </c>
      <c r="B7732" s="119">
        <v>5.9492963471015597E-2</v>
      </c>
    </row>
    <row r="7733" spans="1:2">
      <c r="A7733">
        <v>7732</v>
      </c>
      <c r="B7733" s="119">
        <v>0.39282629680434894</v>
      </c>
    </row>
    <row r="7734" spans="1:2">
      <c r="A7734">
        <v>7733</v>
      </c>
      <c r="B7734" s="119">
        <v>0.72615963013768225</v>
      </c>
    </row>
    <row r="7735" spans="1:2">
      <c r="A7735">
        <v>7734</v>
      </c>
      <c r="B7735" s="119">
        <v>0.1706040745821267</v>
      </c>
    </row>
    <row r="7736" spans="1:2">
      <c r="A7736">
        <v>7735</v>
      </c>
      <c r="B7736" s="119">
        <v>0.50393740791545993</v>
      </c>
    </row>
    <row r="7737" spans="1:2">
      <c r="A7737">
        <v>7736</v>
      </c>
      <c r="B7737" s="119">
        <v>0.83727074124879319</v>
      </c>
    </row>
    <row r="7738" spans="1:2">
      <c r="A7738">
        <v>7737</v>
      </c>
      <c r="B7738" s="119">
        <v>0.28171518569323784</v>
      </c>
    </row>
    <row r="7739" spans="1:2">
      <c r="A7739">
        <v>7738</v>
      </c>
      <c r="B7739" s="119">
        <v>0.61504851902657109</v>
      </c>
    </row>
    <row r="7740" spans="1:2">
      <c r="A7740">
        <v>7739</v>
      </c>
      <c r="B7740" s="119">
        <v>0.94838185235990435</v>
      </c>
    </row>
    <row r="7741" spans="1:2">
      <c r="A7741">
        <v>7740</v>
      </c>
      <c r="B7741" s="119">
        <v>9.6530000508052632E-2</v>
      </c>
    </row>
    <row r="7742" spans="1:2">
      <c r="A7742">
        <v>7741</v>
      </c>
      <c r="B7742" s="119">
        <v>0.42986333384138598</v>
      </c>
    </row>
    <row r="7743" spans="1:2">
      <c r="A7743">
        <v>7742</v>
      </c>
      <c r="B7743" s="119">
        <v>0.76319666717471923</v>
      </c>
    </row>
    <row r="7744" spans="1:2">
      <c r="A7744">
        <v>7743</v>
      </c>
      <c r="B7744" s="119">
        <v>0.20764111161916374</v>
      </c>
    </row>
    <row r="7745" spans="1:2">
      <c r="A7745">
        <v>7744</v>
      </c>
      <c r="B7745" s="119">
        <v>0.54097444495249691</v>
      </c>
    </row>
    <row r="7746" spans="1:2">
      <c r="A7746">
        <v>7745</v>
      </c>
      <c r="B7746" s="119">
        <v>0.87430777828583017</v>
      </c>
    </row>
    <row r="7747" spans="1:2">
      <c r="A7747">
        <v>7746</v>
      </c>
      <c r="B7747" s="119">
        <v>0.31875222273027487</v>
      </c>
    </row>
    <row r="7748" spans="1:2">
      <c r="A7748">
        <v>7747</v>
      </c>
      <c r="B7748" s="119">
        <v>0.65208555606360807</v>
      </c>
    </row>
    <row r="7749" spans="1:2">
      <c r="A7749">
        <v>7748</v>
      </c>
      <c r="B7749" s="119">
        <v>0.98541888939694133</v>
      </c>
    </row>
    <row r="7750" spans="1:2">
      <c r="A7750">
        <v>7749</v>
      </c>
      <c r="B7750" s="119">
        <v>3.4801605446324241E-2</v>
      </c>
    </row>
    <row r="7751" spans="1:2">
      <c r="A7751">
        <v>7750</v>
      </c>
      <c r="B7751" s="119">
        <v>0.36813493877965758</v>
      </c>
    </row>
    <row r="7752" spans="1:2">
      <c r="A7752">
        <v>7751</v>
      </c>
      <c r="B7752" s="119">
        <v>0.70146827211299079</v>
      </c>
    </row>
    <row r="7753" spans="1:2">
      <c r="A7753">
        <v>7752</v>
      </c>
      <c r="B7753" s="119">
        <v>0.14591271655743535</v>
      </c>
    </row>
    <row r="7754" spans="1:2">
      <c r="A7754">
        <v>7753</v>
      </c>
      <c r="B7754" s="119">
        <v>0.47924604989076869</v>
      </c>
    </row>
    <row r="7755" spans="1:2">
      <c r="A7755">
        <v>7754</v>
      </c>
      <c r="B7755" s="119">
        <v>0.81257938322410184</v>
      </c>
    </row>
    <row r="7756" spans="1:2">
      <c r="A7756">
        <v>7755</v>
      </c>
      <c r="B7756" s="119">
        <v>0.25702382766854648</v>
      </c>
    </row>
    <row r="7757" spans="1:2">
      <c r="A7757">
        <v>7756</v>
      </c>
      <c r="B7757" s="119">
        <v>0.59035716100187974</v>
      </c>
    </row>
    <row r="7758" spans="1:2">
      <c r="A7758">
        <v>7757</v>
      </c>
      <c r="B7758" s="119">
        <v>0.923690494335213</v>
      </c>
    </row>
    <row r="7759" spans="1:2">
      <c r="A7759">
        <v>7758</v>
      </c>
      <c r="B7759" s="119">
        <v>7.1838642483361276E-2</v>
      </c>
    </row>
    <row r="7760" spans="1:2">
      <c r="A7760">
        <v>7759</v>
      </c>
      <c r="B7760" s="119">
        <v>0.40517197581669462</v>
      </c>
    </row>
    <row r="7761" spans="1:2">
      <c r="A7761">
        <v>7760</v>
      </c>
      <c r="B7761" s="119">
        <v>0.73850530915002788</v>
      </c>
    </row>
    <row r="7762" spans="1:2">
      <c r="A7762">
        <v>7761</v>
      </c>
      <c r="B7762" s="119">
        <v>0.18294975359447238</v>
      </c>
    </row>
    <row r="7763" spans="1:2">
      <c r="A7763">
        <v>7762</v>
      </c>
      <c r="B7763" s="119">
        <v>0.51628308692780567</v>
      </c>
    </row>
    <row r="7764" spans="1:2">
      <c r="A7764">
        <v>7763</v>
      </c>
      <c r="B7764" s="119">
        <v>0.84961642026113882</v>
      </c>
    </row>
    <row r="7765" spans="1:2">
      <c r="A7765">
        <v>7764</v>
      </c>
      <c r="B7765" s="119">
        <v>0.29406086470558351</v>
      </c>
    </row>
    <row r="7766" spans="1:2">
      <c r="A7766">
        <v>7765</v>
      </c>
      <c r="B7766" s="119">
        <v>0.62739419803891672</v>
      </c>
    </row>
    <row r="7767" spans="1:2">
      <c r="A7767">
        <v>7766</v>
      </c>
      <c r="B7767" s="119">
        <v>0.96072753137224998</v>
      </c>
    </row>
    <row r="7768" spans="1:2">
      <c r="A7768">
        <v>7767</v>
      </c>
      <c r="B7768" s="119">
        <v>0.10887567952039831</v>
      </c>
    </row>
    <row r="7769" spans="1:2">
      <c r="A7769">
        <v>7768</v>
      </c>
      <c r="B7769" s="119">
        <v>0.44220901285373165</v>
      </c>
    </row>
    <row r="7770" spans="1:2">
      <c r="A7770">
        <v>7769</v>
      </c>
      <c r="B7770" s="119">
        <v>0.77554234618706486</v>
      </c>
    </row>
    <row r="7771" spans="1:2">
      <c r="A7771">
        <v>7770</v>
      </c>
      <c r="B7771" s="119">
        <v>0.21998679063150942</v>
      </c>
    </row>
    <row r="7772" spans="1:2">
      <c r="A7772">
        <v>7771</v>
      </c>
      <c r="B7772" s="119">
        <v>0.55332012396484265</v>
      </c>
    </row>
    <row r="7773" spans="1:2">
      <c r="A7773">
        <v>7772</v>
      </c>
      <c r="B7773" s="119">
        <v>0.88665345729817591</v>
      </c>
    </row>
    <row r="7774" spans="1:2">
      <c r="A7774">
        <v>7773</v>
      </c>
      <c r="B7774" s="119">
        <v>0.33109790174262055</v>
      </c>
    </row>
    <row r="7775" spans="1:2">
      <c r="A7775">
        <v>7774</v>
      </c>
      <c r="B7775" s="119">
        <v>0.66443123507595381</v>
      </c>
    </row>
    <row r="7776" spans="1:2">
      <c r="A7776">
        <v>7775</v>
      </c>
      <c r="B7776" s="119">
        <v>0.99776456840928707</v>
      </c>
    </row>
    <row r="7777" spans="1:2">
      <c r="A7777">
        <v>7776</v>
      </c>
      <c r="B7777" s="119">
        <v>3.2515368592186148E-3</v>
      </c>
    </row>
    <row r="7778" spans="1:2">
      <c r="A7778">
        <v>7777</v>
      </c>
      <c r="B7778" s="119">
        <v>0.33658487019255195</v>
      </c>
    </row>
    <row r="7779" spans="1:2">
      <c r="A7779">
        <v>7778</v>
      </c>
      <c r="B7779" s="119">
        <v>0.66991820352588527</v>
      </c>
    </row>
    <row r="7780" spans="1:2">
      <c r="A7780">
        <v>7779</v>
      </c>
      <c r="B7780" s="119">
        <v>0.11436264797032972</v>
      </c>
    </row>
    <row r="7781" spans="1:2">
      <c r="A7781">
        <v>7780</v>
      </c>
      <c r="B7781" s="119">
        <v>0.44769598130366306</v>
      </c>
    </row>
    <row r="7782" spans="1:2">
      <c r="A7782">
        <v>7781</v>
      </c>
      <c r="B7782" s="119">
        <v>0.78102931463699632</v>
      </c>
    </row>
    <row r="7783" spans="1:2">
      <c r="A7783">
        <v>7782</v>
      </c>
      <c r="B7783" s="119">
        <v>0.22547375908144082</v>
      </c>
    </row>
    <row r="7784" spans="1:2">
      <c r="A7784">
        <v>7783</v>
      </c>
      <c r="B7784" s="119">
        <v>0.55880709241477422</v>
      </c>
    </row>
    <row r="7785" spans="1:2">
      <c r="A7785">
        <v>7784</v>
      </c>
      <c r="B7785" s="119">
        <v>0.89214042574810748</v>
      </c>
    </row>
    <row r="7786" spans="1:2">
      <c r="A7786">
        <v>7785</v>
      </c>
      <c r="B7786" s="119">
        <v>4.0288573896255647E-2</v>
      </c>
    </row>
    <row r="7787" spans="1:2">
      <c r="A7787">
        <v>7786</v>
      </c>
      <c r="B7787" s="119">
        <v>0.37362190722958899</v>
      </c>
    </row>
    <row r="7788" spans="1:2">
      <c r="A7788">
        <v>7787</v>
      </c>
      <c r="B7788" s="119">
        <v>0.70695524056292236</v>
      </c>
    </row>
    <row r="7789" spans="1:2">
      <c r="A7789">
        <v>7788</v>
      </c>
      <c r="B7789" s="119">
        <v>0.15139968500736675</v>
      </c>
    </row>
    <row r="7790" spans="1:2">
      <c r="A7790">
        <v>7789</v>
      </c>
      <c r="B7790" s="119">
        <v>0.48473301834070009</v>
      </c>
    </row>
    <row r="7791" spans="1:2">
      <c r="A7791">
        <v>7790</v>
      </c>
      <c r="B7791" s="119">
        <v>0.8180663516740333</v>
      </c>
    </row>
    <row r="7792" spans="1:2">
      <c r="A7792">
        <v>7791</v>
      </c>
      <c r="B7792" s="119">
        <v>0.26251079611847788</v>
      </c>
    </row>
    <row r="7793" spans="1:2">
      <c r="A7793">
        <v>7792</v>
      </c>
      <c r="B7793" s="119">
        <v>0.5958441294518112</v>
      </c>
    </row>
    <row r="7794" spans="1:2">
      <c r="A7794">
        <v>7793</v>
      </c>
      <c r="B7794" s="119">
        <v>0.92917746278514446</v>
      </c>
    </row>
    <row r="7795" spans="1:2">
      <c r="A7795">
        <v>7794</v>
      </c>
      <c r="B7795" s="119">
        <v>7.7325610933292682E-2</v>
      </c>
    </row>
    <row r="7796" spans="1:2">
      <c r="A7796">
        <v>7795</v>
      </c>
      <c r="B7796" s="119">
        <v>0.41065894426662602</v>
      </c>
    </row>
    <row r="7797" spans="1:2">
      <c r="A7797">
        <v>7796</v>
      </c>
      <c r="B7797" s="119">
        <v>0.74399227759995934</v>
      </c>
    </row>
    <row r="7798" spans="1:2">
      <c r="A7798">
        <v>7797</v>
      </c>
      <c r="B7798" s="119">
        <v>0.18843672204440379</v>
      </c>
    </row>
    <row r="7799" spans="1:2">
      <c r="A7799">
        <v>7798</v>
      </c>
      <c r="B7799" s="119">
        <v>0.52177005537773713</v>
      </c>
    </row>
    <row r="7800" spans="1:2">
      <c r="A7800">
        <v>7799</v>
      </c>
      <c r="B7800" s="119">
        <v>0.85510338871107039</v>
      </c>
    </row>
    <row r="7801" spans="1:2">
      <c r="A7801">
        <v>7800</v>
      </c>
      <c r="B7801" s="119">
        <v>0.29954783315551492</v>
      </c>
    </row>
    <row r="7802" spans="1:2">
      <c r="A7802">
        <v>7801</v>
      </c>
      <c r="B7802" s="119">
        <v>0.63288116648884829</v>
      </c>
    </row>
    <row r="7803" spans="1:2">
      <c r="A7803">
        <v>7802</v>
      </c>
      <c r="B7803" s="119">
        <v>0.96621449982218155</v>
      </c>
    </row>
    <row r="7804" spans="1:2">
      <c r="A7804">
        <v>7803</v>
      </c>
      <c r="B7804" s="119">
        <v>1.5597215871564294E-2</v>
      </c>
    </row>
    <row r="7805" spans="1:2">
      <c r="A7805">
        <v>7804</v>
      </c>
      <c r="B7805" s="119">
        <v>0.34893054920489763</v>
      </c>
    </row>
    <row r="7806" spans="1:2">
      <c r="A7806">
        <v>7805</v>
      </c>
      <c r="B7806" s="119">
        <v>0.68226388253823089</v>
      </c>
    </row>
    <row r="7807" spans="1:2">
      <c r="A7807">
        <v>7806</v>
      </c>
      <c r="B7807" s="119">
        <v>0.1267083269826754</v>
      </c>
    </row>
    <row r="7808" spans="1:2">
      <c r="A7808">
        <v>7807</v>
      </c>
      <c r="B7808" s="119">
        <v>0.46004166031600874</v>
      </c>
    </row>
    <row r="7809" spans="1:2">
      <c r="A7809">
        <v>7808</v>
      </c>
      <c r="B7809" s="119">
        <v>0.79337499364934205</v>
      </c>
    </row>
    <row r="7810" spans="1:2">
      <c r="A7810">
        <v>7809</v>
      </c>
      <c r="B7810" s="119">
        <v>0.2378194380937865</v>
      </c>
    </row>
    <row r="7811" spans="1:2">
      <c r="A7811">
        <v>7810</v>
      </c>
      <c r="B7811" s="119">
        <v>0.57115277142711995</v>
      </c>
    </row>
    <row r="7812" spans="1:2">
      <c r="A7812">
        <v>7811</v>
      </c>
      <c r="B7812" s="119">
        <v>0.90448610476045321</v>
      </c>
    </row>
    <row r="7813" spans="1:2">
      <c r="A7813">
        <v>7812</v>
      </c>
      <c r="B7813" s="119">
        <v>5.2634252908601326E-2</v>
      </c>
    </row>
    <row r="7814" spans="1:2">
      <c r="A7814">
        <v>7813</v>
      </c>
      <c r="B7814" s="119">
        <v>0.38596758624193467</v>
      </c>
    </row>
    <row r="7815" spans="1:2">
      <c r="A7815">
        <v>7814</v>
      </c>
      <c r="B7815" s="119">
        <v>0.71930091957526809</v>
      </c>
    </row>
    <row r="7816" spans="1:2">
      <c r="A7816">
        <v>7815</v>
      </c>
      <c r="B7816" s="119">
        <v>0.16374536401971243</v>
      </c>
    </row>
    <row r="7817" spans="1:2">
      <c r="A7817">
        <v>7816</v>
      </c>
      <c r="B7817" s="119">
        <v>0.49707869735304577</v>
      </c>
    </row>
    <row r="7818" spans="1:2">
      <c r="A7818">
        <v>7817</v>
      </c>
      <c r="B7818" s="119">
        <v>0.83041203068637903</v>
      </c>
    </row>
    <row r="7819" spans="1:2">
      <c r="A7819">
        <v>7818</v>
      </c>
      <c r="B7819" s="119">
        <v>0.27485647513082356</v>
      </c>
    </row>
    <row r="7820" spans="1:2">
      <c r="A7820">
        <v>7819</v>
      </c>
      <c r="B7820" s="119">
        <v>0.60818980846415693</v>
      </c>
    </row>
    <row r="7821" spans="1:2">
      <c r="A7821">
        <v>7820</v>
      </c>
      <c r="B7821" s="119">
        <v>0.94152314179749019</v>
      </c>
    </row>
    <row r="7822" spans="1:2">
      <c r="A7822">
        <v>7821</v>
      </c>
      <c r="B7822" s="119">
        <v>8.9671289945638361E-2</v>
      </c>
    </row>
    <row r="7823" spans="1:2">
      <c r="A7823">
        <v>7822</v>
      </c>
      <c r="B7823" s="119">
        <v>0.4230046232789717</v>
      </c>
    </row>
    <row r="7824" spans="1:2">
      <c r="A7824">
        <v>7823</v>
      </c>
      <c r="B7824" s="119">
        <v>0.75633795661230507</v>
      </c>
    </row>
    <row r="7825" spans="1:2">
      <c r="A7825">
        <v>7824</v>
      </c>
      <c r="B7825" s="119">
        <v>0.20078240105674947</v>
      </c>
    </row>
    <row r="7826" spans="1:2">
      <c r="A7826">
        <v>7825</v>
      </c>
      <c r="B7826" s="119">
        <v>0.53411573439008275</v>
      </c>
    </row>
    <row r="7827" spans="1:2">
      <c r="A7827">
        <v>7826</v>
      </c>
      <c r="B7827" s="119">
        <v>0.86744906772341601</v>
      </c>
    </row>
    <row r="7828" spans="1:2">
      <c r="A7828">
        <v>7827</v>
      </c>
      <c r="B7828" s="119">
        <v>0.3118935121678606</v>
      </c>
    </row>
    <row r="7829" spans="1:2">
      <c r="A7829">
        <v>7828</v>
      </c>
      <c r="B7829" s="119">
        <v>0.64522684550119391</v>
      </c>
    </row>
    <row r="7830" spans="1:2">
      <c r="A7830">
        <v>7829</v>
      </c>
      <c r="B7830" s="119">
        <v>0.97856017883452717</v>
      </c>
    </row>
    <row r="7831" spans="1:2">
      <c r="A7831">
        <v>7830</v>
      </c>
      <c r="B7831" s="119">
        <v>2.7942894883909969E-2</v>
      </c>
    </row>
    <row r="7832" spans="1:2">
      <c r="A7832">
        <v>7831</v>
      </c>
      <c r="B7832" s="119">
        <v>0.36127622821724331</v>
      </c>
    </row>
    <row r="7833" spans="1:2">
      <c r="A7833">
        <v>7832</v>
      </c>
      <c r="B7833" s="119">
        <v>0.69460956155057663</v>
      </c>
    </row>
    <row r="7834" spans="1:2">
      <c r="A7834">
        <v>7833</v>
      </c>
      <c r="B7834" s="119">
        <v>0.13905400599502107</v>
      </c>
    </row>
    <row r="7835" spans="1:2">
      <c r="A7835">
        <v>7834</v>
      </c>
      <c r="B7835" s="119">
        <v>0.47238733932835442</v>
      </c>
    </row>
    <row r="7836" spans="1:2">
      <c r="A7836">
        <v>7835</v>
      </c>
      <c r="B7836" s="119">
        <v>0.80572067266168768</v>
      </c>
    </row>
    <row r="7837" spans="1:2">
      <c r="A7837">
        <v>7836</v>
      </c>
      <c r="B7837" s="119">
        <v>0.25016511710613215</v>
      </c>
    </row>
    <row r="7838" spans="1:2">
      <c r="A7838">
        <v>7837</v>
      </c>
      <c r="B7838" s="119">
        <v>0.58349845043946558</v>
      </c>
    </row>
    <row r="7839" spans="1:2">
      <c r="A7839">
        <v>7838</v>
      </c>
      <c r="B7839" s="119">
        <v>0.91683178377279884</v>
      </c>
    </row>
    <row r="7840" spans="1:2">
      <c r="A7840">
        <v>7839</v>
      </c>
      <c r="B7840" s="119">
        <v>6.4979931920947004E-2</v>
      </c>
    </row>
    <row r="7841" spans="1:2">
      <c r="A7841">
        <v>7840</v>
      </c>
      <c r="B7841" s="119">
        <v>0.39831326525428035</v>
      </c>
    </row>
    <row r="7842" spans="1:2">
      <c r="A7842">
        <v>7841</v>
      </c>
      <c r="B7842" s="119">
        <v>0.73164659858761372</v>
      </c>
    </row>
    <row r="7843" spans="1:2">
      <c r="A7843">
        <v>7842</v>
      </c>
      <c r="B7843" s="119">
        <v>0.17609104303205811</v>
      </c>
    </row>
    <row r="7844" spans="1:2">
      <c r="A7844">
        <v>7843</v>
      </c>
      <c r="B7844" s="119">
        <v>0.50942437636539151</v>
      </c>
    </row>
    <row r="7845" spans="1:2">
      <c r="A7845">
        <v>7844</v>
      </c>
      <c r="B7845" s="119">
        <v>0.84275770969872466</v>
      </c>
    </row>
    <row r="7846" spans="1:2">
      <c r="A7846">
        <v>7845</v>
      </c>
      <c r="B7846" s="119">
        <v>0.28720215414316924</v>
      </c>
    </row>
    <row r="7847" spans="1:2">
      <c r="A7847">
        <v>7846</v>
      </c>
      <c r="B7847" s="119">
        <v>0.62053548747650256</v>
      </c>
    </row>
    <row r="7848" spans="1:2">
      <c r="A7848">
        <v>7847</v>
      </c>
      <c r="B7848" s="119">
        <v>0.95386882080983582</v>
      </c>
    </row>
    <row r="7849" spans="1:2">
      <c r="A7849">
        <v>7848</v>
      </c>
      <c r="B7849" s="119">
        <v>0.10201696895798404</v>
      </c>
    </row>
    <row r="7850" spans="1:2">
      <c r="A7850">
        <v>7849</v>
      </c>
      <c r="B7850" s="119">
        <v>0.43535030229131738</v>
      </c>
    </row>
    <row r="7851" spans="1:2">
      <c r="A7851">
        <v>7850</v>
      </c>
      <c r="B7851" s="119">
        <v>0.7686836356246507</v>
      </c>
    </row>
    <row r="7852" spans="1:2">
      <c r="A7852">
        <v>7851</v>
      </c>
      <c r="B7852" s="119">
        <v>0.21312808006909514</v>
      </c>
    </row>
    <row r="7853" spans="1:2">
      <c r="A7853">
        <v>7852</v>
      </c>
      <c r="B7853" s="119">
        <v>0.54646141340242849</v>
      </c>
    </row>
    <row r="7854" spans="1:2">
      <c r="A7854">
        <v>7853</v>
      </c>
      <c r="B7854" s="119">
        <v>0.87979474673576175</v>
      </c>
    </row>
    <row r="7855" spans="1:2">
      <c r="A7855">
        <v>7854</v>
      </c>
      <c r="B7855" s="119">
        <v>0.32423919118020628</v>
      </c>
    </row>
    <row r="7856" spans="1:2">
      <c r="A7856">
        <v>7855</v>
      </c>
      <c r="B7856" s="119">
        <v>0.65757252451353965</v>
      </c>
    </row>
    <row r="7857" spans="1:2">
      <c r="A7857">
        <v>7856</v>
      </c>
      <c r="B7857" s="119">
        <v>0.99090585784687291</v>
      </c>
    </row>
    <row r="7858" spans="1:2">
      <c r="A7858">
        <v>7857</v>
      </c>
      <c r="B7858" s="119">
        <v>7.3667631966671757E-3</v>
      </c>
    </row>
    <row r="7859" spans="1:2">
      <c r="A7859">
        <v>7858</v>
      </c>
      <c r="B7859" s="119">
        <v>0.3407000965300005</v>
      </c>
    </row>
    <row r="7860" spans="1:2">
      <c r="A7860">
        <v>7859</v>
      </c>
      <c r="B7860" s="119">
        <v>0.67403342986333381</v>
      </c>
    </row>
    <row r="7861" spans="1:2">
      <c r="A7861">
        <v>7860</v>
      </c>
      <c r="B7861" s="119">
        <v>0.11847787430777827</v>
      </c>
    </row>
    <row r="7862" spans="1:2">
      <c r="A7862">
        <v>7861</v>
      </c>
      <c r="B7862" s="119">
        <v>0.4518112076411116</v>
      </c>
    </row>
    <row r="7863" spans="1:2">
      <c r="A7863">
        <v>7862</v>
      </c>
      <c r="B7863" s="119">
        <v>0.78514454097444486</v>
      </c>
    </row>
    <row r="7864" spans="1:2">
      <c r="A7864">
        <v>7863</v>
      </c>
      <c r="B7864" s="119">
        <v>0.22958898541888939</v>
      </c>
    </row>
    <row r="7865" spans="1:2">
      <c r="A7865">
        <v>7864</v>
      </c>
      <c r="B7865" s="119">
        <v>0.56292231875222276</v>
      </c>
    </row>
    <row r="7866" spans="1:2">
      <c r="A7866">
        <v>7865</v>
      </c>
      <c r="B7866" s="119">
        <v>0.89625565208555602</v>
      </c>
    </row>
    <row r="7867" spans="1:2">
      <c r="A7867">
        <v>7866</v>
      </c>
      <c r="B7867" s="119">
        <v>4.4403800233704209E-2</v>
      </c>
    </row>
    <row r="7868" spans="1:2">
      <c r="A7868">
        <v>7867</v>
      </c>
      <c r="B7868" s="119">
        <v>0.37773713356703753</v>
      </c>
    </row>
    <row r="7869" spans="1:2">
      <c r="A7869">
        <v>7868</v>
      </c>
      <c r="B7869" s="119">
        <v>0.7110704669003709</v>
      </c>
    </row>
    <row r="7870" spans="1:2">
      <c r="A7870">
        <v>7869</v>
      </c>
      <c r="B7870" s="119">
        <v>0.15551491134481532</v>
      </c>
    </row>
    <row r="7871" spans="1:2">
      <c r="A7871">
        <v>7870</v>
      </c>
      <c r="B7871" s="119">
        <v>0.48884824467814864</v>
      </c>
    </row>
    <row r="7872" spans="1:2">
      <c r="A7872">
        <v>7871</v>
      </c>
      <c r="B7872" s="119">
        <v>0.82218157801148184</v>
      </c>
    </row>
    <row r="7873" spans="1:2">
      <c r="A7873">
        <v>7872</v>
      </c>
      <c r="B7873" s="119">
        <v>0.26662602245592643</v>
      </c>
    </row>
    <row r="7874" spans="1:2">
      <c r="A7874">
        <v>7873</v>
      </c>
      <c r="B7874" s="119">
        <v>0.59995935578925974</v>
      </c>
    </row>
    <row r="7875" spans="1:2">
      <c r="A7875">
        <v>7874</v>
      </c>
      <c r="B7875" s="119">
        <v>0.933292689122593</v>
      </c>
    </row>
    <row r="7876" spans="1:2">
      <c r="A7876">
        <v>7875</v>
      </c>
      <c r="B7876" s="119">
        <v>8.1440837270741237E-2</v>
      </c>
    </row>
    <row r="7877" spans="1:2">
      <c r="A7877">
        <v>7876</v>
      </c>
      <c r="B7877" s="119">
        <v>0.41477417060407457</v>
      </c>
    </row>
    <row r="7878" spans="1:2">
      <c r="A7878">
        <v>7877</v>
      </c>
      <c r="B7878" s="119">
        <v>0.74810750393740788</v>
      </c>
    </row>
    <row r="7879" spans="1:2">
      <c r="A7879">
        <v>7878</v>
      </c>
      <c r="B7879" s="119">
        <v>0.19255194838185236</v>
      </c>
    </row>
    <row r="7880" spans="1:2">
      <c r="A7880">
        <v>7879</v>
      </c>
      <c r="B7880" s="119">
        <v>0.52588528171518567</v>
      </c>
    </row>
    <row r="7881" spans="1:2">
      <c r="A7881">
        <v>7880</v>
      </c>
      <c r="B7881" s="119">
        <v>0.85921861504851893</v>
      </c>
    </row>
    <row r="7882" spans="1:2">
      <c r="A7882">
        <v>7881</v>
      </c>
      <c r="B7882" s="119">
        <v>0.30366305949296346</v>
      </c>
    </row>
    <row r="7883" spans="1:2">
      <c r="A7883">
        <v>7882</v>
      </c>
      <c r="B7883" s="119">
        <v>0.63699639282629683</v>
      </c>
    </row>
    <row r="7884" spans="1:2">
      <c r="A7884">
        <v>7883</v>
      </c>
      <c r="B7884" s="119">
        <v>0.97032972615963009</v>
      </c>
    </row>
    <row r="7885" spans="1:2">
      <c r="A7885">
        <v>7884</v>
      </c>
      <c r="B7885" s="119">
        <v>1.9712442209012852E-2</v>
      </c>
    </row>
    <row r="7886" spans="1:2">
      <c r="A7886">
        <v>7885</v>
      </c>
      <c r="B7886" s="119">
        <v>0.35304577554234617</v>
      </c>
    </row>
    <row r="7887" spans="1:2">
      <c r="A7887">
        <v>7886</v>
      </c>
      <c r="B7887" s="119">
        <v>0.68637910887567943</v>
      </c>
    </row>
    <row r="7888" spans="1:2">
      <c r="A7888">
        <v>7887</v>
      </c>
      <c r="B7888" s="119">
        <v>0.13082355332012396</v>
      </c>
    </row>
    <row r="7889" spans="1:2">
      <c r="A7889">
        <v>7888</v>
      </c>
      <c r="B7889" s="119">
        <v>0.46415688665345728</v>
      </c>
    </row>
    <row r="7890" spans="1:2">
      <c r="A7890">
        <v>7889</v>
      </c>
      <c r="B7890" s="119">
        <v>0.79749021998679059</v>
      </c>
    </row>
    <row r="7891" spans="1:2">
      <c r="A7891">
        <v>7890</v>
      </c>
      <c r="B7891" s="119">
        <v>0.24193466443123507</v>
      </c>
    </row>
    <row r="7892" spans="1:2">
      <c r="A7892">
        <v>7891</v>
      </c>
      <c r="B7892" s="119">
        <v>0.5752679977645685</v>
      </c>
    </row>
    <row r="7893" spans="1:2">
      <c r="A7893">
        <v>7892</v>
      </c>
      <c r="B7893" s="119">
        <v>0.90860133109790175</v>
      </c>
    </row>
    <row r="7894" spans="1:2">
      <c r="A7894">
        <v>7893</v>
      </c>
      <c r="B7894" s="119">
        <v>5.6749479246049887E-2</v>
      </c>
    </row>
    <row r="7895" spans="1:2">
      <c r="A7895">
        <v>7894</v>
      </c>
      <c r="B7895" s="119">
        <v>0.39008281257938321</v>
      </c>
    </row>
    <row r="7896" spans="1:2">
      <c r="A7896">
        <v>7895</v>
      </c>
      <c r="B7896" s="119">
        <v>0.72341614591271663</v>
      </c>
    </row>
    <row r="7897" spans="1:2">
      <c r="A7897">
        <v>7896</v>
      </c>
      <c r="B7897" s="119">
        <v>0.167860590357161</v>
      </c>
    </row>
    <row r="7898" spans="1:2">
      <c r="A7898">
        <v>7897</v>
      </c>
      <c r="B7898" s="119">
        <v>0.50119392369049431</v>
      </c>
    </row>
    <row r="7899" spans="1:2">
      <c r="A7899">
        <v>7898</v>
      </c>
      <c r="B7899" s="119">
        <v>0.83452725702382757</v>
      </c>
    </row>
    <row r="7900" spans="1:2">
      <c r="A7900">
        <v>7899</v>
      </c>
      <c r="B7900" s="119">
        <v>0.2789717014682721</v>
      </c>
    </row>
    <row r="7901" spans="1:2">
      <c r="A7901">
        <v>7900</v>
      </c>
      <c r="B7901" s="119">
        <v>0.61230503480160547</v>
      </c>
    </row>
    <row r="7902" spans="1:2">
      <c r="A7902">
        <v>7901</v>
      </c>
      <c r="B7902" s="119">
        <v>0.94563836813493873</v>
      </c>
    </row>
    <row r="7903" spans="1:2">
      <c r="A7903">
        <v>7902</v>
      </c>
      <c r="B7903" s="119">
        <v>9.3786516283086915E-2</v>
      </c>
    </row>
    <row r="7904" spans="1:2">
      <c r="A7904">
        <v>7903</v>
      </c>
      <c r="B7904" s="119">
        <v>0.42711984961642024</v>
      </c>
    </row>
    <row r="7905" spans="1:2">
      <c r="A7905">
        <v>7904</v>
      </c>
      <c r="B7905" s="119">
        <v>0.76045318294975361</v>
      </c>
    </row>
    <row r="7906" spans="1:2">
      <c r="A7906">
        <v>7905</v>
      </c>
      <c r="B7906" s="119">
        <v>0.20489762739419803</v>
      </c>
    </row>
    <row r="7907" spans="1:2">
      <c r="A7907">
        <v>7906</v>
      </c>
      <c r="B7907" s="119">
        <v>0.53823096072753129</v>
      </c>
    </row>
    <row r="7908" spans="1:2">
      <c r="A7908">
        <v>7907</v>
      </c>
      <c r="B7908" s="119">
        <v>0.87156429406086455</v>
      </c>
    </row>
    <row r="7909" spans="1:2">
      <c r="A7909">
        <v>7908</v>
      </c>
      <c r="B7909" s="119">
        <v>0.31600873850530914</v>
      </c>
    </row>
    <row r="7910" spans="1:2">
      <c r="A7910">
        <v>7909</v>
      </c>
      <c r="B7910" s="119">
        <v>0.64934207183864245</v>
      </c>
    </row>
    <row r="7911" spans="1:2">
      <c r="A7911">
        <v>7910</v>
      </c>
      <c r="B7911" s="119">
        <v>0.98267540517197571</v>
      </c>
    </row>
    <row r="7912" spans="1:2">
      <c r="A7912">
        <v>7911</v>
      </c>
      <c r="B7912" s="119">
        <v>3.2058121221358531E-2</v>
      </c>
    </row>
    <row r="7913" spans="1:2">
      <c r="A7913">
        <v>7912</v>
      </c>
      <c r="B7913" s="119">
        <v>0.36539145455469185</v>
      </c>
    </row>
    <row r="7914" spans="1:2">
      <c r="A7914">
        <v>7913</v>
      </c>
      <c r="B7914" s="119">
        <v>0.69872478788802517</v>
      </c>
    </row>
    <row r="7915" spans="1:2">
      <c r="A7915">
        <v>7914</v>
      </c>
      <c r="B7915" s="119">
        <v>0.14316923233246964</v>
      </c>
    </row>
    <row r="7916" spans="1:2">
      <c r="A7916">
        <v>7915</v>
      </c>
      <c r="B7916" s="119">
        <v>0.47650256566580296</v>
      </c>
    </row>
    <row r="7917" spans="1:2">
      <c r="A7917">
        <v>7916</v>
      </c>
      <c r="B7917" s="119">
        <v>0.80983589899913622</v>
      </c>
    </row>
    <row r="7918" spans="1:2">
      <c r="A7918">
        <v>7917</v>
      </c>
      <c r="B7918" s="119">
        <v>0.25428034344358075</v>
      </c>
    </row>
    <row r="7919" spans="1:2">
      <c r="A7919">
        <v>7918</v>
      </c>
      <c r="B7919" s="119">
        <v>0.58761367677691412</v>
      </c>
    </row>
    <row r="7920" spans="1:2">
      <c r="A7920">
        <v>7919</v>
      </c>
      <c r="B7920" s="119">
        <v>0.92094701011024738</v>
      </c>
    </row>
    <row r="7921" spans="1:2">
      <c r="A7921">
        <v>7920</v>
      </c>
      <c r="B7921" s="119">
        <v>6.9095158258395559E-2</v>
      </c>
    </row>
    <row r="7922" spans="1:2">
      <c r="A7922">
        <v>7921</v>
      </c>
      <c r="B7922" s="119">
        <v>0.40242849159172889</v>
      </c>
    </row>
    <row r="7923" spans="1:2">
      <c r="A7923">
        <v>7922</v>
      </c>
      <c r="B7923" s="119">
        <v>0.73576182492506226</v>
      </c>
    </row>
    <row r="7924" spans="1:2">
      <c r="A7924">
        <v>7923</v>
      </c>
      <c r="B7924" s="119">
        <v>0.18020626936950668</v>
      </c>
    </row>
    <row r="7925" spans="1:2">
      <c r="A7925">
        <v>7924</v>
      </c>
      <c r="B7925" s="119">
        <v>0.51353960270284005</v>
      </c>
    </row>
    <row r="7926" spans="1:2">
      <c r="A7926">
        <v>7925</v>
      </c>
      <c r="B7926" s="119">
        <v>0.8468729360361732</v>
      </c>
    </row>
    <row r="7927" spans="1:2">
      <c r="A7927">
        <v>7926</v>
      </c>
      <c r="B7927" s="119">
        <v>0.29131738048061778</v>
      </c>
    </row>
    <row r="7928" spans="1:2">
      <c r="A7928">
        <v>7927</v>
      </c>
      <c r="B7928" s="119">
        <v>0.6246507138139511</v>
      </c>
    </row>
    <row r="7929" spans="1:2">
      <c r="A7929">
        <v>7928</v>
      </c>
      <c r="B7929" s="119">
        <v>0.95798404714728436</v>
      </c>
    </row>
    <row r="7930" spans="1:2">
      <c r="A7930">
        <v>7929</v>
      </c>
      <c r="B7930" s="119">
        <v>0.10613219529543259</v>
      </c>
    </row>
    <row r="7931" spans="1:2">
      <c r="A7931">
        <v>7930</v>
      </c>
      <c r="B7931" s="119">
        <v>0.43946552862876592</v>
      </c>
    </row>
    <row r="7932" spans="1:2">
      <c r="A7932">
        <v>7931</v>
      </c>
      <c r="B7932" s="119">
        <v>0.77279886196209924</v>
      </c>
    </row>
    <row r="7933" spans="1:2">
      <c r="A7933">
        <v>7932</v>
      </c>
      <c r="B7933" s="119">
        <v>0.21724330640654371</v>
      </c>
    </row>
    <row r="7934" spans="1:2">
      <c r="A7934">
        <v>7933</v>
      </c>
      <c r="B7934" s="119">
        <v>0.55057663973987703</v>
      </c>
    </row>
    <row r="7935" spans="1:2">
      <c r="A7935">
        <v>7934</v>
      </c>
      <c r="B7935" s="119">
        <v>0.88390997307321029</v>
      </c>
    </row>
    <row r="7936" spans="1:2">
      <c r="A7936">
        <v>7935</v>
      </c>
      <c r="B7936" s="119">
        <v>0.32835441751765482</v>
      </c>
    </row>
    <row r="7937" spans="1:2">
      <c r="A7937">
        <v>7936</v>
      </c>
      <c r="B7937" s="119">
        <v>0.66168775085098819</v>
      </c>
    </row>
    <row r="7938" spans="1:2">
      <c r="A7938">
        <v>7937</v>
      </c>
      <c r="B7938" s="119">
        <v>0.99502108418432145</v>
      </c>
    </row>
    <row r="7939" spans="1:2">
      <c r="A7939">
        <v>7938</v>
      </c>
      <c r="B7939" s="119">
        <v>1.1481989534115736E-2</v>
      </c>
    </row>
    <row r="7940" spans="1:2">
      <c r="A7940">
        <v>7939</v>
      </c>
      <c r="B7940" s="119">
        <v>0.34481532286744909</v>
      </c>
    </row>
    <row r="7941" spans="1:2">
      <c r="A7941">
        <v>7940</v>
      </c>
      <c r="B7941" s="119">
        <v>0.67814865620078235</v>
      </c>
    </row>
    <row r="7942" spans="1:2">
      <c r="A7942">
        <v>7941</v>
      </c>
      <c r="B7942" s="119">
        <v>0.12259310064522684</v>
      </c>
    </row>
    <row r="7943" spans="1:2">
      <c r="A7943">
        <v>7942</v>
      </c>
      <c r="B7943" s="119">
        <v>0.4559264339785602</v>
      </c>
    </row>
    <row r="7944" spans="1:2">
      <c r="A7944">
        <v>7943</v>
      </c>
      <c r="B7944" s="119">
        <v>0.7892597673118934</v>
      </c>
    </row>
    <row r="7945" spans="1:2">
      <c r="A7945">
        <v>7944</v>
      </c>
      <c r="B7945" s="119">
        <v>0.23370421175633793</v>
      </c>
    </row>
    <row r="7946" spans="1:2">
      <c r="A7946">
        <v>7945</v>
      </c>
      <c r="B7946" s="119">
        <v>0.5670375450896713</v>
      </c>
    </row>
    <row r="7947" spans="1:2">
      <c r="A7947">
        <v>7946</v>
      </c>
      <c r="B7947" s="119">
        <v>0.90037087842300456</v>
      </c>
    </row>
    <row r="7948" spans="1:2">
      <c r="A7948">
        <v>7947</v>
      </c>
      <c r="B7948" s="119">
        <v>4.8519026571152771E-2</v>
      </c>
    </row>
    <row r="7949" spans="1:2">
      <c r="A7949">
        <v>7948</v>
      </c>
      <c r="B7949" s="119">
        <v>0.38185235990448613</v>
      </c>
    </row>
    <row r="7950" spans="1:2">
      <c r="A7950">
        <v>7949</v>
      </c>
      <c r="B7950" s="119">
        <v>0.71518569323781944</v>
      </c>
    </row>
    <row r="7951" spans="1:2">
      <c r="A7951">
        <v>7950</v>
      </c>
      <c r="B7951" s="119">
        <v>0.15963013768226386</v>
      </c>
    </row>
    <row r="7952" spans="1:2">
      <c r="A7952">
        <v>7951</v>
      </c>
      <c r="B7952" s="119">
        <v>0.49296347101559723</v>
      </c>
    </row>
    <row r="7953" spans="1:2">
      <c r="A7953">
        <v>7952</v>
      </c>
      <c r="B7953" s="119">
        <v>0.82629680434893038</v>
      </c>
    </row>
    <row r="7954" spans="1:2">
      <c r="A7954">
        <v>7953</v>
      </c>
      <c r="B7954" s="119">
        <v>0.27074124879337502</v>
      </c>
    </row>
    <row r="7955" spans="1:2">
      <c r="A7955">
        <v>7954</v>
      </c>
      <c r="B7955" s="119">
        <v>0.60407458212670828</v>
      </c>
    </row>
    <row r="7956" spans="1:2">
      <c r="A7956">
        <v>7955</v>
      </c>
      <c r="B7956" s="119">
        <v>0.93740791546004154</v>
      </c>
    </row>
    <row r="7957" spans="1:2">
      <c r="A7957">
        <v>7956</v>
      </c>
      <c r="B7957" s="119">
        <v>8.5556063608189806E-2</v>
      </c>
    </row>
    <row r="7958" spans="1:2">
      <c r="A7958">
        <v>7957</v>
      </c>
      <c r="B7958" s="119">
        <v>0.41888939694152316</v>
      </c>
    </row>
    <row r="7959" spans="1:2">
      <c r="A7959">
        <v>7958</v>
      </c>
      <c r="B7959" s="119">
        <v>0.75222273027485642</v>
      </c>
    </row>
    <row r="7960" spans="1:2">
      <c r="A7960">
        <v>7959</v>
      </c>
      <c r="B7960" s="119">
        <v>0.1966671747193009</v>
      </c>
    </row>
    <row r="7961" spans="1:2">
      <c r="A7961">
        <v>7960</v>
      </c>
      <c r="B7961" s="119">
        <v>0.53000050805263421</v>
      </c>
    </row>
    <row r="7962" spans="1:2">
      <c r="A7962">
        <v>7961</v>
      </c>
      <c r="B7962" s="119">
        <v>0.86333384138596747</v>
      </c>
    </row>
    <row r="7963" spans="1:2">
      <c r="A7963">
        <v>7962</v>
      </c>
      <c r="B7963" s="119">
        <v>0.30777828583041206</v>
      </c>
    </row>
    <row r="7964" spans="1:2">
      <c r="A7964">
        <v>7963</v>
      </c>
      <c r="B7964" s="119">
        <v>0.64111161916374537</v>
      </c>
    </row>
    <row r="7965" spans="1:2">
      <c r="A7965">
        <v>7964</v>
      </c>
      <c r="B7965" s="119">
        <v>0.97444495249707863</v>
      </c>
    </row>
    <row r="7966" spans="1:2">
      <c r="A7966">
        <v>7965</v>
      </c>
      <c r="B7966" s="119">
        <v>2.3827668546461411E-2</v>
      </c>
    </row>
    <row r="7967" spans="1:2">
      <c r="A7967">
        <v>7966</v>
      </c>
      <c r="B7967" s="119">
        <v>0.35716100187979477</v>
      </c>
    </row>
    <row r="7968" spans="1:2">
      <c r="A7968">
        <v>7967</v>
      </c>
      <c r="B7968" s="119">
        <v>0.69049433521312797</v>
      </c>
    </row>
    <row r="7969" spans="1:2">
      <c r="A7969">
        <v>7968</v>
      </c>
      <c r="B7969" s="119">
        <v>0.13493877965757251</v>
      </c>
    </row>
    <row r="7970" spans="1:2">
      <c r="A7970">
        <v>7969</v>
      </c>
      <c r="B7970" s="119">
        <v>0.46827211299090588</v>
      </c>
    </row>
    <row r="7971" spans="1:2">
      <c r="A7971">
        <v>7970</v>
      </c>
      <c r="B7971" s="119">
        <v>0.80160544632423913</v>
      </c>
    </row>
    <row r="7972" spans="1:2">
      <c r="A7972">
        <v>7971</v>
      </c>
      <c r="B7972" s="119">
        <v>0.24604989076868361</v>
      </c>
    </row>
    <row r="7973" spans="1:2">
      <c r="A7973">
        <v>7972</v>
      </c>
      <c r="B7973" s="119">
        <v>0.57938322410201704</v>
      </c>
    </row>
    <row r="7974" spans="1:2">
      <c r="A7974">
        <v>7973</v>
      </c>
      <c r="B7974" s="119">
        <v>0.9127165574353503</v>
      </c>
    </row>
    <row r="7975" spans="1:2">
      <c r="A7975">
        <v>7974</v>
      </c>
      <c r="B7975" s="119">
        <v>6.0864705583498449E-2</v>
      </c>
    </row>
    <row r="7976" spans="1:2">
      <c r="A7976">
        <v>7975</v>
      </c>
      <c r="B7976" s="119">
        <v>0.39419803891683181</v>
      </c>
    </row>
    <row r="7977" spans="1:2">
      <c r="A7977">
        <v>7976</v>
      </c>
      <c r="B7977" s="119">
        <v>0.72753137225016518</v>
      </c>
    </row>
    <row r="7978" spans="1:2">
      <c r="A7978">
        <v>7977</v>
      </c>
      <c r="B7978" s="119">
        <v>0.17197581669460954</v>
      </c>
    </row>
    <row r="7979" spans="1:2">
      <c r="A7979">
        <v>7978</v>
      </c>
      <c r="B7979" s="119">
        <v>0.50530915002794285</v>
      </c>
    </row>
    <row r="7980" spans="1:2">
      <c r="A7980">
        <v>7979</v>
      </c>
      <c r="B7980" s="119">
        <v>0.83864248336127611</v>
      </c>
    </row>
    <row r="7981" spans="1:2">
      <c r="A7981">
        <v>7980</v>
      </c>
      <c r="B7981" s="119">
        <v>0.2830869278057207</v>
      </c>
    </row>
    <row r="7982" spans="1:2">
      <c r="A7982">
        <v>7981</v>
      </c>
      <c r="B7982" s="119">
        <v>0.61642026113905402</v>
      </c>
    </row>
    <row r="7983" spans="1:2">
      <c r="A7983">
        <v>7982</v>
      </c>
      <c r="B7983" s="119">
        <v>0.94975359447238727</v>
      </c>
    </row>
    <row r="7984" spans="1:2">
      <c r="A7984">
        <v>7983</v>
      </c>
      <c r="B7984" s="119">
        <v>9.7901742620535484E-2</v>
      </c>
    </row>
    <row r="7985" spans="1:2">
      <c r="A7985">
        <v>7984</v>
      </c>
      <c r="B7985" s="119">
        <v>0.43123507595386884</v>
      </c>
    </row>
    <row r="7986" spans="1:2">
      <c r="A7986">
        <v>7985</v>
      </c>
      <c r="B7986" s="119">
        <v>0.76456840928720216</v>
      </c>
    </row>
    <row r="7987" spans="1:2">
      <c r="A7987">
        <v>7986</v>
      </c>
      <c r="B7987" s="119">
        <v>0.20901285373164658</v>
      </c>
    </row>
    <row r="7988" spans="1:2">
      <c r="A7988">
        <v>7987</v>
      </c>
      <c r="B7988" s="119">
        <v>0.54234618706497983</v>
      </c>
    </row>
    <row r="7989" spans="1:2">
      <c r="A7989">
        <v>7988</v>
      </c>
      <c r="B7989" s="119">
        <v>0.87567952039831309</v>
      </c>
    </row>
    <row r="7990" spans="1:2">
      <c r="A7990">
        <v>7989</v>
      </c>
      <c r="B7990" s="119">
        <v>0.32012396484275774</v>
      </c>
    </row>
    <row r="7991" spans="1:2">
      <c r="A7991">
        <v>7990</v>
      </c>
      <c r="B7991" s="119">
        <v>0.65345729817609099</v>
      </c>
    </row>
    <row r="7992" spans="1:2">
      <c r="A7992">
        <v>7991</v>
      </c>
      <c r="B7992" s="119">
        <v>0.98679063150942425</v>
      </c>
    </row>
    <row r="7993" spans="1:2">
      <c r="A7993">
        <v>7992</v>
      </c>
      <c r="B7993" s="119">
        <v>3.6173347558807092E-2</v>
      </c>
    </row>
    <row r="7994" spans="1:2">
      <c r="A7994">
        <v>7993</v>
      </c>
      <c r="B7994" s="119">
        <v>0.36950668089214045</v>
      </c>
    </row>
    <row r="7995" spans="1:2">
      <c r="A7995">
        <v>7994</v>
      </c>
      <c r="B7995" s="119">
        <v>0.70284001422547371</v>
      </c>
    </row>
    <row r="7996" spans="1:2">
      <c r="A7996">
        <v>7995</v>
      </c>
      <c r="B7996" s="119">
        <v>0.14728445866991818</v>
      </c>
    </row>
    <row r="7997" spans="1:2">
      <c r="A7997">
        <v>7996</v>
      </c>
      <c r="B7997" s="119">
        <v>0.48061779200325155</v>
      </c>
    </row>
    <row r="7998" spans="1:2">
      <c r="A7998">
        <v>7997</v>
      </c>
      <c r="B7998" s="119">
        <v>0.81395112533658476</v>
      </c>
    </row>
    <row r="7999" spans="1:2">
      <c r="A7999">
        <v>7998</v>
      </c>
      <c r="B7999" s="119">
        <v>0.25839556978102934</v>
      </c>
    </row>
    <row r="8000" spans="1:2">
      <c r="A8000">
        <v>7999</v>
      </c>
      <c r="B8000" s="119">
        <v>0.59172890311436266</v>
      </c>
    </row>
    <row r="8001" spans="1:2">
      <c r="A8001">
        <v>8000</v>
      </c>
      <c r="B8001" s="119">
        <v>0.92506223644769592</v>
      </c>
    </row>
    <row r="8002" spans="1:2">
      <c r="A8002">
        <v>8001</v>
      </c>
      <c r="B8002" s="119">
        <v>7.3210384595844127E-2</v>
      </c>
    </row>
    <row r="8003" spans="1:2">
      <c r="A8003">
        <v>8002</v>
      </c>
      <c r="B8003" s="119">
        <v>0.40654371792917748</v>
      </c>
    </row>
    <row r="8004" spans="1:2">
      <c r="A8004">
        <v>8003</v>
      </c>
      <c r="B8004" s="119">
        <v>0.7398770512625108</v>
      </c>
    </row>
    <row r="8005" spans="1:2">
      <c r="A8005">
        <v>8004</v>
      </c>
      <c r="B8005" s="119">
        <v>0.18432149570695522</v>
      </c>
    </row>
    <row r="8006" spans="1:2">
      <c r="A8006">
        <v>8005</v>
      </c>
      <c r="B8006" s="119">
        <v>0.51765482904028859</v>
      </c>
    </row>
    <row r="8007" spans="1:2">
      <c r="A8007">
        <v>8006</v>
      </c>
      <c r="B8007" s="119">
        <v>0.85098816237362174</v>
      </c>
    </row>
    <row r="8008" spans="1:2">
      <c r="A8008">
        <v>8007</v>
      </c>
      <c r="B8008" s="119">
        <v>0.29543260681806638</v>
      </c>
    </row>
    <row r="8009" spans="1:2">
      <c r="A8009">
        <v>8008</v>
      </c>
      <c r="B8009" s="119">
        <v>0.62876594015139964</v>
      </c>
    </row>
    <row r="8010" spans="1:2">
      <c r="A8010">
        <v>8009</v>
      </c>
      <c r="B8010" s="119">
        <v>0.9620992734847329</v>
      </c>
    </row>
    <row r="8011" spans="1:2">
      <c r="A8011">
        <v>8010</v>
      </c>
      <c r="B8011" s="119">
        <v>0.11024742163288116</v>
      </c>
    </row>
    <row r="8012" spans="1:2">
      <c r="A8012">
        <v>8011</v>
      </c>
      <c r="B8012" s="119">
        <v>0.44358075496621452</v>
      </c>
    </row>
    <row r="8013" spans="1:2">
      <c r="A8013">
        <v>8012</v>
      </c>
      <c r="B8013" s="119">
        <v>0.77691408829954778</v>
      </c>
    </row>
    <row r="8014" spans="1:2">
      <c r="A8014">
        <v>8013</v>
      </c>
      <c r="B8014" s="119">
        <v>0.22135853274399225</v>
      </c>
    </row>
    <row r="8015" spans="1:2">
      <c r="A8015">
        <v>8014</v>
      </c>
      <c r="B8015" s="119">
        <v>0.55469186607732557</v>
      </c>
    </row>
    <row r="8016" spans="1:2">
      <c r="A8016">
        <v>8015</v>
      </c>
      <c r="B8016" s="119">
        <v>0.88802519941065883</v>
      </c>
    </row>
    <row r="8017" spans="1:2">
      <c r="A8017">
        <v>8016</v>
      </c>
      <c r="B8017" s="119">
        <v>0.33246964385510341</v>
      </c>
    </row>
    <row r="8018" spans="1:2">
      <c r="A8018">
        <v>8017</v>
      </c>
      <c r="B8018" s="119">
        <v>0.66580297718843673</v>
      </c>
    </row>
    <row r="8019" spans="1:2">
      <c r="A8019">
        <v>8018</v>
      </c>
      <c r="B8019" s="119">
        <v>0.99913631052176999</v>
      </c>
    </row>
    <row r="8020" spans="1:2">
      <c r="A8020">
        <v>8019</v>
      </c>
      <c r="B8020" s="119">
        <v>9.6530000508052627E-4</v>
      </c>
    </row>
    <row r="8021" spans="1:2">
      <c r="A8021">
        <v>8020</v>
      </c>
      <c r="B8021" s="119">
        <v>0.33429863333841381</v>
      </c>
    </row>
    <row r="8022" spans="1:2">
      <c r="A8022">
        <v>8021</v>
      </c>
      <c r="B8022" s="119">
        <v>0.66763196667174718</v>
      </c>
    </row>
    <row r="8023" spans="1:2">
      <c r="A8023">
        <v>8022</v>
      </c>
      <c r="B8023" s="119">
        <v>0.11207641111619164</v>
      </c>
    </row>
    <row r="8024" spans="1:2">
      <c r="A8024">
        <v>8023</v>
      </c>
      <c r="B8024" s="119">
        <v>0.44540974444952491</v>
      </c>
    </row>
    <row r="8025" spans="1:2">
      <c r="A8025">
        <v>8024</v>
      </c>
      <c r="B8025" s="119">
        <v>0.77874307778285823</v>
      </c>
    </row>
    <row r="8026" spans="1:2">
      <c r="A8026">
        <v>8025</v>
      </c>
      <c r="B8026" s="119">
        <v>0.22318752222730273</v>
      </c>
    </row>
    <row r="8027" spans="1:2">
      <c r="A8027">
        <v>8026</v>
      </c>
      <c r="B8027" s="119">
        <v>0.55652085556063613</v>
      </c>
    </row>
    <row r="8028" spans="1:2">
      <c r="A8028">
        <v>8027</v>
      </c>
      <c r="B8028" s="119">
        <v>0.88985418889396939</v>
      </c>
    </row>
    <row r="8029" spans="1:2">
      <c r="A8029">
        <v>8028</v>
      </c>
      <c r="B8029" s="119">
        <v>3.8002337042117557E-2</v>
      </c>
    </row>
    <row r="8030" spans="1:2">
      <c r="A8030">
        <v>8029</v>
      </c>
      <c r="B8030" s="119">
        <v>0.37133567037545084</v>
      </c>
    </row>
    <row r="8031" spans="1:2">
      <c r="A8031">
        <v>8030</v>
      </c>
      <c r="B8031" s="119">
        <v>0.70466900370878427</v>
      </c>
    </row>
    <row r="8032" spans="1:2">
      <c r="A8032">
        <v>8031</v>
      </c>
      <c r="B8032" s="119">
        <v>0.14911344815322866</v>
      </c>
    </row>
    <row r="8033" spans="1:2">
      <c r="A8033">
        <v>8032</v>
      </c>
      <c r="B8033" s="119">
        <v>0.48244678148656195</v>
      </c>
    </row>
    <row r="8034" spans="1:2">
      <c r="A8034">
        <v>8033</v>
      </c>
      <c r="B8034" s="119">
        <v>0.81578011481989521</v>
      </c>
    </row>
    <row r="8035" spans="1:2">
      <c r="A8035">
        <v>8034</v>
      </c>
      <c r="B8035" s="119">
        <v>0.26022455926433974</v>
      </c>
    </row>
    <row r="8036" spans="1:2">
      <c r="A8036">
        <v>8035</v>
      </c>
      <c r="B8036" s="119">
        <v>0.59355789259767311</v>
      </c>
    </row>
    <row r="8037" spans="1:2">
      <c r="A8037">
        <v>8036</v>
      </c>
      <c r="B8037" s="119">
        <v>0.92689122593100637</v>
      </c>
    </row>
    <row r="8038" spans="1:2">
      <c r="A8038">
        <v>8037</v>
      </c>
      <c r="B8038" s="119">
        <v>7.5039374079154605E-2</v>
      </c>
    </row>
    <row r="8039" spans="1:2">
      <c r="A8039">
        <v>8038</v>
      </c>
      <c r="B8039" s="119">
        <v>0.40837270741248788</v>
      </c>
    </row>
    <row r="8040" spans="1:2">
      <c r="A8040">
        <v>8039</v>
      </c>
      <c r="B8040" s="119">
        <v>0.74170604074582125</v>
      </c>
    </row>
    <row r="8041" spans="1:2">
      <c r="A8041">
        <v>8040</v>
      </c>
      <c r="B8041" s="119">
        <v>0.1861504851902657</v>
      </c>
    </row>
    <row r="8042" spans="1:2">
      <c r="A8042">
        <v>8041</v>
      </c>
      <c r="B8042" s="119">
        <v>0.51948381852359904</v>
      </c>
    </row>
    <row r="8043" spans="1:2">
      <c r="A8043">
        <v>8042</v>
      </c>
      <c r="B8043" s="119">
        <v>0.8528171518569323</v>
      </c>
    </row>
    <row r="8044" spans="1:2">
      <c r="A8044">
        <v>8043</v>
      </c>
      <c r="B8044" s="119">
        <v>0.29726159630137677</v>
      </c>
    </row>
    <row r="8045" spans="1:2">
      <c r="A8045">
        <v>8044</v>
      </c>
      <c r="B8045" s="119">
        <v>0.6305949296347102</v>
      </c>
    </row>
    <row r="8046" spans="1:2">
      <c r="A8046">
        <v>8045</v>
      </c>
      <c r="B8046" s="119">
        <v>0.96392826296804346</v>
      </c>
    </row>
    <row r="8047" spans="1:2">
      <c r="A8047">
        <v>8046</v>
      </c>
      <c r="B8047" s="119">
        <v>1.3310979017426205E-2</v>
      </c>
    </row>
    <row r="8048" spans="1:2">
      <c r="A8048">
        <v>8047</v>
      </c>
      <c r="B8048" s="119">
        <v>0.34664431235075949</v>
      </c>
    </row>
    <row r="8049" spans="1:2">
      <c r="A8049">
        <v>8048</v>
      </c>
      <c r="B8049" s="119">
        <v>0.6799776456840928</v>
      </c>
    </row>
    <row r="8050" spans="1:2">
      <c r="A8050">
        <v>8049</v>
      </c>
      <c r="B8050" s="119">
        <v>0.12442209012853732</v>
      </c>
    </row>
    <row r="8051" spans="1:2">
      <c r="A8051">
        <v>8050</v>
      </c>
      <c r="B8051" s="119">
        <v>0.45775542346187059</v>
      </c>
    </row>
    <row r="8052" spans="1:2">
      <c r="A8052">
        <v>8051</v>
      </c>
      <c r="B8052" s="119">
        <v>0.79108875679520396</v>
      </c>
    </row>
    <row r="8053" spans="1:2">
      <c r="A8053">
        <v>8052</v>
      </c>
      <c r="B8053" s="119">
        <v>0.23553320123964841</v>
      </c>
    </row>
    <row r="8054" spans="1:2">
      <c r="A8054">
        <v>8053</v>
      </c>
      <c r="B8054" s="119">
        <v>0.56886653457298186</v>
      </c>
    </row>
    <row r="8055" spans="1:2">
      <c r="A8055">
        <v>8054</v>
      </c>
      <c r="B8055" s="119">
        <v>0.90219986790631512</v>
      </c>
    </row>
    <row r="8056" spans="1:2">
      <c r="A8056">
        <v>8055</v>
      </c>
      <c r="B8056" s="119">
        <v>5.0348016054463235E-2</v>
      </c>
    </row>
    <row r="8057" spans="1:2">
      <c r="A8057">
        <v>8056</v>
      </c>
      <c r="B8057" s="119">
        <v>0.38368134938779652</v>
      </c>
    </row>
    <row r="8058" spans="1:2">
      <c r="A8058">
        <v>8057</v>
      </c>
      <c r="B8058" s="119">
        <v>0.71701468272113</v>
      </c>
    </row>
    <row r="8059" spans="1:2">
      <c r="A8059">
        <v>8058</v>
      </c>
      <c r="B8059" s="119">
        <v>0.16145912716557434</v>
      </c>
    </row>
    <row r="8060" spans="1:2">
      <c r="A8060">
        <v>8059</v>
      </c>
      <c r="B8060" s="119">
        <v>0.49479246049890763</v>
      </c>
    </row>
    <row r="8061" spans="1:2">
      <c r="A8061">
        <v>8060</v>
      </c>
      <c r="B8061" s="119">
        <v>0.82812579383224094</v>
      </c>
    </row>
    <row r="8062" spans="1:2">
      <c r="A8062">
        <v>8061</v>
      </c>
      <c r="B8062" s="119">
        <v>0.27257023827668542</v>
      </c>
    </row>
    <row r="8063" spans="1:2">
      <c r="A8063">
        <v>8062</v>
      </c>
      <c r="B8063" s="119">
        <v>0.60590357161001884</v>
      </c>
    </row>
    <row r="8064" spans="1:2">
      <c r="A8064">
        <v>8063</v>
      </c>
      <c r="B8064" s="119">
        <v>0.9392369049433521</v>
      </c>
    </row>
    <row r="8065" spans="1:2">
      <c r="A8065">
        <v>8064</v>
      </c>
      <c r="B8065" s="119">
        <v>8.7385053091500284E-2</v>
      </c>
    </row>
    <row r="8066" spans="1:2">
      <c r="A8066">
        <v>8065</v>
      </c>
      <c r="B8066" s="119">
        <v>0.42071838642483356</v>
      </c>
    </row>
    <row r="8067" spans="1:2">
      <c r="A8067">
        <v>8066</v>
      </c>
      <c r="B8067" s="119">
        <v>0.75405171975816698</v>
      </c>
    </row>
    <row r="8068" spans="1:2">
      <c r="A8068">
        <v>8067</v>
      </c>
      <c r="B8068" s="119">
        <v>0.19849616420261137</v>
      </c>
    </row>
    <row r="8069" spans="1:2">
      <c r="A8069">
        <v>8068</v>
      </c>
      <c r="B8069" s="119">
        <v>0.53182949753594466</v>
      </c>
    </row>
    <row r="8070" spans="1:2">
      <c r="A8070">
        <v>8069</v>
      </c>
      <c r="B8070" s="119">
        <v>0.86516283086927792</v>
      </c>
    </row>
    <row r="8071" spans="1:2">
      <c r="A8071">
        <v>8070</v>
      </c>
      <c r="B8071" s="119">
        <v>0.30960727531372245</v>
      </c>
    </row>
    <row r="8072" spans="1:2">
      <c r="A8072">
        <v>8071</v>
      </c>
      <c r="B8072" s="119">
        <v>0.64294060864705582</v>
      </c>
    </row>
    <row r="8073" spans="1:2">
      <c r="A8073">
        <v>8072</v>
      </c>
      <c r="B8073" s="119">
        <v>0.97627394198038908</v>
      </c>
    </row>
    <row r="8074" spans="1:2">
      <c r="A8074">
        <v>8073</v>
      </c>
      <c r="B8074" s="119">
        <v>2.5656658029771882E-2</v>
      </c>
    </row>
    <row r="8075" spans="1:2">
      <c r="A8075">
        <v>8074</v>
      </c>
      <c r="B8075" s="119">
        <v>0.35898999136310517</v>
      </c>
    </row>
    <row r="8076" spans="1:2">
      <c r="A8076">
        <v>8075</v>
      </c>
      <c r="B8076" s="119">
        <v>0.69232332469643854</v>
      </c>
    </row>
    <row r="8077" spans="1:2">
      <c r="A8077">
        <v>8076</v>
      </c>
      <c r="B8077" s="119">
        <v>0.13676776914088298</v>
      </c>
    </row>
    <row r="8078" spans="1:2">
      <c r="A8078">
        <v>8077</v>
      </c>
      <c r="B8078" s="119">
        <v>0.47010110247421627</v>
      </c>
    </row>
    <row r="8079" spans="1:2">
      <c r="A8079">
        <v>8078</v>
      </c>
      <c r="B8079" s="119">
        <v>0.80343443580754959</v>
      </c>
    </row>
    <row r="8080" spans="1:2">
      <c r="A8080">
        <v>8079</v>
      </c>
      <c r="B8080" s="119">
        <v>0.24787888025199409</v>
      </c>
    </row>
    <row r="8081" spans="1:2">
      <c r="A8081">
        <v>8080</v>
      </c>
      <c r="B8081" s="119">
        <v>0.58121221358532749</v>
      </c>
    </row>
    <row r="8082" spans="1:2">
      <c r="A8082">
        <v>8081</v>
      </c>
      <c r="B8082" s="119">
        <v>0.91454554691866075</v>
      </c>
    </row>
    <row r="8083" spans="1:2">
      <c r="A8083">
        <v>8082</v>
      </c>
      <c r="B8083" s="119">
        <v>6.2693695066808927E-2</v>
      </c>
    </row>
    <row r="8084" spans="1:2">
      <c r="A8084">
        <v>8083</v>
      </c>
      <c r="B8084" s="119">
        <v>0.3960270284001422</v>
      </c>
    </row>
    <row r="8085" spans="1:2">
      <c r="A8085">
        <v>8084</v>
      </c>
      <c r="B8085" s="119">
        <v>0.72936036173347563</v>
      </c>
    </row>
    <row r="8086" spans="1:2">
      <c r="A8086">
        <v>8085</v>
      </c>
      <c r="B8086" s="119">
        <v>0.17380480617792002</v>
      </c>
    </row>
    <row r="8087" spans="1:2">
      <c r="A8087">
        <v>8086</v>
      </c>
      <c r="B8087" s="119">
        <v>0.50713813951125342</v>
      </c>
    </row>
    <row r="8088" spans="1:2">
      <c r="A8088">
        <v>8087</v>
      </c>
      <c r="B8088" s="119">
        <v>0.84047147284458656</v>
      </c>
    </row>
    <row r="8089" spans="1:2">
      <c r="A8089">
        <v>8088</v>
      </c>
      <c r="B8089" s="119">
        <v>0.2849159172890311</v>
      </c>
    </row>
    <row r="8090" spans="1:2">
      <c r="A8090">
        <v>8089</v>
      </c>
      <c r="B8090" s="119">
        <v>0.61824925062236447</v>
      </c>
    </row>
    <row r="8091" spans="1:2">
      <c r="A8091">
        <v>8090</v>
      </c>
      <c r="B8091" s="119">
        <v>0.95158258395569773</v>
      </c>
    </row>
    <row r="8092" spans="1:2">
      <c r="A8092">
        <v>8091</v>
      </c>
      <c r="B8092" s="119">
        <v>9.9730732103845962E-2</v>
      </c>
    </row>
    <row r="8093" spans="1:2">
      <c r="A8093">
        <v>8092</v>
      </c>
      <c r="B8093" s="119">
        <v>0.43306406543717924</v>
      </c>
    </row>
    <row r="8094" spans="1:2">
      <c r="A8094">
        <v>8093</v>
      </c>
      <c r="B8094" s="119">
        <v>0.76639739877051261</v>
      </c>
    </row>
    <row r="8095" spans="1:2">
      <c r="A8095">
        <v>8094</v>
      </c>
      <c r="B8095" s="119">
        <v>0.21084184321495705</v>
      </c>
    </row>
    <row r="8096" spans="1:2">
      <c r="A8096">
        <v>8095</v>
      </c>
      <c r="B8096" s="119">
        <v>0.5441751765482904</v>
      </c>
    </row>
    <row r="8097" spans="1:2">
      <c r="A8097">
        <v>8096</v>
      </c>
      <c r="B8097" s="119">
        <v>0.87750850988162366</v>
      </c>
    </row>
    <row r="8098" spans="1:2">
      <c r="A8098">
        <v>8097</v>
      </c>
      <c r="B8098" s="119">
        <v>0.32195295432606813</v>
      </c>
    </row>
    <row r="8099" spans="1:2">
      <c r="A8099">
        <v>8098</v>
      </c>
      <c r="B8099" s="119">
        <v>0.65528628765940156</v>
      </c>
    </row>
    <row r="8100" spans="1:2">
      <c r="A8100">
        <v>8099</v>
      </c>
      <c r="B8100" s="119">
        <v>0.98861962099273482</v>
      </c>
    </row>
    <row r="8101" spans="1:2">
      <c r="A8101">
        <v>8100</v>
      </c>
      <c r="B8101" s="119">
        <v>5.0805263425290868E-3</v>
      </c>
    </row>
    <row r="8102" spans="1:2">
      <c r="A8102">
        <v>8101</v>
      </c>
      <c r="B8102" s="119">
        <v>0.33841385967586235</v>
      </c>
    </row>
    <row r="8103" spans="1:2">
      <c r="A8103">
        <v>8102</v>
      </c>
      <c r="B8103" s="119">
        <v>0.67174719300919572</v>
      </c>
    </row>
    <row r="8104" spans="1:2">
      <c r="A8104">
        <v>8103</v>
      </c>
      <c r="B8104" s="119">
        <v>0.1161916374536402</v>
      </c>
    </row>
    <row r="8105" spans="1:2">
      <c r="A8105">
        <v>8104</v>
      </c>
      <c r="B8105" s="119">
        <v>0.44952497078697345</v>
      </c>
    </row>
    <row r="8106" spans="1:2">
      <c r="A8106">
        <v>8105</v>
      </c>
      <c r="B8106" s="119">
        <v>0.78285830412030677</v>
      </c>
    </row>
    <row r="8107" spans="1:2">
      <c r="A8107">
        <v>8106</v>
      </c>
      <c r="B8107" s="119">
        <v>0.2273027485647513</v>
      </c>
    </row>
    <row r="8108" spans="1:2">
      <c r="A8108">
        <v>8107</v>
      </c>
      <c r="B8108" s="119">
        <v>0.56063608189808467</v>
      </c>
    </row>
    <row r="8109" spans="1:2">
      <c r="A8109">
        <v>8108</v>
      </c>
      <c r="B8109" s="119">
        <v>0.89396941523141793</v>
      </c>
    </row>
    <row r="8110" spans="1:2">
      <c r="A8110">
        <v>8109</v>
      </c>
      <c r="B8110" s="119">
        <v>4.2117563379566118E-2</v>
      </c>
    </row>
    <row r="8111" spans="1:2">
      <c r="A8111">
        <v>8110</v>
      </c>
      <c r="B8111" s="119">
        <v>0.37545089671289938</v>
      </c>
    </row>
    <row r="8112" spans="1:2">
      <c r="A8112">
        <v>8111</v>
      </c>
      <c r="B8112" s="119">
        <v>0.70878423004623281</v>
      </c>
    </row>
    <row r="8113" spans="1:2">
      <c r="A8113">
        <v>8112</v>
      </c>
      <c r="B8113" s="119">
        <v>0.15322867449067723</v>
      </c>
    </row>
    <row r="8114" spans="1:2">
      <c r="A8114">
        <v>8113</v>
      </c>
      <c r="B8114" s="119">
        <v>0.48656200782401049</v>
      </c>
    </row>
    <row r="8115" spans="1:2">
      <c r="A8115">
        <v>8114</v>
      </c>
      <c r="B8115" s="119">
        <v>0.81989534115734375</v>
      </c>
    </row>
    <row r="8116" spans="1:2">
      <c r="A8116">
        <v>8115</v>
      </c>
      <c r="B8116" s="119">
        <v>0.26433978560178828</v>
      </c>
    </row>
    <row r="8117" spans="1:2">
      <c r="A8117">
        <v>8116</v>
      </c>
      <c r="B8117" s="119">
        <v>0.59767311893512165</v>
      </c>
    </row>
    <row r="8118" spans="1:2">
      <c r="A8118">
        <v>8117</v>
      </c>
      <c r="B8118" s="119">
        <v>0.93100645226845491</v>
      </c>
    </row>
    <row r="8119" spans="1:2">
      <c r="A8119">
        <v>8118</v>
      </c>
      <c r="B8119" s="119">
        <v>7.915460041660316E-2</v>
      </c>
    </row>
    <row r="8120" spans="1:2">
      <c r="A8120">
        <v>8119</v>
      </c>
      <c r="B8120" s="119">
        <v>0.41248793374993642</v>
      </c>
    </row>
    <row r="8121" spans="1:2">
      <c r="A8121">
        <v>8120</v>
      </c>
      <c r="B8121" s="119">
        <v>0.74582126708326979</v>
      </c>
    </row>
    <row r="8122" spans="1:2">
      <c r="A8122">
        <v>8121</v>
      </c>
      <c r="B8122" s="119">
        <v>0.19026571152771427</v>
      </c>
    </row>
    <row r="8123" spans="1:2">
      <c r="A8123">
        <v>8122</v>
      </c>
      <c r="B8123" s="119">
        <v>0.52359904486104758</v>
      </c>
    </row>
    <row r="8124" spans="1:2">
      <c r="A8124">
        <v>8123</v>
      </c>
      <c r="B8124" s="119">
        <v>0.85693237819438084</v>
      </c>
    </row>
    <row r="8125" spans="1:2">
      <c r="A8125">
        <v>8124</v>
      </c>
      <c r="B8125" s="119">
        <v>0.30137682263882531</v>
      </c>
    </row>
    <row r="8126" spans="1:2">
      <c r="A8126">
        <v>8125</v>
      </c>
      <c r="B8126" s="119">
        <v>0.63471015597215874</v>
      </c>
    </row>
    <row r="8127" spans="1:2">
      <c r="A8127">
        <v>8126</v>
      </c>
      <c r="B8127" s="119">
        <v>0.968043489305492</v>
      </c>
    </row>
    <row r="8128" spans="1:2">
      <c r="A8128">
        <v>8127</v>
      </c>
      <c r="B8128" s="119">
        <v>1.7426205354874765E-2</v>
      </c>
    </row>
    <row r="8129" spans="1:2">
      <c r="A8129">
        <v>8128</v>
      </c>
      <c r="B8129" s="119">
        <v>0.35075953868820803</v>
      </c>
    </row>
    <row r="8130" spans="1:2">
      <c r="A8130">
        <v>8129</v>
      </c>
      <c r="B8130" s="119">
        <v>0.68409287202154134</v>
      </c>
    </row>
    <row r="8131" spans="1:2">
      <c r="A8131">
        <v>8130</v>
      </c>
      <c r="B8131" s="119">
        <v>0.12853731646598587</v>
      </c>
    </row>
    <row r="8132" spans="1:2">
      <c r="A8132">
        <v>8131</v>
      </c>
      <c r="B8132" s="119">
        <v>0.46187064979931913</v>
      </c>
    </row>
    <row r="8133" spans="1:2">
      <c r="A8133">
        <v>8132</v>
      </c>
      <c r="B8133" s="119">
        <v>0.7952039831326525</v>
      </c>
    </row>
    <row r="8134" spans="1:2">
      <c r="A8134">
        <v>8133</v>
      </c>
      <c r="B8134" s="119">
        <v>0.23964842757709698</v>
      </c>
    </row>
    <row r="8135" spans="1:2">
      <c r="A8135">
        <v>8134</v>
      </c>
      <c r="B8135" s="119">
        <v>0.5729817609104304</v>
      </c>
    </row>
    <row r="8136" spans="1:2">
      <c r="A8136">
        <v>8135</v>
      </c>
      <c r="B8136" s="119">
        <v>0.90631509424376366</v>
      </c>
    </row>
    <row r="8137" spans="1:2">
      <c r="A8137">
        <v>8136</v>
      </c>
      <c r="B8137" s="119">
        <v>5.4463242391911797E-2</v>
      </c>
    </row>
    <row r="8138" spans="1:2">
      <c r="A8138">
        <v>8137</v>
      </c>
      <c r="B8138" s="119">
        <v>0.38779657572524506</v>
      </c>
    </row>
    <row r="8139" spans="1:2">
      <c r="A8139">
        <v>8138</v>
      </c>
      <c r="B8139" s="119">
        <v>0.72112990905857854</v>
      </c>
    </row>
    <row r="8140" spans="1:2">
      <c r="A8140">
        <v>8139</v>
      </c>
      <c r="B8140" s="119">
        <v>0.16557435350302291</v>
      </c>
    </row>
    <row r="8141" spans="1:2">
      <c r="A8141">
        <v>8140</v>
      </c>
      <c r="B8141" s="119">
        <v>0.49890768683635617</v>
      </c>
    </row>
    <row r="8142" spans="1:2">
      <c r="A8142">
        <v>8141</v>
      </c>
      <c r="B8142" s="119">
        <v>0.83224102016968948</v>
      </c>
    </row>
    <row r="8143" spans="1:2">
      <c r="A8143">
        <v>8142</v>
      </c>
      <c r="B8143" s="119">
        <v>0.27668546461413396</v>
      </c>
    </row>
    <row r="8144" spans="1:2">
      <c r="A8144">
        <v>8143</v>
      </c>
      <c r="B8144" s="119">
        <v>0.61001879794746738</v>
      </c>
    </row>
    <row r="8145" spans="1:2">
      <c r="A8145">
        <v>8144</v>
      </c>
      <c r="B8145" s="119">
        <v>0.94335213128080064</v>
      </c>
    </row>
    <row r="8146" spans="1:2">
      <c r="A8146">
        <v>8145</v>
      </c>
      <c r="B8146" s="119">
        <v>9.1500279428948839E-2</v>
      </c>
    </row>
    <row r="8147" spans="1:2">
      <c r="A8147">
        <v>8146</v>
      </c>
      <c r="B8147" s="119">
        <v>0.4248336127622821</v>
      </c>
    </row>
    <row r="8148" spans="1:2">
      <c r="A8148">
        <v>8147</v>
      </c>
      <c r="B8148" s="119">
        <v>0.75816694609561552</v>
      </c>
    </row>
    <row r="8149" spans="1:2">
      <c r="A8149">
        <v>8148</v>
      </c>
      <c r="B8149" s="119">
        <v>0.20261139054005994</v>
      </c>
    </row>
    <row r="8150" spans="1:2">
      <c r="A8150">
        <v>8149</v>
      </c>
      <c r="B8150" s="119">
        <v>0.5359447238733932</v>
      </c>
    </row>
    <row r="8151" spans="1:2">
      <c r="A8151">
        <v>8150</v>
      </c>
      <c r="B8151" s="119">
        <v>0.86927805720672646</v>
      </c>
    </row>
    <row r="8152" spans="1:2">
      <c r="A8152">
        <v>8151</v>
      </c>
      <c r="B8152" s="119">
        <v>0.31372250165117099</v>
      </c>
    </row>
    <row r="8153" spans="1:2">
      <c r="A8153">
        <v>8152</v>
      </c>
      <c r="B8153" s="119">
        <v>0.64705583498450436</v>
      </c>
    </row>
    <row r="8154" spans="1:2">
      <c r="A8154">
        <v>8153</v>
      </c>
      <c r="B8154" s="119">
        <v>0.98038916831783762</v>
      </c>
    </row>
    <row r="8155" spans="1:2">
      <c r="A8155">
        <v>8154</v>
      </c>
      <c r="B8155" s="119">
        <v>2.9771884367220443E-2</v>
      </c>
    </row>
    <row r="8156" spans="1:2">
      <c r="A8156">
        <v>8155</v>
      </c>
      <c r="B8156" s="119">
        <v>0.36310521770055371</v>
      </c>
    </row>
    <row r="8157" spans="1:2">
      <c r="A8157">
        <v>8156</v>
      </c>
      <c r="B8157" s="119">
        <v>0.69643855103388708</v>
      </c>
    </row>
    <row r="8158" spans="1:2">
      <c r="A8158">
        <v>8157</v>
      </c>
      <c r="B8158" s="119">
        <v>0.14088299547833155</v>
      </c>
    </row>
    <row r="8159" spans="1:2">
      <c r="A8159">
        <v>8158</v>
      </c>
      <c r="B8159" s="119">
        <v>0.47421632881166481</v>
      </c>
    </row>
    <row r="8160" spans="1:2">
      <c r="A8160">
        <v>8159</v>
      </c>
      <c r="B8160" s="119">
        <v>0.80754966214499813</v>
      </c>
    </row>
    <row r="8161" spans="1:2">
      <c r="A8161">
        <v>8160</v>
      </c>
      <c r="B8161" s="119">
        <v>0.2519941065894426</v>
      </c>
    </row>
    <row r="8162" spans="1:2">
      <c r="A8162">
        <v>8161</v>
      </c>
      <c r="B8162" s="119">
        <v>0.58532743992277603</v>
      </c>
    </row>
    <row r="8163" spans="1:2">
      <c r="A8163">
        <v>8162</v>
      </c>
      <c r="B8163" s="119">
        <v>0.91866077325610929</v>
      </c>
    </row>
    <row r="8164" spans="1:2">
      <c r="A8164">
        <v>8163</v>
      </c>
      <c r="B8164" s="119">
        <v>6.6808921404257482E-2</v>
      </c>
    </row>
    <row r="8165" spans="1:2">
      <c r="A8165">
        <v>8164</v>
      </c>
      <c r="B8165" s="119">
        <v>0.40014225473759074</v>
      </c>
    </row>
    <row r="8166" spans="1:2">
      <c r="A8166">
        <v>8165</v>
      </c>
      <c r="B8166" s="119">
        <v>0.73347558807092417</v>
      </c>
    </row>
    <row r="8167" spans="1:2">
      <c r="A8167">
        <v>8166</v>
      </c>
      <c r="B8167" s="119">
        <v>0.17792003251536859</v>
      </c>
    </row>
    <row r="8168" spans="1:2">
      <c r="A8168">
        <v>8167</v>
      </c>
      <c r="B8168" s="119">
        <v>0.51125336584870196</v>
      </c>
    </row>
    <row r="8169" spans="1:2">
      <c r="A8169">
        <v>8168</v>
      </c>
      <c r="B8169" s="119">
        <v>0.84458669918203511</v>
      </c>
    </row>
    <row r="8170" spans="1:2">
      <c r="A8170">
        <v>8169</v>
      </c>
      <c r="B8170" s="119">
        <v>0.28903114362647964</v>
      </c>
    </row>
    <row r="8171" spans="1:2">
      <c r="A8171">
        <v>8170</v>
      </c>
      <c r="B8171" s="119">
        <v>0.62236447695981301</v>
      </c>
    </row>
    <row r="8172" spans="1:2">
      <c r="A8172">
        <v>8171</v>
      </c>
      <c r="B8172" s="119">
        <v>0.95569781029314627</v>
      </c>
    </row>
    <row r="8173" spans="1:2">
      <c r="A8173">
        <v>8172</v>
      </c>
      <c r="B8173" s="119">
        <v>0.10384595844129452</v>
      </c>
    </row>
    <row r="8174" spans="1:2">
      <c r="A8174">
        <v>8173</v>
      </c>
      <c r="B8174" s="119">
        <v>0.43717929177462778</v>
      </c>
    </row>
    <row r="8175" spans="1:2">
      <c r="A8175">
        <v>8174</v>
      </c>
      <c r="B8175" s="119">
        <v>0.77051262510796115</v>
      </c>
    </row>
    <row r="8176" spans="1:2">
      <c r="A8176">
        <v>8175</v>
      </c>
      <c r="B8176" s="119">
        <v>0.21495706955240562</v>
      </c>
    </row>
    <row r="8177" spans="1:2">
      <c r="A8177">
        <v>8176</v>
      </c>
      <c r="B8177" s="119">
        <v>0.54829040288573894</v>
      </c>
    </row>
    <row r="8178" spans="1:2">
      <c r="A8178">
        <v>8177</v>
      </c>
      <c r="B8178" s="119">
        <v>0.8816237362190722</v>
      </c>
    </row>
    <row r="8179" spans="1:2">
      <c r="A8179">
        <v>8178</v>
      </c>
      <c r="B8179" s="119">
        <v>0.32606818066351667</v>
      </c>
    </row>
    <row r="8180" spans="1:2">
      <c r="A8180">
        <v>8179</v>
      </c>
      <c r="B8180" s="119">
        <v>0.6594015139968501</v>
      </c>
    </row>
    <row r="8181" spans="1:2">
      <c r="A8181">
        <v>8180</v>
      </c>
      <c r="B8181" s="119">
        <v>0.99273484733018336</v>
      </c>
    </row>
    <row r="8182" spans="1:2">
      <c r="A8182">
        <v>8181</v>
      </c>
      <c r="B8182" s="119">
        <v>9.1957526799776469E-3</v>
      </c>
    </row>
    <row r="8183" spans="1:2">
      <c r="A8183">
        <v>8182</v>
      </c>
      <c r="B8183" s="119">
        <v>0.34252908601331095</v>
      </c>
    </row>
    <row r="8184" spans="1:2">
      <c r="A8184">
        <v>8183</v>
      </c>
      <c r="B8184" s="119">
        <v>0.67586241934664426</v>
      </c>
    </row>
    <row r="8185" spans="1:2">
      <c r="A8185">
        <v>8184</v>
      </c>
      <c r="B8185" s="119">
        <v>0.12030686379108876</v>
      </c>
    </row>
    <row r="8186" spans="1:2">
      <c r="A8186">
        <v>8185</v>
      </c>
      <c r="B8186" s="119">
        <v>0.45364019712442205</v>
      </c>
    </row>
    <row r="8187" spans="1:2">
      <c r="A8187">
        <v>8186</v>
      </c>
      <c r="B8187" s="119">
        <v>0.78697353045775531</v>
      </c>
    </row>
    <row r="8188" spans="1:2">
      <c r="A8188">
        <v>8187</v>
      </c>
      <c r="B8188" s="119">
        <v>0.23141797490219984</v>
      </c>
    </row>
    <row r="8189" spans="1:2">
      <c r="A8189">
        <v>8188</v>
      </c>
      <c r="B8189" s="119">
        <v>0.56475130823553321</v>
      </c>
    </row>
    <row r="8190" spans="1:2">
      <c r="A8190">
        <v>8189</v>
      </c>
      <c r="B8190" s="119">
        <v>0.89808464156886647</v>
      </c>
    </row>
    <row r="8191" spans="1:2">
      <c r="A8191">
        <v>8190</v>
      </c>
      <c r="B8191" s="119">
        <v>4.623278971701468E-2</v>
      </c>
    </row>
    <row r="8192" spans="1:2">
      <c r="A8192">
        <v>8191</v>
      </c>
      <c r="B8192" s="119">
        <v>0.37956612305034798</v>
      </c>
    </row>
    <row r="8193" spans="1:2">
      <c r="A8193">
        <v>8192</v>
      </c>
      <c r="B8193" s="119">
        <v>0.71289945638368135</v>
      </c>
    </row>
    <row r="8194" spans="1:2">
      <c r="A8194">
        <v>8193</v>
      </c>
      <c r="B8194" s="119">
        <v>0.15734390082812577</v>
      </c>
    </row>
    <row r="8195" spans="1:2">
      <c r="A8195">
        <v>8194</v>
      </c>
      <c r="B8195" s="119">
        <v>0.49067723416145909</v>
      </c>
    </row>
    <row r="8196" spans="1:2">
      <c r="A8196">
        <v>8195</v>
      </c>
      <c r="B8196" s="119">
        <v>0.82401056749479229</v>
      </c>
    </row>
    <row r="8197" spans="1:2">
      <c r="A8197">
        <v>8196</v>
      </c>
      <c r="B8197" s="119">
        <v>0.26845501193923688</v>
      </c>
    </row>
    <row r="8198" spans="1:2">
      <c r="A8198">
        <v>8197</v>
      </c>
      <c r="B8198" s="119">
        <v>0.60178834527257019</v>
      </c>
    </row>
    <row r="8199" spans="1:2">
      <c r="A8199">
        <v>8198</v>
      </c>
      <c r="B8199" s="119">
        <v>0.93512167860590345</v>
      </c>
    </row>
    <row r="8200" spans="1:2">
      <c r="A8200">
        <v>8199</v>
      </c>
      <c r="B8200" s="119">
        <v>8.3269826754051729E-2</v>
      </c>
    </row>
    <row r="8201" spans="1:2">
      <c r="A8201">
        <v>8200</v>
      </c>
      <c r="B8201" s="119">
        <v>0.41660316008738502</v>
      </c>
    </row>
    <row r="8202" spans="1:2">
      <c r="A8202">
        <v>8201</v>
      </c>
      <c r="B8202" s="119">
        <v>0.74993649342071833</v>
      </c>
    </row>
    <row r="8203" spans="1:2">
      <c r="A8203">
        <v>8202</v>
      </c>
      <c r="B8203" s="119">
        <v>0.19438093786516281</v>
      </c>
    </row>
    <row r="8204" spans="1:2">
      <c r="A8204">
        <v>8203</v>
      </c>
      <c r="B8204" s="119">
        <v>0.52771427119849612</v>
      </c>
    </row>
    <row r="8205" spans="1:2">
      <c r="A8205">
        <v>8204</v>
      </c>
      <c r="B8205" s="119">
        <v>0.86104760453182938</v>
      </c>
    </row>
    <row r="8206" spans="1:2">
      <c r="A8206">
        <v>8205</v>
      </c>
      <c r="B8206" s="119">
        <v>0.30549204897627391</v>
      </c>
    </row>
    <row r="8207" spans="1:2">
      <c r="A8207">
        <v>8206</v>
      </c>
      <c r="B8207" s="119">
        <v>0.63882538230960728</v>
      </c>
    </row>
    <row r="8208" spans="1:2">
      <c r="A8208">
        <v>8207</v>
      </c>
      <c r="B8208" s="119">
        <v>0.97215871564294054</v>
      </c>
    </row>
    <row r="8209" spans="1:2">
      <c r="A8209">
        <v>8208</v>
      </c>
      <c r="B8209" s="119">
        <v>2.1541431692323323E-2</v>
      </c>
    </row>
    <row r="8210" spans="1:2">
      <c r="A8210">
        <v>8209</v>
      </c>
      <c r="B8210" s="119">
        <v>0.35487476502565662</v>
      </c>
    </row>
    <row r="8211" spans="1:2">
      <c r="A8211">
        <v>8210</v>
      </c>
      <c r="B8211" s="119">
        <v>0.68820809835898988</v>
      </c>
    </row>
    <row r="8212" spans="1:2">
      <c r="A8212">
        <v>8211</v>
      </c>
      <c r="B8212" s="119">
        <v>0.13265254280343441</v>
      </c>
    </row>
    <row r="8213" spans="1:2">
      <c r="A8213">
        <v>8212</v>
      </c>
      <c r="B8213" s="119">
        <v>0.46598587613676773</v>
      </c>
    </row>
    <row r="8214" spans="1:2">
      <c r="A8214">
        <v>8213</v>
      </c>
      <c r="B8214" s="119">
        <v>0.79931920947010104</v>
      </c>
    </row>
    <row r="8215" spans="1:2">
      <c r="A8215">
        <v>8214</v>
      </c>
      <c r="B8215" s="119">
        <v>0.24376365391454552</v>
      </c>
    </row>
    <row r="8216" spans="1:2">
      <c r="A8216">
        <v>8215</v>
      </c>
      <c r="B8216" s="119">
        <v>0.57709698724787895</v>
      </c>
    </row>
    <row r="8217" spans="1:2">
      <c r="A8217">
        <v>8216</v>
      </c>
      <c r="B8217" s="119">
        <v>0.9104303205812122</v>
      </c>
    </row>
    <row r="8218" spans="1:2">
      <c r="A8218">
        <v>8217</v>
      </c>
      <c r="B8218" s="119">
        <v>5.8578468729360358E-2</v>
      </c>
    </row>
    <row r="8219" spans="1:2">
      <c r="A8219">
        <v>8218</v>
      </c>
      <c r="B8219" s="119">
        <v>0.39191180206269366</v>
      </c>
    </row>
    <row r="8220" spans="1:2">
      <c r="A8220">
        <v>8219</v>
      </c>
      <c r="B8220" s="119">
        <v>0.72524513539602709</v>
      </c>
    </row>
    <row r="8221" spans="1:2">
      <c r="A8221">
        <v>8220</v>
      </c>
      <c r="B8221" s="119">
        <v>0.16968957984047145</v>
      </c>
    </row>
    <row r="8222" spans="1:2">
      <c r="A8222">
        <v>8221</v>
      </c>
      <c r="B8222" s="119">
        <v>0.50302291317380476</v>
      </c>
    </row>
    <row r="8223" spans="1:2">
      <c r="A8223">
        <v>8222</v>
      </c>
      <c r="B8223" s="119">
        <v>0.83635624650713802</v>
      </c>
    </row>
    <row r="8224" spans="1:2">
      <c r="A8224">
        <v>8223</v>
      </c>
      <c r="B8224" s="119">
        <v>0.28080069095158255</v>
      </c>
    </row>
    <row r="8225" spans="1:2">
      <c r="A8225">
        <v>8224</v>
      </c>
      <c r="B8225" s="119">
        <v>0.61413402428491592</v>
      </c>
    </row>
    <row r="8226" spans="1:2">
      <c r="A8226">
        <v>8225</v>
      </c>
      <c r="B8226" s="119">
        <v>0.94746735761824918</v>
      </c>
    </row>
    <row r="8227" spans="1:2">
      <c r="A8227">
        <v>8226</v>
      </c>
      <c r="B8227" s="119">
        <v>9.5615505766397407E-2</v>
      </c>
    </row>
    <row r="8228" spans="1:2">
      <c r="A8228">
        <v>8227</v>
      </c>
      <c r="B8228" s="119">
        <v>0.42894883909973069</v>
      </c>
    </row>
    <row r="8229" spans="1:2">
      <c r="A8229">
        <v>8228</v>
      </c>
      <c r="B8229" s="119">
        <v>0.76228217243306406</v>
      </c>
    </row>
    <row r="8230" spans="1:2">
      <c r="A8230">
        <v>8229</v>
      </c>
      <c r="B8230" s="119">
        <v>0.20672661687750848</v>
      </c>
    </row>
    <row r="8231" spans="1:2">
      <c r="A8231">
        <v>8230</v>
      </c>
      <c r="B8231" s="119">
        <v>0.54005995021084174</v>
      </c>
    </row>
    <row r="8232" spans="1:2">
      <c r="A8232">
        <v>8231</v>
      </c>
      <c r="B8232" s="119">
        <v>0.873393283544175</v>
      </c>
    </row>
    <row r="8233" spans="1:2">
      <c r="A8233">
        <v>8232</v>
      </c>
      <c r="B8233" s="119">
        <v>0.31783772798861959</v>
      </c>
    </row>
    <row r="8234" spans="1:2">
      <c r="A8234">
        <v>8233</v>
      </c>
      <c r="B8234" s="119">
        <v>0.6511710613219529</v>
      </c>
    </row>
    <row r="8235" spans="1:2">
      <c r="A8235">
        <v>8234</v>
      </c>
      <c r="B8235" s="119">
        <v>0.98450439465528616</v>
      </c>
    </row>
    <row r="8236" spans="1:2">
      <c r="A8236">
        <v>8235</v>
      </c>
      <c r="B8236" s="119">
        <v>3.3887110704669002E-2</v>
      </c>
    </row>
    <row r="8237" spans="1:2">
      <c r="A8237">
        <v>8236</v>
      </c>
      <c r="B8237" s="119">
        <v>0.3672204440380023</v>
      </c>
    </row>
    <row r="8238" spans="1:2">
      <c r="A8238">
        <v>8237</v>
      </c>
      <c r="B8238" s="119">
        <v>0.70055377737133562</v>
      </c>
    </row>
    <row r="8239" spans="1:2">
      <c r="A8239">
        <v>8238</v>
      </c>
      <c r="B8239" s="119">
        <v>0.14499822181578009</v>
      </c>
    </row>
    <row r="8240" spans="1:2">
      <c r="A8240">
        <v>8239</v>
      </c>
      <c r="B8240" s="119">
        <v>0.47833155514911341</v>
      </c>
    </row>
    <row r="8241" spans="1:2">
      <c r="A8241">
        <v>8240</v>
      </c>
      <c r="B8241" s="119">
        <v>0.81166488848244667</v>
      </c>
    </row>
    <row r="8242" spans="1:2">
      <c r="A8242">
        <v>8241</v>
      </c>
      <c r="B8242" s="119">
        <v>0.2561093329268912</v>
      </c>
    </row>
    <row r="8243" spans="1:2">
      <c r="A8243">
        <v>8242</v>
      </c>
      <c r="B8243" s="119">
        <v>0.58944266626022457</v>
      </c>
    </row>
    <row r="8244" spans="1:2">
      <c r="A8244">
        <v>8243</v>
      </c>
      <c r="B8244" s="119">
        <v>0.92277599959355783</v>
      </c>
    </row>
    <row r="8245" spans="1:2">
      <c r="A8245">
        <v>8244</v>
      </c>
      <c r="B8245" s="119">
        <v>7.0924147741706051E-2</v>
      </c>
    </row>
    <row r="8246" spans="1:2">
      <c r="A8246">
        <v>8245</v>
      </c>
      <c r="B8246" s="119">
        <v>0.40425748107503934</v>
      </c>
    </row>
    <row r="8247" spans="1:2">
      <c r="A8247">
        <v>8246</v>
      </c>
      <c r="B8247" s="119">
        <v>0.73759081440837271</v>
      </c>
    </row>
    <row r="8248" spans="1:2">
      <c r="A8248">
        <v>8247</v>
      </c>
      <c r="B8248" s="119">
        <v>0.18203525885281713</v>
      </c>
    </row>
    <row r="8249" spans="1:2">
      <c r="A8249">
        <v>8248</v>
      </c>
      <c r="B8249" s="119">
        <v>0.5153685921861505</v>
      </c>
    </row>
    <row r="8250" spans="1:2">
      <c r="A8250">
        <v>8249</v>
      </c>
      <c r="B8250" s="119">
        <v>0.84870192551948365</v>
      </c>
    </row>
    <row r="8251" spans="1:2">
      <c r="A8251">
        <v>8250</v>
      </c>
      <c r="B8251" s="119">
        <v>0.29314636996392823</v>
      </c>
    </row>
    <row r="8252" spans="1:2">
      <c r="A8252">
        <v>8251</v>
      </c>
      <c r="B8252" s="119">
        <v>0.62647970329726155</v>
      </c>
    </row>
    <row r="8253" spans="1:2">
      <c r="A8253">
        <v>8252</v>
      </c>
      <c r="B8253" s="119">
        <v>0.95981303663059481</v>
      </c>
    </row>
    <row r="8254" spans="1:2">
      <c r="A8254">
        <v>8253</v>
      </c>
      <c r="B8254" s="119">
        <v>0.10796118477874309</v>
      </c>
    </row>
    <row r="8255" spans="1:2">
      <c r="A8255">
        <v>8254</v>
      </c>
      <c r="B8255" s="119">
        <v>0.44129451811207637</v>
      </c>
    </row>
    <row r="8256" spans="1:2">
      <c r="A8256">
        <v>8255</v>
      </c>
      <c r="B8256" s="119">
        <v>0.77462785144540969</v>
      </c>
    </row>
    <row r="8257" spans="1:2">
      <c r="A8257">
        <v>8256</v>
      </c>
      <c r="B8257" s="119">
        <v>0.21907229588985416</v>
      </c>
    </row>
    <row r="8258" spans="1:2">
      <c r="A8258">
        <v>8257</v>
      </c>
      <c r="B8258" s="119">
        <v>0.55240562922318748</v>
      </c>
    </row>
    <row r="8259" spans="1:2">
      <c r="A8259">
        <v>8258</v>
      </c>
      <c r="B8259" s="119">
        <v>0.88573896255652074</v>
      </c>
    </row>
    <row r="8260" spans="1:2">
      <c r="A8260">
        <v>8259</v>
      </c>
      <c r="B8260" s="119">
        <v>0.33018340700096527</v>
      </c>
    </row>
    <row r="8261" spans="1:2">
      <c r="A8261">
        <v>8260</v>
      </c>
      <c r="B8261" s="119">
        <v>0.66351674033429864</v>
      </c>
    </row>
    <row r="8262" spans="1:2">
      <c r="A8262">
        <v>8261</v>
      </c>
      <c r="B8262" s="119">
        <v>0.9968500736676319</v>
      </c>
    </row>
    <row r="8263" spans="1:2">
      <c r="A8263">
        <v>8262</v>
      </c>
      <c r="B8263" s="119">
        <v>2.3370421175633793E-3</v>
      </c>
    </row>
    <row r="8264" spans="1:2">
      <c r="A8264">
        <v>8263</v>
      </c>
      <c r="B8264" s="119">
        <v>0.33567037545089667</v>
      </c>
    </row>
    <row r="8265" spans="1:2">
      <c r="A8265">
        <v>8264</v>
      </c>
      <c r="B8265" s="119">
        <v>0.66900370878422999</v>
      </c>
    </row>
    <row r="8266" spans="1:2">
      <c r="A8266">
        <v>8265</v>
      </c>
      <c r="B8266" s="119">
        <v>0.11344815322867449</v>
      </c>
    </row>
    <row r="8267" spans="1:2">
      <c r="A8267">
        <v>8266</v>
      </c>
      <c r="B8267" s="119">
        <v>0.44678148656200778</v>
      </c>
    </row>
    <row r="8268" spans="1:2">
      <c r="A8268">
        <v>8267</v>
      </c>
      <c r="B8268" s="119">
        <v>0.78011481989534104</v>
      </c>
    </row>
    <row r="8269" spans="1:2">
      <c r="A8269">
        <v>8268</v>
      </c>
      <c r="B8269" s="119">
        <v>0.2245592643397856</v>
      </c>
    </row>
    <row r="8270" spans="1:2">
      <c r="A8270">
        <v>8269</v>
      </c>
      <c r="B8270" s="119">
        <v>0.55789259767311894</v>
      </c>
    </row>
    <row r="8271" spans="1:2">
      <c r="A8271">
        <v>8270</v>
      </c>
      <c r="B8271" s="119">
        <v>0.8912259310064522</v>
      </c>
    </row>
    <row r="8272" spans="1:2">
      <c r="A8272">
        <v>8271</v>
      </c>
      <c r="B8272" s="119">
        <v>3.9374079154600408E-2</v>
      </c>
    </row>
    <row r="8273" spans="1:2">
      <c r="A8273">
        <v>8272</v>
      </c>
      <c r="B8273" s="119">
        <v>0.37270741248793371</v>
      </c>
    </row>
    <row r="8274" spans="1:2">
      <c r="A8274">
        <v>8273</v>
      </c>
      <c r="B8274" s="119">
        <v>0.70604074582126708</v>
      </c>
    </row>
    <row r="8275" spans="1:2">
      <c r="A8275">
        <v>8274</v>
      </c>
      <c r="B8275" s="119">
        <v>0.15048519026571153</v>
      </c>
    </row>
    <row r="8276" spans="1:2">
      <c r="A8276">
        <v>8275</v>
      </c>
      <c r="B8276" s="119">
        <v>0.48381852359904481</v>
      </c>
    </row>
    <row r="8277" spans="1:2">
      <c r="A8277">
        <v>8276</v>
      </c>
      <c r="B8277" s="119">
        <v>0.81715185693237802</v>
      </c>
    </row>
    <row r="8278" spans="1:2">
      <c r="A8278">
        <v>8277</v>
      </c>
      <c r="B8278" s="119">
        <v>0.2615963013768226</v>
      </c>
    </row>
    <row r="8279" spans="1:2">
      <c r="A8279">
        <v>8278</v>
      </c>
      <c r="B8279" s="119">
        <v>0.59492963471015592</v>
      </c>
    </row>
    <row r="8280" spans="1:2">
      <c r="A8280">
        <v>8279</v>
      </c>
      <c r="B8280" s="119">
        <v>0.92826296804348918</v>
      </c>
    </row>
    <row r="8281" spans="1:2">
      <c r="A8281">
        <v>8280</v>
      </c>
      <c r="B8281" s="119">
        <v>7.6411116191637457E-2</v>
      </c>
    </row>
    <row r="8282" spans="1:2">
      <c r="A8282">
        <v>8281</v>
      </c>
      <c r="B8282" s="119">
        <v>0.40974444952497074</v>
      </c>
    </row>
    <row r="8283" spans="1:2">
      <c r="A8283">
        <v>8282</v>
      </c>
      <c r="B8283" s="119">
        <v>0.74307778285830406</v>
      </c>
    </row>
    <row r="8284" spans="1:2">
      <c r="A8284">
        <v>8283</v>
      </c>
      <c r="B8284" s="119">
        <v>0.18752222730274856</v>
      </c>
    </row>
    <row r="8285" spans="1:2">
      <c r="A8285">
        <v>8284</v>
      </c>
      <c r="B8285" s="119">
        <v>0.52085556063608185</v>
      </c>
    </row>
    <row r="8286" spans="1:2">
      <c r="A8286">
        <v>8285</v>
      </c>
      <c r="B8286" s="119">
        <v>0.85418889396941511</v>
      </c>
    </row>
    <row r="8287" spans="1:2">
      <c r="A8287">
        <v>8286</v>
      </c>
      <c r="B8287" s="119">
        <v>0.29863333841385964</v>
      </c>
    </row>
    <row r="8288" spans="1:2">
      <c r="A8288">
        <v>8287</v>
      </c>
      <c r="B8288" s="119">
        <v>0.63196667174719301</v>
      </c>
    </row>
    <row r="8289" spans="1:2">
      <c r="A8289">
        <v>8288</v>
      </c>
      <c r="B8289" s="119">
        <v>0.96530000508052627</v>
      </c>
    </row>
    <row r="8290" spans="1:2">
      <c r="A8290">
        <v>8289</v>
      </c>
      <c r="B8290" s="119">
        <v>1.4682721129909058E-2</v>
      </c>
    </row>
    <row r="8291" spans="1:2">
      <c r="A8291">
        <v>8290</v>
      </c>
      <c r="B8291" s="119">
        <v>0.34801605446324235</v>
      </c>
    </row>
    <row r="8292" spans="1:2">
      <c r="A8292">
        <v>8291</v>
      </c>
      <c r="B8292" s="119">
        <v>0.68134938779657561</v>
      </c>
    </row>
    <row r="8293" spans="1:2">
      <c r="A8293">
        <v>8292</v>
      </c>
      <c r="B8293" s="119">
        <v>0.12579383224102017</v>
      </c>
    </row>
    <row r="8294" spans="1:2">
      <c r="A8294">
        <v>8293</v>
      </c>
      <c r="B8294" s="119">
        <v>0.45912716557435346</v>
      </c>
    </row>
    <row r="8295" spans="1:2">
      <c r="A8295">
        <v>8294</v>
      </c>
      <c r="B8295" s="119">
        <v>0.79246049890768677</v>
      </c>
    </row>
    <row r="8296" spans="1:2">
      <c r="A8296">
        <v>8295</v>
      </c>
      <c r="B8296" s="119">
        <v>0.23690494335213128</v>
      </c>
    </row>
    <row r="8297" spans="1:2">
      <c r="A8297">
        <v>8296</v>
      </c>
      <c r="B8297" s="119">
        <v>0.57023827668546467</v>
      </c>
    </row>
    <row r="8298" spans="1:2">
      <c r="A8298">
        <v>8297</v>
      </c>
      <c r="B8298" s="119">
        <v>0.90357161001879793</v>
      </c>
    </row>
    <row r="8299" spans="1:2">
      <c r="A8299">
        <v>8298</v>
      </c>
      <c r="B8299" s="119">
        <v>5.1719758166946087E-2</v>
      </c>
    </row>
    <row r="8300" spans="1:2">
      <c r="A8300">
        <v>8299</v>
      </c>
      <c r="B8300" s="119">
        <v>0.38505309150027939</v>
      </c>
    </row>
    <row r="8301" spans="1:2">
      <c r="A8301">
        <v>8300</v>
      </c>
      <c r="B8301" s="119">
        <v>0.71838642483361281</v>
      </c>
    </row>
    <row r="8302" spans="1:2">
      <c r="A8302">
        <v>8301</v>
      </c>
      <c r="B8302" s="119">
        <v>0.16283086927805721</v>
      </c>
    </row>
    <row r="8303" spans="1:2">
      <c r="A8303">
        <v>8302</v>
      </c>
      <c r="B8303" s="119">
        <v>0.49616420261139049</v>
      </c>
    </row>
    <row r="8304" spans="1:2">
      <c r="A8304">
        <v>8303</v>
      </c>
      <c r="B8304" s="119">
        <v>0.82949753594472375</v>
      </c>
    </row>
    <row r="8305" spans="1:2">
      <c r="A8305">
        <v>8304</v>
      </c>
      <c r="B8305" s="119">
        <v>0.27394198038916828</v>
      </c>
    </row>
    <row r="8306" spans="1:2">
      <c r="A8306">
        <v>8305</v>
      </c>
      <c r="B8306" s="119">
        <v>0.60727531372250165</v>
      </c>
    </row>
    <row r="8307" spans="1:2">
      <c r="A8307">
        <v>8306</v>
      </c>
      <c r="B8307" s="119">
        <v>0.94060864705583491</v>
      </c>
    </row>
    <row r="8308" spans="1:2">
      <c r="A8308">
        <v>8307</v>
      </c>
      <c r="B8308" s="119">
        <v>8.8756795203983135E-2</v>
      </c>
    </row>
    <row r="8309" spans="1:2">
      <c r="A8309">
        <v>8308</v>
      </c>
      <c r="B8309" s="119">
        <v>0.42209012853731642</v>
      </c>
    </row>
    <row r="8310" spans="1:2">
      <c r="A8310">
        <v>8309</v>
      </c>
      <c r="B8310" s="119">
        <v>0.75542346187064979</v>
      </c>
    </row>
    <row r="8311" spans="1:2">
      <c r="A8311">
        <v>8310</v>
      </c>
      <c r="B8311" s="119">
        <v>0.19986790631509424</v>
      </c>
    </row>
    <row r="8312" spans="1:2">
      <c r="A8312">
        <v>8311</v>
      </c>
      <c r="B8312" s="119">
        <v>0.53320123964842747</v>
      </c>
    </row>
    <row r="8313" spans="1:2">
      <c r="A8313">
        <v>8312</v>
      </c>
      <c r="B8313" s="119">
        <v>0.86653457298176073</v>
      </c>
    </row>
    <row r="8314" spans="1:2">
      <c r="A8314">
        <v>8313</v>
      </c>
      <c r="B8314" s="119">
        <v>0.31097901742620532</v>
      </c>
    </row>
    <row r="8315" spans="1:2">
      <c r="A8315">
        <v>8314</v>
      </c>
      <c r="B8315" s="119">
        <v>0.64431235075953863</v>
      </c>
    </row>
    <row r="8316" spans="1:2">
      <c r="A8316">
        <v>8315</v>
      </c>
      <c r="B8316" s="119">
        <v>0.97764568409287189</v>
      </c>
    </row>
    <row r="8317" spans="1:2">
      <c r="A8317">
        <v>8316</v>
      </c>
      <c r="B8317" s="119">
        <v>2.7028400142254733E-2</v>
      </c>
    </row>
    <row r="8318" spans="1:2">
      <c r="A8318">
        <v>8317</v>
      </c>
      <c r="B8318" s="119">
        <v>0.36036173347558803</v>
      </c>
    </row>
    <row r="8319" spans="1:2">
      <c r="A8319">
        <v>8318</v>
      </c>
      <c r="B8319" s="119">
        <v>0.69369506680892135</v>
      </c>
    </row>
    <row r="8320" spans="1:2">
      <c r="A8320">
        <v>8319</v>
      </c>
      <c r="B8320" s="119">
        <v>0.13813951125336585</v>
      </c>
    </row>
    <row r="8321" spans="1:2">
      <c r="A8321">
        <v>8320</v>
      </c>
      <c r="B8321" s="119">
        <v>0.47147284458669914</v>
      </c>
    </row>
    <row r="8322" spans="1:2">
      <c r="A8322">
        <v>8321</v>
      </c>
      <c r="B8322" s="119">
        <v>0.8048061779200324</v>
      </c>
    </row>
    <row r="8323" spans="1:2">
      <c r="A8323">
        <v>8322</v>
      </c>
      <c r="B8323" s="119">
        <v>0.24925062236447695</v>
      </c>
    </row>
    <row r="8324" spans="1:2">
      <c r="A8324">
        <v>8323</v>
      </c>
      <c r="B8324" s="119">
        <v>0.5825839556978103</v>
      </c>
    </row>
    <row r="8325" spans="1:2">
      <c r="A8325">
        <v>8324</v>
      </c>
      <c r="B8325" s="119">
        <v>0.91591728903114356</v>
      </c>
    </row>
    <row r="8326" spans="1:2">
      <c r="A8326">
        <v>8325</v>
      </c>
      <c r="B8326" s="119">
        <v>6.4065437179291779E-2</v>
      </c>
    </row>
    <row r="8327" spans="1:2">
      <c r="A8327">
        <v>8326</v>
      </c>
      <c r="B8327" s="119">
        <v>0.39739877051262507</v>
      </c>
    </row>
    <row r="8328" spans="1:2">
      <c r="A8328">
        <v>8327</v>
      </c>
      <c r="B8328" s="119">
        <v>0.73073210384595844</v>
      </c>
    </row>
    <row r="8329" spans="1:2">
      <c r="A8329">
        <v>8328</v>
      </c>
      <c r="B8329" s="119">
        <v>0.17517654829040288</v>
      </c>
    </row>
    <row r="8330" spans="1:2">
      <c r="A8330">
        <v>8329</v>
      </c>
      <c r="B8330" s="119">
        <v>0.50850988162373623</v>
      </c>
    </row>
    <row r="8331" spans="1:2">
      <c r="A8331">
        <v>8330</v>
      </c>
      <c r="B8331" s="119">
        <v>0.84184321495706937</v>
      </c>
    </row>
    <row r="8332" spans="1:2">
      <c r="A8332">
        <v>8331</v>
      </c>
      <c r="B8332" s="119">
        <v>0.28628765940151396</v>
      </c>
    </row>
    <row r="8333" spans="1:2">
      <c r="A8333">
        <v>8332</v>
      </c>
      <c r="B8333" s="119">
        <v>0.61962099273484728</v>
      </c>
    </row>
    <row r="8334" spans="1:2">
      <c r="A8334">
        <v>8333</v>
      </c>
      <c r="B8334" s="119">
        <v>0.95295432606818054</v>
      </c>
    </row>
    <row r="8335" spans="1:2">
      <c r="A8335">
        <v>8334</v>
      </c>
      <c r="B8335" s="119">
        <v>0.10110247421632881</v>
      </c>
    </row>
    <row r="8336" spans="1:2">
      <c r="A8336">
        <v>8335</v>
      </c>
      <c r="B8336" s="119">
        <v>0.4344358075496621</v>
      </c>
    </row>
    <row r="8337" spans="1:2">
      <c r="A8337">
        <v>8336</v>
      </c>
      <c r="B8337" s="119">
        <v>0.76776914088299542</v>
      </c>
    </row>
    <row r="8338" spans="1:2">
      <c r="A8338">
        <v>8337</v>
      </c>
      <c r="B8338" s="119">
        <v>0.21221358532743992</v>
      </c>
    </row>
    <row r="8339" spans="1:2">
      <c r="A8339">
        <v>8338</v>
      </c>
      <c r="B8339" s="119">
        <v>0.54554691866077321</v>
      </c>
    </row>
    <row r="8340" spans="1:2">
      <c r="A8340">
        <v>8339</v>
      </c>
      <c r="B8340" s="119">
        <v>0.87888025199410647</v>
      </c>
    </row>
    <row r="8341" spans="1:2">
      <c r="A8341">
        <v>8340</v>
      </c>
      <c r="B8341" s="119">
        <v>0.323324696438551</v>
      </c>
    </row>
    <row r="8342" spans="1:2">
      <c r="A8342">
        <v>8341</v>
      </c>
      <c r="B8342" s="119">
        <v>0.65665802977188437</v>
      </c>
    </row>
    <row r="8343" spans="1:2">
      <c r="A8343">
        <v>8342</v>
      </c>
      <c r="B8343" s="119">
        <v>0.98999136310521763</v>
      </c>
    </row>
    <row r="8344" spans="1:2">
      <c r="A8344">
        <v>8343</v>
      </c>
      <c r="B8344" s="119">
        <v>6.4522684550119402E-3</v>
      </c>
    </row>
    <row r="8345" spans="1:2">
      <c r="A8345">
        <v>8344</v>
      </c>
      <c r="B8345" s="119">
        <v>0.33978560178834522</v>
      </c>
    </row>
    <row r="8346" spans="1:2">
      <c r="A8346">
        <v>8345</v>
      </c>
      <c r="B8346" s="119">
        <v>0.67311893512167853</v>
      </c>
    </row>
    <row r="8347" spans="1:2">
      <c r="A8347">
        <v>8346</v>
      </c>
      <c r="B8347" s="119">
        <v>0.11756337956612305</v>
      </c>
    </row>
    <row r="8348" spans="1:2">
      <c r="A8348">
        <v>8347</v>
      </c>
      <c r="B8348" s="119">
        <v>0.45089671289945632</v>
      </c>
    </row>
    <row r="8349" spans="1:2">
      <c r="A8349">
        <v>8348</v>
      </c>
      <c r="B8349" s="119">
        <v>0.78423004623278958</v>
      </c>
    </row>
    <row r="8350" spans="1:2">
      <c r="A8350">
        <v>8349</v>
      </c>
      <c r="B8350" s="119">
        <v>0.22867449067723417</v>
      </c>
    </row>
    <row r="8351" spans="1:2">
      <c r="A8351">
        <v>8350</v>
      </c>
      <c r="B8351" s="119">
        <v>0.56200782401056748</v>
      </c>
    </row>
    <row r="8352" spans="1:2">
      <c r="A8352">
        <v>8351</v>
      </c>
      <c r="B8352" s="119">
        <v>0.89534115734390074</v>
      </c>
    </row>
    <row r="8353" spans="1:2">
      <c r="A8353">
        <v>8352</v>
      </c>
      <c r="B8353" s="119">
        <v>4.348930549204897E-2</v>
      </c>
    </row>
    <row r="8354" spans="1:2">
      <c r="A8354">
        <v>8353</v>
      </c>
      <c r="B8354" s="119">
        <v>0.37682263882538225</v>
      </c>
    </row>
    <row r="8355" spans="1:2">
      <c r="A8355">
        <v>8354</v>
      </c>
      <c r="B8355" s="119">
        <v>0.71015597215871562</v>
      </c>
    </row>
    <row r="8356" spans="1:2">
      <c r="A8356">
        <v>8355</v>
      </c>
      <c r="B8356" s="119">
        <v>0.1546004166031601</v>
      </c>
    </row>
    <row r="8357" spans="1:2">
      <c r="A8357">
        <v>8356</v>
      </c>
      <c r="B8357" s="119">
        <v>0.48793374993649336</v>
      </c>
    </row>
    <row r="8358" spans="1:2">
      <c r="A8358">
        <v>8357</v>
      </c>
      <c r="B8358" s="119">
        <v>0.82126708326982656</v>
      </c>
    </row>
    <row r="8359" spans="1:2">
      <c r="A8359">
        <v>8358</v>
      </c>
      <c r="B8359" s="119">
        <v>0.26571152771427115</v>
      </c>
    </row>
    <row r="8360" spans="1:2">
      <c r="A8360">
        <v>8359</v>
      </c>
      <c r="B8360" s="119">
        <v>0.59904486104760446</v>
      </c>
    </row>
    <row r="8361" spans="1:2">
      <c r="A8361">
        <v>8360</v>
      </c>
      <c r="B8361" s="119">
        <v>0.93237819438093772</v>
      </c>
    </row>
    <row r="8362" spans="1:2">
      <c r="A8362">
        <v>8361</v>
      </c>
      <c r="B8362" s="119">
        <v>8.0526342529086012E-2</v>
      </c>
    </row>
    <row r="8363" spans="1:2">
      <c r="A8363">
        <v>8362</v>
      </c>
      <c r="B8363" s="119">
        <v>0.41385967586241929</v>
      </c>
    </row>
    <row r="8364" spans="1:2">
      <c r="A8364">
        <v>8363</v>
      </c>
      <c r="B8364" s="119">
        <v>0.7471930091957526</v>
      </c>
    </row>
    <row r="8365" spans="1:2">
      <c r="A8365">
        <v>8364</v>
      </c>
      <c r="B8365" s="119">
        <v>0.19163745364019713</v>
      </c>
    </row>
    <row r="8366" spans="1:2">
      <c r="A8366">
        <v>8365</v>
      </c>
      <c r="B8366" s="119">
        <v>0.52497078697353039</v>
      </c>
    </row>
    <row r="8367" spans="1:2">
      <c r="A8367">
        <v>8366</v>
      </c>
      <c r="B8367" s="119">
        <v>0.85830412030686365</v>
      </c>
    </row>
    <row r="8368" spans="1:2">
      <c r="A8368">
        <v>8367</v>
      </c>
      <c r="B8368" s="119">
        <v>0.30274856475130818</v>
      </c>
    </row>
    <row r="8369" spans="1:2">
      <c r="A8369">
        <v>8368</v>
      </c>
      <c r="B8369" s="119">
        <v>0.63608189808464155</v>
      </c>
    </row>
    <row r="8370" spans="1:2">
      <c r="A8370">
        <v>8369</v>
      </c>
      <c r="B8370" s="119">
        <v>0.96941523141797481</v>
      </c>
    </row>
    <row r="8371" spans="1:2">
      <c r="A8371">
        <v>8370</v>
      </c>
      <c r="B8371" s="119">
        <v>1.8797947467357617E-2</v>
      </c>
    </row>
    <row r="8372" spans="1:2">
      <c r="A8372">
        <v>8371</v>
      </c>
      <c r="B8372" s="119">
        <v>0.35213128080069089</v>
      </c>
    </row>
    <row r="8373" spans="1:2">
      <c r="A8373">
        <v>8372</v>
      </c>
      <c r="B8373" s="119">
        <v>0.68546461413402415</v>
      </c>
    </row>
    <row r="8374" spans="1:2">
      <c r="A8374">
        <v>8373</v>
      </c>
      <c r="B8374" s="119">
        <v>0.12990905857846874</v>
      </c>
    </row>
    <row r="8375" spans="1:2">
      <c r="A8375">
        <v>8374</v>
      </c>
      <c r="B8375" s="119">
        <v>0.463242391911802</v>
      </c>
    </row>
    <row r="8376" spans="1:2">
      <c r="A8376">
        <v>8375</v>
      </c>
      <c r="B8376" s="119">
        <v>0.79657572524513531</v>
      </c>
    </row>
    <row r="8377" spans="1:2">
      <c r="A8377">
        <v>8376</v>
      </c>
      <c r="B8377" s="119">
        <v>0.24102016968957984</v>
      </c>
    </row>
    <row r="8378" spans="1:2">
      <c r="A8378">
        <v>8377</v>
      </c>
      <c r="B8378" s="119">
        <v>0.57435350302291321</v>
      </c>
    </row>
    <row r="8379" spans="1:2">
      <c r="A8379">
        <v>8378</v>
      </c>
      <c r="B8379" s="119">
        <v>0.90768683635624647</v>
      </c>
    </row>
    <row r="8380" spans="1:2">
      <c r="A8380">
        <v>8379</v>
      </c>
      <c r="B8380" s="119">
        <v>5.5834984504394648E-2</v>
      </c>
    </row>
    <row r="8381" spans="1:2">
      <c r="A8381">
        <v>8380</v>
      </c>
      <c r="B8381" s="119">
        <v>0.38916831783772793</v>
      </c>
    </row>
    <row r="8382" spans="1:2">
      <c r="A8382">
        <v>8381</v>
      </c>
      <c r="B8382" s="119">
        <v>0.72250165117106135</v>
      </c>
    </row>
    <row r="8383" spans="1:2">
      <c r="A8383">
        <v>8382</v>
      </c>
      <c r="B8383" s="119">
        <v>0.16694609561550577</v>
      </c>
    </row>
    <row r="8384" spans="1:2">
      <c r="A8384">
        <v>8383</v>
      </c>
      <c r="B8384" s="119">
        <v>0.50027942894883903</v>
      </c>
    </row>
    <row r="8385" spans="1:2">
      <c r="A8385">
        <v>8384</v>
      </c>
      <c r="B8385" s="119">
        <v>0.83361276228217229</v>
      </c>
    </row>
    <row r="8386" spans="1:2">
      <c r="A8386">
        <v>8385</v>
      </c>
      <c r="B8386" s="119">
        <v>0.27805720672661682</v>
      </c>
    </row>
    <row r="8387" spans="1:2">
      <c r="A8387">
        <v>8386</v>
      </c>
      <c r="B8387" s="119">
        <v>0.61139054005995019</v>
      </c>
    </row>
    <row r="8388" spans="1:2">
      <c r="A8388">
        <v>8387</v>
      </c>
      <c r="B8388" s="119">
        <v>0.94472387339328345</v>
      </c>
    </row>
    <row r="8389" spans="1:2">
      <c r="A8389">
        <v>8388</v>
      </c>
      <c r="B8389" s="119">
        <v>9.287202154143169E-2</v>
      </c>
    </row>
    <row r="8390" spans="1:2">
      <c r="A8390">
        <v>8389</v>
      </c>
      <c r="B8390" s="119">
        <v>0.42620535487476496</v>
      </c>
    </row>
    <row r="8391" spans="1:2">
      <c r="A8391">
        <v>8390</v>
      </c>
      <c r="B8391" s="119">
        <v>0.75953868820809833</v>
      </c>
    </row>
    <row r="8392" spans="1:2">
      <c r="A8392">
        <v>8391</v>
      </c>
      <c r="B8392" s="119">
        <v>0.20398313265254281</v>
      </c>
    </row>
    <row r="8393" spans="1:2">
      <c r="A8393">
        <v>8392</v>
      </c>
      <c r="B8393" s="119">
        <v>0.53731646598587601</v>
      </c>
    </row>
    <row r="8394" spans="1:2">
      <c r="A8394">
        <v>8393</v>
      </c>
      <c r="B8394" s="119">
        <v>0.87064979931920927</v>
      </c>
    </row>
    <row r="8395" spans="1:2">
      <c r="A8395">
        <v>8394</v>
      </c>
      <c r="B8395" s="119">
        <v>0.31509424376365386</v>
      </c>
    </row>
    <row r="8396" spans="1:2">
      <c r="A8396">
        <v>8395</v>
      </c>
      <c r="B8396" s="119">
        <v>0.64842757709698717</v>
      </c>
    </row>
    <row r="8397" spans="1:2">
      <c r="A8397">
        <v>8396</v>
      </c>
      <c r="B8397" s="119">
        <v>0.98176091043032043</v>
      </c>
    </row>
    <row r="8398" spans="1:2">
      <c r="A8398">
        <v>8397</v>
      </c>
      <c r="B8398" s="119">
        <v>3.1143626479703295E-2</v>
      </c>
    </row>
    <row r="8399" spans="1:2">
      <c r="A8399">
        <v>8398</v>
      </c>
      <c r="B8399" s="119">
        <v>0.36447695981303657</v>
      </c>
    </row>
    <row r="8400" spans="1:2">
      <c r="A8400">
        <v>8399</v>
      </c>
      <c r="B8400" s="119">
        <v>0.69781029314636989</v>
      </c>
    </row>
    <row r="8401" spans="1:2">
      <c r="A8401">
        <v>8400</v>
      </c>
      <c r="B8401" s="119">
        <v>0.14225473759081442</v>
      </c>
    </row>
    <row r="8402" spans="1:2">
      <c r="A8402">
        <v>8401</v>
      </c>
      <c r="B8402" s="119">
        <v>0.47558807092414768</v>
      </c>
    </row>
    <row r="8403" spans="1:2">
      <c r="A8403">
        <v>8402</v>
      </c>
      <c r="B8403" s="119">
        <v>0.80892140425748094</v>
      </c>
    </row>
    <row r="8404" spans="1:2">
      <c r="A8404">
        <v>8403</v>
      </c>
      <c r="B8404" s="119">
        <v>0.25336584870192547</v>
      </c>
    </row>
    <row r="8405" spans="1:2">
      <c r="A8405">
        <v>8404</v>
      </c>
      <c r="B8405" s="119">
        <v>0.58669918203525884</v>
      </c>
    </row>
    <row r="8406" spans="1:2">
      <c r="A8406">
        <v>8405</v>
      </c>
      <c r="B8406" s="119">
        <v>0.9200325153685921</v>
      </c>
    </row>
    <row r="8407" spans="1:2">
      <c r="A8407">
        <v>8406</v>
      </c>
      <c r="B8407" s="119">
        <v>6.8180663516740334E-2</v>
      </c>
    </row>
    <row r="8408" spans="1:2">
      <c r="A8408">
        <v>8407</v>
      </c>
      <c r="B8408" s="119">
        <v>0.40151399685007361</v>
      </c>
    </row>
    <row r="8409" spans="1:2">
      <c r="A8409">
        <v>8408</v>
      </c>
      <c r="B8409" s="119">
        <v>0.73484733018340698</v>
      </c>
    </row>
    <row r="8410" spans="1:2">
      <c r="A8410">
        <v>8409</v>
      </c>
      <c r="B8410" s="119">
        <v>0.17929177462785145</v>
      </c>
    </row>
    <row r="8411" spans="1:2">
      <c r="A8411">
        <v>8410</v>
      </c>
      <c r="B8411" s="119">
        <v>0.51262510796118477</v>
      </c>
    </row>
    <row r="8412" spans="1:2">
      <c r="A8412">
        <v>8411</v>
      </c>
      <c r="B8412" s="119">
        <v>0.84595844129451792</v>
      </c>
    </row>
    <row r="8413" spans="1:2">
      <c r="A8413">
        <v>8412</v>
      </c>
      <c r="B8413" s="119">
        <v>0.2904028857389625</v>
      </c>
    </row>
    <row r="8414" spans="1:2">
      <c r="A8414">
        <v>8413</v>
      </c>
      <c r="B8414" s="119">
        <v>0.62373621907229582</v>
      </c>
    </row>
    <row r="8415" spans="1:2">
      <c r="A8415">
        <v>8414</v>
      </c>
      <c r="B8415" s="119">
        <v>0.95706955240562908</v>
      </c>
    </row>
    <row r="8416" spans="1:2">
      <c r="A8416">
        <v>8415</v>
      </c>
      <c r="B8416" s="119">
        <v>0.10521770055377737</v>
      </c>
    </row>
    <row r="8417" spans="1:2">
      <c r="A8417">
        <v>8416</v>
      </c>
      <c r="B8417" s="119">
        <v>0.43855103388711064</v>
      </c>
    </row>
    <row r="8418" spans="1:2">
      <c r="A8418">
        <v>8417</v>
      </c>
      <c r="B8418" s="119">
        <v>0.77188436722044396</v>
      </c>
    </row>
    <row r="8419" spans="1:2">
      <c r="A8419">
        <v>8418</v>
      </c>
      <c r="B8419" s="119">
        <v>0.21632881166488849</v>
      </c>
    </row>
    <row r="8420" spans="1:2">
      <c r="A8420">
        <v>8419</v>
      </c>
      <c r="B8420" s="119">
        <v>0.54966214499822175</v>
      </c>
    </row>
    <row r="8421" spans="1:2">
      <c r="A8421">
        <v>8420</v>
      </c>
      <c r="B8421" s="119">
        <v>0.88299547833155501</v>
      </c>
    </row>
    <row r="8422" spans="1:2">
      <c r="A8422">
        <v>8421</v>
      </c>
      <c r="B8422" s="119">
        <v>0.32743992277599954</v>
      </c>
    </row>
    <row r="8423" spans="1:2">
      <c r="A8423">
        <v>8422</v>
      </c>
      <c r="B8423" s="119">
        <v>0.66077325610933291</v>
      </c>
    </row>
    <row r="8424" spans="1:2">
      <c r="A8424">
        <v>8423</v>
      </c>
      <c r="B8424" s="119">
        <v>0.99410658944266617</v>
      </c>
    </row>
    <row r="8425" spans="1:2">
      <c r="A8425">
        <v>8424</v>
      </c>
      <c r="B8425" s="119">
        <v>1.05674947924605E-2</v>
      </c>
    </row>
    <row r="8426" spans="1:2">
      <c r="A8426">
        <v>8425</v>
      </c>
      <c r="B8426" s="119">
        <v>0.34390082812579381</v>
      </c>
    </row>
    <row r="8427" spans="1:2">
      <c r="A8427">
        <v>8426</v>
      </c>
      <c r="B8427" s="119">
        <v>0.67723416145912707</v>
      </c>
    </row>
    <row r="8428" spans="1:2">
      <c r="A8428">
        <v>8427</v>
      </c>
      <c r="B8428" s="119">
        <v>0.12167860590357162</v>
      </c>
    </row>
    <row r="8429" spans="1:2">
      <c r="A8429">
        <v>8428</v>
      </c>
      <c r="B8429" s="119">
        <v>0.45501193923690492</v>
      </c>
    </row>
    <row r="8430" spans="1:2">
      <c r="A8430">
        <v>8429</v>
      </c>
      <c r="B8430" s="119">
        <v>0.78834527257023812</v>
      </c>
    </row>
    <row r="8431" spans="1:2">
      <c r="A8431">
        <v>8430</v>
      </c>
      <c r="B8431" s="119">
        <v>0.23278971701468271</v>
      </c>
    </row>
    <row r="8432" spans="1:2">
      <c r="A8432">
        <v>8431</v>
      </c>
      <c r="B8432" s="119">
        <v>0.56612305034801602</v>
      </c>
    </row>
    <row r="8433" spans="1:2">
      <c r="A8433">
        <v>8432</v>
      </c>
      <c r="B8433" s="119">
        <v>0.89945638368134928</v>
      </c>
    </row>
    <row r="8434" spans="1:2">
      <c r="A8434">
        <v>8433</v>
      </c>
      <c r="B8434" s="119">
        <v>4.7604531829497532E-2</v>
      </c>
    </row>
    <row r="8435" spans="1:2">
      <c r="A8435">
        <v>8434</v>
      </c>
      <c r="B8435" s="119">
        <v>0.38093786516283085</v>
      </c>
    </row>
    <row r="8436" spans="1:2">
      <c r="A8436">
        <v>8435</v>
      </c>
      <c r="B8436" s="119">
        <v>0.71427119849616416</v>
      </c>
    </row>
    <row r="8437" spans="1:2">
      <c r="A8437">
        <v>8436</v>
      </c>
      <c r="B8437" s="119">
        <v>0.15871564294060864</v>
      </c>
    </row>
    <row r="8438" spans="1:2">
      <c r="A8438">
        <v>8437</v>
      </c>
      <c r="B8438" s="119">
        <v>0.49204897627394195</v>
      </c>
    </row>
    <row r="8439" spans="1:2">
      <c r="A8439">
        <v>8438</v>
      </c>
      <c r="B8439" s="119">
        <v>0.8253823096072751</v>
      </c>
    </row>
    <row r="8440" spans="1:2">
      <c r="A8440">
        <v>8439</v>
      </c>
      <c r="B8440" s="119">
        <v>0.26982675405171974</v>
      </c>
    </row>
    <row r="8441" spans="1:2">
      <c r="A8441">
        <v>8440</v>
      </c>
      <c r="B8441" s="119">
        <v>0.603160087385053</v>
      </c>
    </row>
    <row r="8442" spans="1:2">
      <c r="A8442">
        <v>8441</v>
      </c>
      <c r="B8442" s="119">
        <v>0.93649342071838626</v>
      </c>
    </row>
    <row r="8443" spans="1:2">
      <c r="A8443">
        <v>8442</v>
      </c>
      <c r="B8443" s="119">
        <v>8.4641568866534581E-2</v>
      </c>
    </row>
    <row r="8444" spans="1:2">
      <c r="A8444">
        <v>8443</v>
      </c>
      <c r="B8444" s="119">
        <v>0.41797490219986788</v>
      </c>
    </row>
    <row r="8445" spans="1:2">
      <c r="A8445">
        <v>8444</v>
      </c>
      <c r="B8445" s="119">
        <v>0.75130823553320114</v>
      </c>
    </row>
    <row r="8446" spans="1:2">
      <c r="A8446">
        <v>8445</v>
      </c>
      <c r="B8446" s="119">
        <v>0.19575267997764567</v>
      </c>
    </row>
    <row r="8447" spans="1:2">
      <c r="A8447">
        <v>8446</v>
      </c>
      <c r="B8447" s="119">
        <v>0.52908601331097893</v>
      </c>
    </row>
    <row r="8448" spans="1:2">
      <c r="A8448">
        <v>8447</v>
      </c>
      <c r="B8448" s="119">
        <v>0.86241934664431219</v>
      </c>
    </row>
    <row r="8449" spans="1:2">
      <c r="A8449">
        <v>8448</v>
      </c>
      <c r="B8449" s="119">
        <v>0.30686379108875678</v>
      </c>
    </row>
    <row r="8450" spans="1:2">
      <c r="A8450">
        <v>8449</v>
      </c>
      <c r="B8450" s="119">
        <v>0.64019712442209009</v>
      </c>
    </row>
    <row r="8451" spans="1:2">
      <c r="A8451">
        <v>8450</v>
      </c>
      <c r="B8451" s="119">
        <v>0.97353045775542335</v>
      </c>
    </row>
    <row r="8452" spans="1:2">
      <c r="A8452">
        <v>8451</v>
      </c>
      <c r="B8452" s="119">
        <v>2.2913173804806175E-2</v>
      </c>
    </row>
    <row r="8453" spans="1:2">
      <c r="A8453">
        <v>8452</v>
      </c>
      <c r="B8453" s="119">
        <v>0.35624650713813949</v>
      </c>
    </row>
    <row r="8454" spans="1:2">
      <c r="A8454">
        <v>8453</v>
      </c>
      <c r="B8454" s="119">
        <v>0.68957984047147269</v>
      </c>
    </row>
    <row r="8455" spans="1:2">
      <c r="A8455">
        <v>8454</v>
      </c>
      <c r="B8455" s="119">
        <v>0.13402428491591728</v>
      </c>
    </row>
    <row r="8456" spans="1:2">
      <c r="A8456">
        <v>8455</v>
      </c>
      <c r="B8456" s="119">
        <v>0.46735761824925059</v>
      </c>
    </row>
    <row r="8457" spans="1:2">
      <c r="A8457">
        <v>8456</v>
      </c>
      <c r="B8457" s="119">
        <v>0.80069095158258385</v>
      </c>
    </row>
    <row r="8458" spans="1:2">
      <c r="A8458">
        <v>8457</v>
      </c>
      <c r="B8458" s="119">
        <v>0.24513539602702838</v>
      </c>
    </row>
    <row r="8459" spans="1:2">
      <c r="A8459">
        <v>8458</v>
      </c>
      <c r="B8459" s="119">
        <v>0.57846872936036176</v>
      </c>
    </row>
    <row r="8460" spans="1:2">
      <c r="A8460">
        <v>8459</v>
      </c>
      <c r="B8460" s="119">
        <v>0.91180206269369501</v>
      </c>
    </row>
    <row r="8461" spans="1:2">
      <c r="A8461">
        <v>8460</v>
      </c>
      <c r="B8461" s="119">
        <v>5.995021084184321E-2</v>
      </c>
    </row>
    <row r="8462" spans="1:2">
      <c r="A8462">
        <v>8461</v>
      </c>
      <c r="B8462" s="119">
        <v>0.39328354417517652</v>
      </c>
    </row>
    <row r="8463" spans="1:2">
      <c r="A8463">
        <v>8462</v>
      </c>
      <c r="B8463" s="119">
        <v>0.7266168775085099</v>
      </c>
    </row>
    <row r="8464" spans="1:2">
      <c r="A8464">
        <v>8463</v>
      </c>
      <c r="B8464" s="119">
        <v>0.17106132195295431</v>
      </c>
    </row>
    <row r="8465" spans="1:2">
      <c r="A8465">
        <v>8464</v>
      </c>
      <c r="B8465" s="119">
        <v>0.50439465528628757</v>
      </c>
    </row>
    <row r="8466" spans="1:2">
      <c r="A8466">
        <v>8465</v>
      </c>
      <c r="B8466" s="119">
        <v>0.83772798861962083</v>
      </c>
    </row>
    <row r="8467" spans="1:2">
      <c r="A8467">
        <v>8466</v>
      </c>
      <c r="B8467" s="119">
        <v>0.28217243306406542</v>
      </c>
    </row>
    <row r="8468" spans="1:2">
      <c r="A8468">
        <v>8467</v>
      </c>
      <c r="B8468" s="119">
        <v>0.61550576639739873</v>
      </c>
    </row>
    <row r="8469" spans="1:2">
      <c r="A8469">
        <v>8468</v>
      </c>
      <c r="B8469" s="119">
        <v>0.94883909973073199</v>
      </c>
    </row>
    <row r="8470" spans="1:2">
      <c r="A8470">
        <v>8469</v>
      </c>
      <c r="B8470" s="119">
        <v>9.6987247878880259E-2</v>
      </c>
    </row>
    <row r="8471" spans="1:2">
      <c r="A8471">
        <v>8470</v>
      </c>
      <c r="B8471" s="119">
        <v>0.43032058121221356</v>
      </c>
    </row>
    <row r="8472" spans="1:2">
      <c r="A8472">
        <v>8471</v>
      </c>
      <c r="B8472" s="119">
        <v>0.76365391454554687</v>
      </c>
    </row>
    <row r="8473" spans="1:2">
      <c r="A8473">
        <v>8472</v>
      </c>
      <c r="B8473" s="119">
        <v>0.20809835898999135</v>
      </c>
    </row>
    <row r="8474" spans="1:2">
      <c r="A8474">
        <v>8473</v>
      </c>
      <c r="B8474" s="119">
        <v>0.54143169232332455</v>
      </c>
    </row>
    <row r="8475" spans="1:2">
      <c r="A8475">
        <v>8474</v>
      </c>
      <c r="B8475" s="119">
        <v>0.87476502565665781</v>
      </c>
    </row>
    <row r="8476" spans="1:2">
      <c r="A8476">
        <v>8475</v>
      </c>
      <c r="B8476" s="119">
        <v>0.31920947010110245</v>
      </c>
    </row>
    <row r="8477" spans="1:2">
      <c r="A8477">
        <v>8476</v>
      </c>
      <c r="B8477" s="119">
        <v>0.65254280343443571</v>
      </c>
    </row>
    <row r="8478" spans="1:2">
      <c r="A8478">
        <v>8477</v>
      </c>
      <c r="B8478" s="119">
        <v>0.98587613676776897</v>
      </c>
    </row>
    <row r="8479" spans="1:2">
      <c r="A8479">
        <v>8478</v>
      </c>
      <c r="B8479" s="119">
        <v>3.5258852817151853E-2</v>
      </c>
    </row>
    <row r="8480" spans="1:2">
      <c r="A8480">
        <v>8479</v>
      </c>
      <c r="B8480" s="119">
        <v>0.36859218615048517</v>
      </c>
    </row>
    <row r="8481" spans="1:2">
      <c r="A8481">
        <v>8480</v>
      </c>
      <c r="B8481" s="119">
        <v>0.70192551948381843</v>
      </c>
    </row>
    <row r="8482" spans="1:2">
      <c r="A8482">
        <v>8481</v>
      </c>
      <c r="B8482" s="119">
        <v>0.14636996392826296</v>
      </c>
    </row>
    <row r="8483" spans="1:2">
      <c r="A8483">
        <v>8482</v>
      </c>
      <c r="B8483" s="119">
        <v>0.47970329726159627</v>
      </c>
    </row>
    <row r="8484" spans="1:2">
      <c r="A8484">
        <v>8483</v>
      </c>
      <c r="B8484" s="119">
        <v>0.81303663059492948</v>
      </c>
    </row>
    <row r="8485" spans="1:2">
      <c r="A8485">
        <v>8484</v>
      </c>
      <c r="B8485" s="119">
        <v>0.25748107503937406</v>
      </c>
    </row>
    <row r="8486" spans="1:2">
      <c r="A8486">
        <v>8485</v>
      </c>
      <c r="B8486" s="119">
        <v>0.59081440837270738</v>
      </c>
    </row>
    <row r="8487" spans="1:2">
      <c r="A8487">
        <v>8486</v>
      </c>
      <c r="B8487" s="119">
        <v>0.92414774170604064</v>
      </c>
    </row>
    <row r="8488" spans="1:2">
      <c r="A8488">
        <v>8487</v>
      </c>
      <c r="B8488" s="119">
        <v>7.2295889854188902E-2</v>
      </c>
    </row>
    <row r="8489" spans="1:2">
      <c r="A8489">
        <v>8488</v>
      </c>
      <c r="B8489" s="119">
        <v>0.4056292231875222</v>
      </c>
    </row>
    <row r="8490" spans="1:2">
      <c r="A8490">
        <v>8489</v>
      </c>
      <c r="B8490" s="119">
        <v>0.73896255652085552</v>
      </c>
    </row>
    <row r="8491" spans="1:2">
      <c r="A8491">
        <v>8490</v>
      </c>
      <c r="B8491" s="119">
        <v>0.18340700096529999</v>
      </c>
    </row>
    <row r="8492" spans="1:2">
      <c r="A8492">
        <v>8491</v>
      </c>
      <c r="B8492" s="119">
        <v>0.51674033429863331</v>
      </c>
    </row>
    <row r="8493" spans="1:2">
      <c r="A8493">
        <v>8492</v>
      </c>
      <c r="B8493" s="119">
        <v>0.85007366763196646</v>
      </c>
    </row>
    <row r="8494" spans="1:2">
      <c r="A8494">
        <v>8493</v>
      </c>
      <c r="B8494" s="119">
        <v>0.2945181120764111</v>
      </c>
    </row>
    <row r="8495" spans="1:2">
      <c r="A8495">
        <v>8494</v>
      </c>
      <c r="B8495" s="119">
        <v>0.62785144540974436</v>
      </c>
    </row>
    <row r="8496" spans="1:2">
      <c r="A8496">
        <v>8495</v>
      </c>
      <c r="B8496" s="119">
        <v>0.96118477874307762</v>
      </c>
    </row>
    <row r="8497" spans="1:2">
      <c r="A8497">
        <v>8496</v>
      </c>
      <c r="B8497" s="119">
        <v>0.10933292689122594</v>
      </c>
    </row>
    <row r="8498" spans="1:2">
      <c r="A8498">
        <v>8497</v>
      </c>
      <c r="B8498" s="119">
        <v>0.44266626022455924</v>
      </c>
    </row>
    <row r="8499" spans="1:2">
      <c r="A8499">
        <v>8498</v>
      </c>
      <c r="B8499" s="119">
        <v>0.7759995935578925</v>
      </c>
    </row>
    <row r="8500" spans="1:2">
      <c r="A8500">
        <v>8499</v>
      </c>
      <c r="B8500" s="119">
        <v>0.22044403800233703</v>
      </c>
    </row>
    <row r="8501" spans="1:2">
      <c r="A8501">
        <v>8500</v>
      </c>
      <c r="B8501" s="119">
        <v>0.55377737133567029</v>
      </c>
    </row>
    <row r="8502" spans="1:2">
      <c r="A8502">
        <v>8501</v>
      </c>
      <c r="B8502" s="119">
        <v>0.88711070466900355</v>
      </c>
    </row>
    <row r="8503" spans="1:2">
      <c r="A8503">
        <v>8502</v>
      </c>
      <c r="B8503" s="119">
        <v>0.33155514911344813</v>
      </c>
    </row>
    <row r="8504" spans="1:2">
      <c r="A8504">
        <v>8503</v>
      </c>
      <c r="B8504" s="119">
        <v>0.66488848244678145</v>
      </c>
    </row>
    <row r="8505" spans="1:2">
      <c r="A8505">
        <v>8504</v>
      </c>
      <c r="B8505" s="119">
        <v>0.99822181578011471</v>
      </c>
    </row>
    <row r="8506" spans="1:2">
      <c r="A8506">
        <v>8505</v>
      </c>
      <c r="B8506" s="119">
        <v>3.7087842300462326E-3</v>
      </c>
    </row>
    <row r="8507" spans="1:2">
      <c r="A8507">
        <v>8506</v>
      </c>
      <c r="B8507" s="119">
        <v>0.33704211756337954</v>
      </c>
    </row>
    <row r="8508" spans="1:2">
      <c r="A8508">
        <v>8507</v>
      </c>
      <c r="B8508" s="119">
        <v>0.67037545089671291</v>
      </c>
    </row>
    <row r="8509" spans="1:2">
      <c r="A8509">
        <v>8508</v>
      </c>
      <c r="B8509" s="119">
        <v>0.11481989534115734</v>
      </c>
    </row>
    <row r="8510" spans="1:2">
      <c r="A8510">
        <v>8509</v>
      </c>
      <c r="B8510" s="119">
        <v>0.44815322867449064</v>
      </c>
    </row>
    <row r="8511" spans="1:2">
      <c r="A8511">
        <v>8510</v>
      </c>
      <c r="B8511" s="119">
        <v>0.78148656200782396</v>
      </c>
    </row>
    <row r="8512" spans="1:2">
      <c r="A8512">
        <v>8511</v>
      </c>
      <c r="B8512" s="119">
        <v>0.22593100645226843</v>
      </c>
    </row>
    <row r="8513" spans="1:2">
      <c r="A8513">
        <v>8512</v>
      </c>
      <c r="B8513" s="119">
        <v>0.55926433978560186</v>
      </c>
    </row>
    <row r="8514" spans="1:2">
      <c r="A8514">
        <v>8513</v>
      </c>
      <c r="B8514" s="119">
        <v>0.89259767311893512</v>
      </c>
    </row>
    <row r="8515" spans="1:2">
      <c r="A8515">
        <v>8514</v>
      </c>
      <c r="B8515" s="119">
        <v>4.074582126708326E-2</v>
      </c>
    </row>
    <row r="8516" spans="1:2">
      <c r="A8516">
        <v>8515</v>
      </c>
      <c r="B8516" s="119">
        <v>0.37407915460041657</v>
      </c>
    </row>
    <row r="8517" spans="1:2">
      <c r="A8517">
        <v>8516</v>
      </c>
      <c r="B8517" s="119">
        <v>0.70741248793375</v>
      </c>
    </row>
    <row r="8518" spans="1:2">
      <c r="A8518">
        <v>8517</v>
      </c>
      <c r="B8518" s="119">
        <v>0.15185693237819436</v>
      </c>
    </row>
    <row r="8519" spans="1:2">
      <c r="A8519">
        <v>8518</v>
      </c>
      <c r="B8519" s="119">
        <v>0.48519026571152768</v>
      </c>
    </row>
    <row r="8520" spans="1:2">
      <c r="A8520">
        <v>8519</v>
      </c>
      <c r="B8520" s="119">
        <v>0.81852359904486094</v>
      </c>
    </row>
    <row r="8521" spans="1:2">
      <c r="A8521">
        <v>8520</v>
      </c>
      <c r="B8521" s="119">
        <v>0.26296804348930547</v>
      </c>
    </row>
    <row r="8522" spans="1:2">
      <c r="A8522">
        <v>8521</v>
      </c>
      <c r="B8522" s="119">
        <v>0.59630137682263884</v>
      </c>
    </row>
    <row r="8523" spans="1:2">
      <c r="A8523">
        <v>8522</v>
      </c>
      <c r="B8523" s="119">
        <v>0.9296347101559721</v>
      </c>
    </row>
    <row r="8524" spans="1:2">
      <c r="A8524">
        <v>8523</v>
      </c>
      <c r="B8524" s="119">
        <v>7.7782858304120309E-2</v>
      </c>
    </row>
    <row r="8525" spans="1:2">
      <c r="A8525">
        <v>8524</v>
      </c>
      <c r="B8525" s="119">
        <v>0.41111619163745361</v>
      </c>
    </row>
    <row r="8526" spans="1:2">
      <c r="A8526">
        <v>8525</v>
      </c>
      <c r="B8526" s="119">
        <v>0.74444952497078698</v>
      </c>
    </row>
    <row r="8527" spans="1:2">
      <c r="A8527">
        <v>8526</v>
      </c>
      <c r="B8527" s="119">
        <v>0.1888939694152314</v>
      </c>
    </row>
    <row r="8528" spans="1:2">
      <c r="A8528">
        <v>8527</v>
      </c>
      <c r="B8528" s="119">
        <v>0.52222730274856477</v>
      </c>
    </row>
    <row r="8529" spans="1:2">
      <c r="A8529">
        <v>8528</v>
      </c>
      <c r="B8529" s="119">
        <v>0.85556063608189803</v>
      </c>
    </row>
    <row r="8530" spans="1:2">
      <c r="A8530">
        <v>8529</v>
      </c>
      <c r="B8530" s="119">
        <v>0.3000050805263425</v>
      </c>
    </row>
    <row r="8531" spans="1:2">
      <c r="A8531">
        <v>8530</v>
      </c>
      <c r="B8531" s="119">
        <v>0.63333841385967593</v>
      </c>
    </row>
    <row r="8532" spans="1:2">
      <c r="A8532">
        <v>8531</v>
      </c>
      <c r="B8532" s="119">
        <v>0.96667174719300919</v>
      </c>
    </row>
    <row r="8533" spans="1:2">
      <c r="A8533">
        <v>8532</v>
      </c>
      <c r="B8533" s="119">
        <v>1.605446324239191E-2</v>
      </c>
    </row>
    <row r="8534" spans="1:2">
      <c r="A8534">
        <v>8533</v>
      </c>
      <c r="B8534" s="119">
        <v>0.34938779657572522</v>
      </c>
    </row>
    <row r="8535" spans="1:2">
      <c r="A8535">
        <v>8534</v>
      </c>
      <c r="B8535" s="119">
        <v>0.68272112990905853</v>
      </c>
    </row>
    <row r="8536" spans="1:2">
      <c r="A8536">
        <v>8535</v>
      </c>
      <c r="B8536" s="119">
        <v>0.12716557435350301</v>
      </c>
    </row>
    <row r="8537" spans="1:2">
      <c r="A8537">
        <v>8536</v>
      </c>
      <c r="B8537" s="119">
        <v>0.46049890768683632</v>
      </c>
    </row>
    <row r="8538" spans="1:2">
      <c r="A8538">
        <v>8537</v>
      </c>
      <c r="B8538" s="119">
        <v>0.79383224102016969</v>
      </c>
    </row>
    <row r="8539" spans="1:2">
      <c r="A8539">
        <v>8538</v>
      </c>
      <c r="B8539" s="119">
        <v>0.23827668546461411</v>
      </c>
    </row>
    <row r="8540" spans="1:2">
      <c r="A8540">
        <v>8539</v>
      </c>
      <c r="B8540" s="119">
        <v>0.57161001879794759</v>
      </c>
    </row>
    <row r="8541" spans="1:2">
      <c r="A8541">
        <v>8540</v>
      </c>
      <c r="B8541" s="119">
        <v>0.90494335213128085</v>
      </c>
    </row>
    <row r="8542" spans="1:2">
      <c r="A8542">
        <v>8541</v>
      </c>
      <c r="B8542" s="119">
        <v>5.3091500279428938E-2</v>
      </c>
    </row>
    <row r="8543" spans="1:2">
      <c r="A8543">
        <v>8542</v>
      </c>
      <c r="B8543" s="119">
        <v>0.38642483361276225</v>
      </c>
    </row>
    <row r="8544" spans="1:2">
      <c r="A8544">
        <v>8543</v>
      </c>
      <c r="B8544" s="119">
        <v>0.71975816694609573</v>
      </c>
    </row>
    <row r="8545" spans="1:2">
      <c r="A8545">
        <v>8544</v>
      </c>
      <c r="B8545" s="119">
        <v>0.16420261139054004</v>
      </c>
    </row>
    <row r="8546" spans="1:2">
      <c r="A8546">
        <v>8545</v>
      </c>
      <c r="B8546" s="119">
        <v>0.49753594472387336</v>
      </c>
    </row>
    <row r="8547" spans="1:2">
      <c r="A8547">
        <v>8546</v>
      </c>
      <c r="B8547" s="119">
        <v>0.83086927805720667</v>
      </c>
    </row>
    <row r="8548" spans="1:2">
      <c r="A8548">
        <v>8547</v>
      </c>
      <c r="B8548" s="119">
        <v>0.27531372250165115</v>
      </c>
    </row>
    <row r="8549" spans="1:2">
      <c r="A8549">
        <v>8548</v>
      </c>
      <c r="B8549" s="119">
        <v>0.60864705583498457</v>
      </c>
    </row>
    <row r="8550" spans="1:2">
      <c r="A8550">
        <v>8549</v>
      </c>
      <c r="B8550" s="119">
        <v>0.94198038916831783</v>
      </c>
    </row>
    <row r="8551" spans="1:2">
      <c r="A8551">
        <v>8550</v>
      </c>
      <c r="B8551" s="119">
        <v>9.0128537316465987E-2</v>
      </c>
    </row>
    <row r="8552" spans="1:2">
      <c r="A8552">
        <v>8551</v>
      </c>
      <c r="B8552" s="119">
        <v>0.42346187064979929</v>
      </c>
    </row>
    <row r="8553" spans="1:2">
      <c r="A8553">
        <v>8552</v>
      </c>
      <c r="B8553" s="119">
        <v>0.75679520398313271</v>
      </c>
    </row>
    <row r="8554" spans="1:2">
      <c r="A8554">
        <v>8553</v>
      </c>
      <c r="B8554" s="119">
        <v>0.20123964842757708</v>
      </c>
    </row>
    <row r="8555" spans="1:2">
      <c r="A8555">
        <v>8554</v>
      </c>
      <c r="B8555" s="119">
        <v>0.53457298176091039</v>
      </c>
    </row>
    <row r="8556" spans="1:2">
      <c r="A8556">
        <v>8555</v>
      </c>
      <c r="B8556" s="119">
        <v>0.86790631509424365</v>
      </c>
    </row>
    <row r="8557" spans="1:2">
      <c r="A8557">
        <v>8556</v>
      </c>
      <c r="B8557" s="119">
        <v>0.31235075953868818</v>
      </c>
    </row>
    <row r="8558" spans="1:2">
      <c r="A8558">
        <v>8557</v>
      </c>
      <c r="B8558" s="119">
        <v>0.64568409287202155</v>
      </c>
    </row>
    <row r="8559" spans="1:2">
      <c r="A8559">
        <v>8558</v>
      </c>
      <c r="B8559" s="119">
        <v>0.97901742620535481</v>
      </c>
    </row>
    <row r="8560" spans="1:2">
      <c r="A8560">
        <v>8559</v>
      </c>
      <c r="B8560" s="119">
        <v>2.8400142254737588E-2</v>
      </c>
    </row>
    <row r="8561" spans="1:2">
      <c r="A8561">
        <v>8560</v>
      </c>
      <c r="B8561" s="119">
        <v>0.3617334755880709</v>
      </c>
    </row>
    <row r="8562" spans="1:2">
      <c r="A8562">
        <v>8561</v>
      </c>
      <c r="B8562" s="119">
        <v>0.69506680892140427</v>
      </c>
    </row>
    <row r="8563" spans="1:2">
      <c r="A8563">
        <v>8562</v>
      </c>
      <c r="B8563" s="119">
        <v>0.13951125336584869</v>
      </c>
    </row>
    <row r="8564" spans="1:2">
      <c r="A8564">
        <v>8563</v>
      </c>
      <c r="B8564" s="119">
        <v>0.472844586699182</v>
      </c>
    </row>
    <row r="8565" spans="1:2">
      <c r="A8565">
        <v>8564</v>
      </c>
      <c r="B8565" s="119">
        <v>0.80617792003251532</v>
      </c>
    </row>
    <row r="8566" spans="1:2">
      <c r="A8566">
        <v>8565</v>
      </c>
      <c r="B8566" s="119">
        <v>0.25062236447695979</v>
      </c>
    </row>
    <row r="8567" spans="1:2">
      <c r="A8567">
        <v>8566</v>
      </c>
      <c r="B8567" s="119">
        <v>0.58395569781029322</v>
      </c>
    </row>
    <row r="8568" spans="1:2">
      <c r="A8568">
        <v>8567</v>
      </c>
      <c r="B8568" s="119">
        <v>0.91728903114362648</v>
      </c>
    </row>
    <row r="8569" spans="1:2">
      <c r="A8569">
        <v>8568</v>
      </c>
      <c r="B8569" s="119">
        <v>6.543717929177463E-2</v>
      </c>
    </row>
    <row r="8570" spans="1:2">
      <c r="A8570">
        <v>8569</v>
      </c>
      <c r="B8570" s="119">
        <v>0.39877051262510793</v>
      </c>
    </row>
    <row r="8571" spans="1:2">
      <c r="A8571">
        <v>8570</v>
      </c>
      <c r="B8571" s="119">
        <v>0.73210384595844136</v>
      </c>
    </row>
    <row r="8572" spans="1:2">
      <c r="A8572">
        <v>8571</v>
      </c>
      <c r="B8572" s="119">
        <v>0.17654829040288572</v>
      </c>
    </row>
    <row r="8573" spans="1:2">
      <c r="A8573">
        <v>8572</v>
      </c>
      <c r="B8573" s="119">
        <v>0.50988162373621915</v>
      </c>
    </row>
    <row r="8574" spans="1:2">
      <c r="A8574">
        <v>8573</v>
      </c>
      <c r="B8574" s="119">
        <v>0.8432149570695523</v>
      </c>
    </row>
    <row r="8575" spans="1:2">
      <c r="A8575">
        <v>8574</v>
      </c>
      <c r="B8575" s="119">
        <v>0.28765940151399683</v>
      </c>
    </row>
    <row r="8576" spans="1:2">
      <c r="A8576">
        <v>8575</v>
      </c>
      <c r="B8576" s="119">
        <v>0.6209927348473302</v>
      </c>
    </row>
    <row r="8577" spans="1:2">
      <c r="A8577">
        <v>8576</v>
      </c>
      <c r="B8577" s="119">
        <v>0.95432606818066346</v>
      </c>
    </row>
    <row r="8578" spans="1:2">
      <c r="A8578">
        <v>8577</v>
      </c>
      <c r="B8578" s="119">
        <v>0.10247421632881167</v>
      </c>
    </row>
    <row r="8579" spans="1:2">
      <c r="A8579">
        <v>8578</v>
      </c>
      <c r="B8579" s="119">
        <v>0.43580754966214497</v>
      </c>
    </row>
    <row r="8580" spans="1:2">
      <c r="A8580">
        <v>8579</v>
      </c>
      <c r="B8580" s="119">
        <v>0.76914088299547834</v>
      </c>
    </row>
    <row r="8581" spans="1:2">
      <c r="A8581">
        <v>8580</v>
      </c>
      <c r="B8581" s="119">
        <v>0.21358532743992276</v>
      </c>
    </row>
    <row r="8582" spans="1:2">
      <c r="A8582">
        <v>8581</v>
      </c>
      <c r="B8582" s="119">
        <v>0.54691866077325613</v>
      </c>
    </row>
    <row r="8583" spans="1:2">
      <c r="A8583">
        <v>8582</v>
      </c>
      <c r="B8583" s="119">
        <v>0.88025199410658939</v>
      </c>
    </row>
    <row r="8584" spans="1:2">
      <c r="A8584">
        <v>8583</v>
      </c>
      <c r="B8584" s="119">
        <v>0.32469643855103386</v>
      </c>
    </row>
    <row r="8585" spans="1:2">
      <c r="A8585">
        <v>8584</v>
      </c>
      <c r="B8585" s="119">
        <v>0.65802977188436729</v>
      </c>
    </row>
    <row r="8586" spans="1:2">
      <c r="A8586">
        <v>8585</v>
      </c>
      <c r="B8586" s="119">
        <v>0.99136310521770055</v>
      </c>
    </row>
    <row r="8587" spans="1:2">
      <c r="A8587">
        <v>8586</v>
      </c>
      <c r="B8587" s="119">
        <v>7.8240105674947935E-3</v>
      </c>
    </row>
    <row r="8588" spans="1:2">
      <c r="A8588">
        <v>8587</v>
      </c>
      <c r="B8588" s="119">
        <v>0.34115734390082808</v>
      </c>
    </row>
    <row r="8589" spans="1:2">
      <c r="A8589">
        <v>8588</v>
      </c>
      <c r="B8589" s="119">
        <v>0.67449067723416145</v>
      </c>
    </row>
    <row r="8590" spans="1:2">
      <c r="A8590">
        <v>8589</v>
      </c>
      <c r="B8590" s="119">
        <v>0.1189351216786059</v>
      </c>
    </row>
    <row r="8591" spans="1:2">
      <c r="A8591">
        <v>8590</v>
      </c>
      <c r="B8591" s="119">
        <v>0.45226845501193919</v>
      </c>
    </row>
    <row r="8592" spans="1:2">
      <c r="A8592">
        <v>8591</v>
      </c>
      <c r="B8592" s="119">
        <v>0.7856017883452725</v>
      </c>
    </row>
    <row r="8593" spans="1:2">
      <c r="A8593">
        <v>8592</v>
      </c>
      <c r="B8593" s="119">
        <v>0.230046232789717</v>
      </c>
    </row>
    <row r="8594" spans="1:2">
      <c r="A8594">
        <v>8593</v>
      </c>
      <c r="B8594" s="119">
        <v>0.5633795661230504</v>
      </c>
    </row>
    <row r="8595" spans="1:2">
      <c r="A8595">
        <v>8594</v>
      </c>
      <c r="B8595" s="119">
        <v>0.89671289945638366</v>
      </c>
    </row>
    <row r="8596" spans="1:2">
      <c r="A8596">
        <v>8595</v>
      </c>
      <c r="B8596" s="119">
        <v>4.4861047604531822E-2</v>
      </c>
    </row>
    <row r="8597" spans="1:2">
      <c r="A8597">
        <v>8596</v>
      </c>
      <c r="B8597" s="119">
        <v>0.37819438093786512</v>
      </c>
    </row>
    <row r="8598" spans="1:2">
      <c r="A8598">
        <v>8597</v>
      </c>
      <c r="B8598" s="119">
        <v>0.71152771427119854</v>
      </c>
    </row>
    <row r="8599" spans="1:2">
      <c r="A8599">
        <v>8598</v>
      </c>
      <c r="B8599" s="119">
        <v>0.15597215871564293</v>
      </c>
    </row>
    <row r="8600" spans="1:2">
      <c r="A8600">
        <v>8599</v>
      </c>
      <c r="B8600" s="119">
        <v>0.48930549204897622</v>
      </c>
    </row>
    <row r="8601" spans="1:2">
      <c r="A8601">
        <v>8600</v>
      </c>
      <c r="B8601" s="119">
        <v>0.82263882538230948</v>
      </c>
    </row>
    <row r="8602" spans="1:2">
      <c r="A8602">
        <v>8601</v>
      </c>
      <c r="B8602" s="119">
        <v>0.26708326982675401</v>
      </c>
    </row>
    <row r="8603" spans="1:2">
      <c r="A8603">
        <v>8602</v>
      </c>
      <c r="B8603" s="119">
        <v>0.60041660316008738</v>
      </c>
    </row>
    <row r="8604" spans="1:2">
      <c r="A8604">
        <v>8603</v>
      </c>
      <c r="B8604" s="119">
        <v>0.93374993649342064</v>
      </c>
    </row>
    <row r="8605" spans="1:2">
      <c r="A8605">
        <v>8604</v>
      </c>
      <c r="B8605" s="119">
        <v>8.1898084641568863E-2</v>
      </c>
    </row>
    <row r="8606" spans="1:2">
      <c r="A8606">
        <v>8605</v>
      </c>
      <c r="B8606" s="119">
        <v>0.41523141797490215</v>
      </c>
    </row>
    <row r="8607" spans="1:2">
      <c r="A8607">
        <v>8606</v>
      </c>
      <c r="B8607" s="119">
        <v>0.74856475130823552</v>
      </c>
    </row>
    <row r="8608" spans="1:2">
      <c r="A8608">
        <v>8607</v>
      </c>
      <c r="B8608" s="119">
        <v>0.19300919575267997</v>
      </c>
    </row>
    <row r="8609" spans="1:2">
      <c r="A8609">
        <v>8608</v>
      </c>
      <c r="B8609" s="119">
        <v>0.52634252908601331</v>
      </c>
    </row>
    <row r="8610" spans="1:2">
      <c r="A8610">
        <v>8609</v>
      </c>
      <c r="B8610" s="119">
        <v>0.85967586241934657</v>
      </c>
    </row>
    <row r="8611" spans="1:2">
      <c r="A8611">
        <v>8610</v>
      </c>
      <c r="B8611" s="119">
        <v>0.30412030686379105</v>
      </c>
    </row>
    <row r="8612" spans="1:2">
      <c r="A8612">
        <v>8611</v>
      </c>
      <c r="B8612" s="119">
        <v>0.63745364019712447</v>
      </c>
    </row>
    <row r="8613" spans="1:2">
      <c r="A8613">
        <v>8612</v>
      </c>
      <c r="B8613" s="119">
        <v>0.97078697353045773</v>
      </c>
    </row>
    <row r="8614" spans="1:2">
      <c r="A8614">
        <v>8613</v>
      </c>
      <c r="B8614" s="119">
        <v>2.0169689579840472E-2</v>
      </c>
    </row>
    <row r="8615" spans="1:2">
      <c r="A8615">
        <v>8614</v>
      </c>
      <c r="B8615" s="119">
        <v>0.35350302291317376</v>
      </c>
    </row>
    <row r="8616" spans="1:2">
      <c r="A8616">
        <v>8615</v>
      </c>
      <c r="B8616" s="119">
        <v>0.68683635624650707</v>
      </c>
    </row>
    <row r="8617" spans="1:2">
      <c r="A8617">
        <v>8616</v>
      </c>
      <c r="B8617" s="119">
        <v>0.13128080069095158</v>
      </c>
    </row>
    <row r="8618" spans="1:2">
      <c r="A8618">
        <v>8617</v>
      </c>
      <c r="B8618" s="119">
        <v>0.46461413402428486</v>
      </c>
    </row>
    <row r="8619" spans="1:2">
      <c r="A8619">
        <v>8618</v>
      </c>
      <c r="B8619" s="119">
        <v>0.79794746735761823</v>
      </c>
    </row>
    <row r="8620" spans="1:2">
      <c r="A8620">
        <v>8619</v>
      </c>
      <c r="B8620" s="119">
        <v>0.24239191180206268</v>
      </c>
    </row>
    <row r="8621" spans="1:2">
      <c r="A8621">
        <v>8620</v>
      </c>
      <c r="B8621" s="119">
        <v>0.57572524513539614</v>
      </c>
    </row>
    <row r="8622" spans="1:2">
      <c r="A8622">
        <v>8621</v>
      </c>
      <c r="B8622" s="119">
        <v>0.90905857846872939</v>
      </c>
    </row>
    <row r="8623" spans="1:2">
      <c r="A8623">
        <v>8622</v>
      </c>
      <c r="B8623" s="119">
        <v>5.72067266168775E-2</v>
      </c>
    </row>
    <row r="8624" spans="1:2">
      <c r="A8624">
        <v>8623</v>
      </c>
      <c r="B8624" s="119">
        <v>0.39054005995021079</v>
      </c>
    </row>
    <row r="8625" spans="1:2">
      <c r="A8625">
        <v>8624</v>
      </c>
      <c r="B8625" s="119">
        <v>0.72387339328354428</v>
      </c>
    </row>
    <row r="8626" spans="1:2">
      <c r="A8626">
        <v>8625</v>
      </c>
      <c r="B8626" s="119">
        <v>0.16831783772798861</v>
      </c>
    </row>
    <row r="8627" spans="1:2">
      <c r="A8627">
        <v>8626</v>
      </c>
      <c r="B8627" s="119">
        <v>0.50165117106132195</v>
      </c>
    </row>
    <row r="8628" spans="1:2">
      <c r="A8628">
        <v>8627</v>
      </c>
      <c r="B8628" s="119">
        <v>0.83498450439465521</v>
      </c>
    </row>
    <row r="8629" spans="1:2">
      <c r="A8629">
        <v>8628</v>
      </c>
      <c r="B8629" s="119">
        <v>0.27942894883909969</v>
      </c>
    </row>
    <row r="8630" spans="1:2">
      <c r="A8630">
        <v>8629</v>
      </c>
      <c r="B8630" s="119">
        <v>0.61276228217243311</v>
      </c>
    </row>
    <row r="8631" spans="1:2">
      <c r="A8631">
        <v>8630</v>
      </c>
      <c r="B8631" s="119">
        <v>0.94609561550576637</v>
      </c>
    </row>
    <row r="8632" spans="1:2">
      <c r="A8632">
        <v>8631</v>
      </c>
      <c r="B8632" s="119">
        <v>9.4243763653914542E-2</v>
      </c>
    </row>
    <row r="8633" spans="1:2">
      <c r="A8633">
        <v>8632</v>
      </c>
      <c r="B8633" s="119">
        <v>0.42757709698724783</v>
      </c>
    </row>
    <row r="8634" spans="1:2">
      <c r="A8634">
        <v>8633</v>
      </c>
      <c r="B8634" s="119">
        <v>0.76091043032058125</v>
      </c>
    </row>
    <row r="8635" spans="1:2">
      <c r="A8635">
        <v>8634</v>
      </c>
      <c r="B8635" s="119">
        <v>0.20535487476502565</v>
      </c>
    </row>
    <row r="8636" spans="1:2">
      <c r="A8636">
        <v>8635</v>
      </c>
      <c r="B8636" s="119">
        <v>0.53868820809835893</v>
      </c>
    </row>
    <row r="8637" spans="1:2">
      <c r="A8637">
        <v>8636</v>
      </c>
      <c r="B8637" s="119">
        <v>0.87202154143169219</v>
      </c>
    </row>
    <row r="8638" spans="1:2">
      <c r="A8638">
        <v>8637</v>
      </c>
      <c r="B8638" s="119">
        <v>0.31646598587613672</v>
      </c>
    </row>
    <row r="8639" spans="1:2">
      <c r="A8639">
        <v>8638</v>
      </c>
      <c r="B8639" s="119">
        <v>0.64979931920947009</v>
      </c>
    </row>
    <row r="8640" spans="1:2">
      <c r="A8640">
        <v>8639</v>
      </c>
      <c r="B8640" s="119">
        <v>0.98313265254280335</v>
      </c>
    </row>
    <row r="8641" spans="1:2">
      <c r="A8641">
        <v>8640</v>
      </c>
      <c r="B8641" s="119">
        <v>3.2515368592186143E-2</v>
      </c>
    </row>
    <row r="8642" spans="1:2">
      <c r="A8642">
        <v>8641</v>
      </c>
      <c r="B8642" s="119">
        <v>0.36584870192551944</v>
      </c>
    </row>
    <row r="8643" spans="1:2">
      <c r="A8643">
        <v>8642</v>
      </c>
      <c r="B8643" s="119">
        <v>0.69918203525885281</v>
      </c>
    </row>
    <row r="8644" spans="1:2">
      <c r="A8644">
        <v>8643</v>
      </c>
      <c r="B8644" s="119">
        <v>0.14362647970329726</v>
      </c>
    </row>
    <row r="8645" spans="1:2">
      <c r="A8645">
        <v>8644</v>
      </c>
      <c r="B8645" s="119">
        <v>0.47695981303663054</v>
      </c>
    </row>
    <row r="8646" spans="1:2">
      <c r="A8646">
        <v>8645</v>
      </c>
      <c r="B8646" s="119">
        <v>0.81029314636996386</v>
      </c>
    </row>
    <row r="8647" spans="1:2">
      <c r="A8647">
        <v>8646</v>
      </c>
      <c r="B8647" s="119">
        <v>0.25473759081440833</v>
      </c>
    </row>
    <row r="8648" spans="1:2">
      <c r="A8648">
        <v>8647</v>
      </c>
      <c r="B8648" s="119">
        <v>0.58807092414774176</v>
      </c>
    </row>
    <row r="8649" spans="1:2">
      <c r="A8649">
        <v>8648</v>
      </c>
      <c r="B8649" s="119">
        <v>0.92140425748107502</v>
      </c>
    </row>
    <row r="8650" spans="1:2">
      <c r="A8650">
        <v>8649</v>
      </c>
      <c r="B8650" s="119">
        <v>6.9552405629223185E-2</v>
      </c>
    </row>
    <row r="8651" spans="1:2">
      <c r="A8651">
        <v>8650</v>
      </c>
      <c r="B8651" s="119">
        <v>0.40288573896255647</v>
      </c>
    </row>
    <row r="8652" spans="1:2">
      <c r="A8652">
        <v>8651</v>
      </c>
      <c r="B8652" s="119">
        <v>0.7362190722958899</v>
      </c>
    </row>
    <row r="8653" spans="1:2">
      <c r="A8653">
        <v>8652</v>
      </c>
      <c r="B8653" s="119">
        <v>0.18066351674033429</v>
      </c>
    </row>
    <row r="8654" spans="1:2">
      <c r="A8654">
        <v>8653</v>
      </c>
      <c r="B8654" s="119">
        <v>0.51399685007366769</v>
      </c>
    </row>
    <row r="8655" spans="1:2">
      <c r="A8655">
        <v>8654</v>
      </c>
      <c r="B8655" s="119">
        <v>0.84733018340700084</v>
      </c>
    </row>
    <row r="8656" spans="1:2">
      <c r="A8656">
        <v>8655</v>
      </c>
      <c r="B8656" s="119">
        <v>0.29177462785144537</v>
      </c>
    </row>
    <row r="8657" spans="1:2">
      <c r="A8657">
        <v>8656</v>
      </c>
      <c r="B8657" s="119">
        <v>0.62510796118477874</v>
      </c>
    </row>
    <row r="8658" spans="1:2">
      <c r="A8658">
        <v>8657</v>
      </c>
      <c r="B8658" s="119">
        <v>0.958441294518112</v>
      </c>
    </row>
    <row r="8659" spans="1:2">
      <c r="A8659">
        <v>8658</v>
      </c>
      <c r="B8659" s="119">
        <v>0.10658944266626022</v>
      </c>
    </row>
    <row r="8660" spans="1:2">
      <c r="A8660">
        <v>8659</v>
      </c>
      <c r="B8660" s="119">
        <v>0.43992277599959351</v>
      </c>
    </row>
    <row r="8661" spans="1:2">
      <c r="A8661">
        <v>8660</v>
      </c>
      <c r="B8661" s="119">
        <v>0.77325610933292688</v>
      </c>
    </row>
    <row r="8662" spans="1:2">
      <c r="A8662">
        <v>8661</v>
      </c>
      <c r="B8662" s="119">
        <v>0.21770055377737133</v>
      </c>
    </row>
    <row r="8663" spans="1:2">
      <c r="A8663">
        <v>8662</v>
      </c>
      <c r="B8663" s="119">
        <v>0.55103388711070467</v>
      </c>
    </row>
    <row r="8664" spans="1:2">
      <c r="A8664">
        <v>8663</v>
      </c>
      <c r="B8664" s="119">
        <v>0.88436722044403793</v>
      </c>
    </row>
    <row r="8665" spans="1:2">
      <c r="A8665">
        <v>8664</v>
      </c>
      <c r="B8665" s="119">
        <v>0.3288116648884824</v>
      </c>
    </row>
    <row r="8666" spans="1:2">
      <c r="A8666">
        <v>8665</v>
      </c>
      <c r="B8666" s="119">
        <v>0.66214499822181583</v>
      </c>
    </row>
    <row r="8667" spans="1:2">
      <c r="A8667">
        <v>8666</v>
      </c>
      <c r="B8667" s="119">
        <v>0.99547833155514909</v>
      </c>
    </row>
    <row r="8668" spans="1:2">
      <c r="A8668">
        <v>8667</v>
      </c>
      <c r="B8668" s="119">
        <v>1.1939236904943354E-2</v>
      </c>
    </row>
    <row r="8669" spans="1:2">
      <c r="A8669">
        <v>8668</v>
      </c>
      <c r="B8669" s="119">
        <v>0.34527257023827668</v>
      </c>
    </row>
    <row r="8670" spans="1:2">
      <c r="A8670">
        <v>8669</v>
      </c>
      <c r="B8670" s="119">
        <v>0.67860590357160999</v>
      </c>
    </row>
    <row r="8671" spans="1:2">
      <c r="A8671">
        <v>8670</v>
      </c>
      <c r="B8671" s="119">
        <v>0.12305034801605447</v>
      </c>
    </row>
    <row r="8672" spans="1:2">
      <c r="A8672">
        <v>8671</v>
      </c>
      <c r="B8672" s="119">
        <v>0.45638368134938778</v>
      </c>
    </row>
    <row r="8673" spans="1:2">
      <c r="A8673">
        <v>8672</v>
      </c>
      <c r="B8673" s="119">
        <v>0.78971701468272104</v>
      </c>
    </row>
    <row r="8674" spans="1:2">
      <c r="A8674">
        <v>8673</v>
      </c>
      <c r="B8674" s="119">
        <v>0.23416145912716554</v>
      </c>
    </row>
    <row r="8675" spans="1:2">
      <c r="A8675">
        <v>8674</v>
      </c>
      <c r="B8675" s="119">
        <v>0.56749479246049894</v>
      </c>
    </row>
    <row r="8676" spans="1:2">
      <c r="A8676">
        <v>8675</v>
      </c>
      <c r="B8676" s="119">
        <v>0.9008281257938322</v>
      </c>
    </row>
    <row r="8677" spans="1:2">
      <c r="A8677">
        <v>8676</v>
      </c>
      <c r="B8677" s="119">
        <v>4.8976273941980383E-2</v>
      </c>
    </row>
    <row r="8678" spans="1:2">
      <c r="A8678">
        <v>8677</v>
      </c>
      <c r="B8678" s="119">
        <v>0.38230960727531371</v>
      </c>
    </row>
    <row r="8679" spans="1:2">
      <c r="A8679">
        <v>8678</v>
      </c>
      <c r="B8679" s="119">
        <v>0.71564294060864708</v>
      </c>
    </row>
    <row r="8680" spans="1:2">
      <c r="A8680">
        <v>8679</v>
      </c>
      <c r="B8680" s="119">
        <v>0.16008738505309147</v>
      </c>
    </row>
    <row r="8681" spans="1:2">
      <c r="A8681">
        <v>8680</v>
      </c>
      <c r="B8681" s="119">
        <v>0.49342071838642482</v>
      </c>
    </row>
    <row r="8682" spans="1:2">
      <c r="A8682">
        <v>8681</v>
      </c>
      <c r="B8682" s="119">
        <v>0.82675405171975802</v>
      </c>
    </row>
    <row r="8683" spans="1:2">
      <c r="A8683">
        <v>8682</v>
      </c>
      <c r="B8683" s="119">
        <v>0.27119849616420261</v>
      </c>
    </row>
    <row r="8684" spans="1:2">
      <c r="A8684">
        <v>8683</v>
      </c>
      <c r="B8684" s="119">
        <v>0.60453182949753592</v>
      </c>
    </row>
    <row r="8685" spans="1:2">
      <c r="A8685">
        <v>8684</v>
      </c>
      <c r="B8685" s="119">
        <v>0.93786516283086918</v>
      </c>
    </row>
    <row r="8686" spans="1:2">
      <c r="A8686">
        <v>8685</v>
      </c>
      <c r="B8686" s="119">
        <v>8.6013310979017432E-2</v>
      </c>
    </row>
    <row r="8687" spans="1:2">
      <c r="A8687">
        <v>8686</v>
      </c>
      <c r="B8687" s="119">
        <v>0.41934664431235075</v>
      </c>
    </row>
    <row r="8688" spans="1:2">
      <c r="A8688">
        <v>8687</v>
      </c>
      <c r="B8688" s="119">
        <v>0.75267997764568406</v>
      </c>
    </row>
    <row r="8689" spans="1:2">
      <c r="A8689">
        <v>8688</v>
      </c>
      <c r="B8689" s="119">
        <v>0.19712442209012851</v>
      </c>
    </row>
    <row r="8690" spans="1:2">
      <c r="A8690">
        <v>8689</v>
      </c>
      <c r="B8690" s="119">
        <v>0.53045775542346185</v>
      </c>
    </row>
    <row r="8691" spans="1:2">
      <c r="A8691">
        <v>8690</v>
      </c>
      <c r="B8691" s="119">
        <v>0.86379108875679511</v>
      </c>
    </row>
    <row r="8692" spans="1:2">
      <c r="A8692">
        <v>8691</v>
      </c>
      <c r="B8692" s="119">
        <v>0.30823553320123964</v>
      </c>
    </row>
    <row r="8693" spans="1:2">
      <c r="A8693">
        <v>8692</v>
      </c>
      <c r="B8693" s="119">
        <v>0.64156886653457301</v>
      </c>
    </row>
    <row r="8694" spans="1:2">
      <c r="A8694">
        <v>8693</v>
      </c>
      <c r="B8694" s="119">
        <v>0.97490219986790627</v>
      </c>
    </row>
    <row r="8695" spans="1:2">
      <c r="A8695">
        <v>8694</v>
      </c>
      <c r="B8695" s="119">
        <v>2.428491591728903E-2</v>
      </c>
    </row>
    <row r="8696" spans="1:2">
      <c r="A8696">
        <v>8695</v>
      </c>
      <c r="B8696" s="119">
        <v>0.35761824925062236</v>
      </c>
    </row>
    <row r="8697" spans="1:2">
      <c r="A8697">
        <v>8696</v>
      </c>
      <c r="B8697" s="119">
        <v>0.69095158258395561</v>
      </c>
    </row>
    <row r="8698" spans="1:2">
      <c r="A8698">
        <v>8697</v>
      </c>
      <c r="B8698" s="119">
        <v>0.13539602702840012</v>
      </c>
    </row>
    <row r="8699" spans="1:2">
      <c r="A8699">
        <v>8698</v>
      </c>
      <c r="B8699" s="119">
        <v>0.46872936036173346</v>
      </c>
    </row>
    <row r="8700" spans="1:2">
      <c r="A8700">
        <v>8699</v>
      </c>
      <c r="B8700" s="119">
        <v>0.80206269369506678</v>
      </c>
    </row>
    <row r="8701" spans="1:2">
      <c r="A8701">
        <v>8700</v>
      </c>
      <c r="B8701" s="119">
        <v>0.24650713813951122</v>
      </c>
    </row>
    <row r="8702" spans="1:2">
      <c r="A8702">
        <v>8701</v>
      </c>
      <c r="B8702" s="119">
        <v>0.57984047147284468</v>
      </c>
    </row>
    <row r="8703" spans="1:2">
      <c r="A8703">
        <v>8702</v>
      </c>
      <c r="B8703" s="119">
        <v>0.91317380480617794</v>
      </c>
    </row>
    <row r="8704" spans="1:2">
      <c r="A8704">
        <v>8703</v>
      </c>
      <c r="B8704" s="119">
        <v>6.1321952954326062E-2</v>
      </c>
    </row>
    <row r="8705" spans="1:2">
      <c r="A8705">
        <v>8704</v>
      </c>
      <c r="B8705" s="119">
        <v>0.39465528628765939</v>
      </c>
    </row>
    <row r="8706" spans="1:2">
      <c r="A8706">
        <v>8705</v>
      </c>
      <c r="B8706" s="119">
        <v>0.72798861962099282</v>
      </c>
    </row>
    <row r="8707" spans="1:2">
      <c r="A8707">
        <v>8706</v>
      </c>
      <c r="B8707" s="119">
        <v>0.17243306406543715</v>
      </c>
    </row>
    <row r="8708" spans="1:2">
      <c r="A8708">
        <v>8707</v>
      </c>
      <c r="B8708" s="119">
        <v>0.5057663973987705</v>
      </c>
    </row>
    <row r="8709" spans="1:2">
      <c r="A8709">
        <v>8708</v>
      </c>
      <c r="B8709" s="119">
        <v>0.83909973073210375</v>
      </c>
    </row>
    <row r="8710" spans="1:2">
      <c r="A8710">
        <v>8709</v>
      </c>
      <c r="B8710" s="119">
        <v>0.28354417517654829</v>
      </c>
    </row>
    <row r="8711" spans="1:2">
      <c r="A8711">
        <v>8710</v>
      </c>
      <c r="B8711" s="119">
        <v>0.61687750850988166</v>
      </c>
    </row>
    <row r="8712" spans="1:2">
      <c r="A8712">
        <v>8711</v>
      </c>
      <c r="B8712" s="119">
        <v>0.95021084184321492</v>
      </c>
    </row>
    <row r="8713" spans="1:2">
      <c r="A8713">
        <v>8712</v>
      </c>
      <c r="B8713" s="119">
        <v>9.835898999136311E-2</v>
      </c>
    </row>
    <row r="8714" spans="1:2">
      <c r="A8714">
        <v>8713</v>
      </c>
      <c r="B8714" s="119">
        <v>0.43169232332469643</v>
      </c>
    </row>
    <row r="8715" spans="1:2">
      <c r="A8715">
        <v>8714</v>
      </c>
      <c r="B8715" s="119">
        <v>0.7650256566580298</v>
      </c>
    </row>
    <row r="8716" spans="1:2">
      <c r="A8716">
        <v>8715</v>
      </c>
      <c r="B8716" s="119">
        <v>0.20947010110247419</v>
      </c>
    </row>
    <row r="8717" spans="1:2">
      <c r="A8717">
        <v>8716</v>
      </c>
      <c r="B8717" s="119">
        <v>0.54280343443580747</v>
      </c>
    </row>
    <row r="8718" spans="1:2">
      <c r="A8718">
        <v>8717</v>
      </c>
      <c r="B8718" s="119">
        <v>0.87613676776914073</v>
      </c>
    </row>
    <row r="8719" spans="1:2">
      <c r="A8719">
        <v>8718</v>
      </c>
      <c r="B8719" s="119">
        <v>0.32058121221358532</v>
      </c>
    </row>
    <row r="8720" spans="1:2">
      <c r="A8720">
        <v>8719</v>
      </c>
      <c r="B8720" s="119">
        <v>0.65391454554691864</v>
      </c>
    </row>
    <row r="8721" spans="1:2">
      <c r="A8721">
        <v>8720</v>
      </c>
      <c r="B8721" s="119">
        <v>0.98724787888025189</v>
      </c>
    </row>
    <row r="8722" spans="1:2">
      <c r="A8722">
        <v>8721</v>
      </c>
      <c r="B8722" s="119">
        <v>3.6630594929634705E-2</v>
      </c>
    </row>
    <row r="8723" spans="1:2">
      <c r="A8723">
        <v>8722</v>
      </c>
      <c r="B8723" s="119">
        <v>0.36996392826296803</v>
      </c>
    </row>
    <row r="8724" spans="1:2">
      <c r="A8724">
        <v>8723</v>
      </c>
      <c r="B8724" s="119">
        <v>0.70329726159630135</v>
      </c>
    </row>
    <row r="8725" spans="1:2">
      <c r="A8725">
        <v>8724</v>
      </c>
      <c r="B8725" s="119">
        <v>0.1477417060407458</v>
      </c>
    </row>
    <row r="8726" spans="1:2">
      <c r="A8726">
        <v>8725</v>
      </c>
      <c r="B8726" s="119">
        <v>0.48107503937407914</v>
      </c>
    </row>
    <row r="8727" spans="1:2">
      <c r="A8727">
        <v>8726</v>
      </c>
      <c r="B8727" s="119">
        <v>0.8144083727074124</v>
      </c>
    </row>
    <row r="8728" spans="1:2">
      <c r="A8728">
        <v>8727</v>
      </c>
      <c r="B8728" s="119">
        <v>0.25885281715185693</v>
      </c>
    </row>
    <row r="8729" spans="1:2">
      <c r="A8729">
        <v>8728</v>
      </c>
      <c r="B8729" s="119">
        <v>0.5921861504851903</v>
      </c>
    </row>
    <row r="8730" spans="1:2">
      <c r="A8730">
        <v>8729</v>
      </c>
      <c r="B8730" s="119">
        <v>0.92551948381852356</v>
      </c>
    </row>
    <row r="8731" spans="1:2">
      <c r="A8731">
        <v>8730</v>
      </c>
      <c r="B8731" s="119">
        <v>7.3667631966671754E-2</v>
      </c>
    </row>
    <row r="8732" spans="1:2">
      <c r="A8732">
        <v>8731</v>
      </c>
      <c r="B8732" s="119">
        <v>0.40700096530000507</v>
      </c>
    </row>
    <row r="8733" spans="1:2">
      <c r="A8733">
        <v>8732</v>
      </c>
      <c r="B8733" s="119">
        <v>0.74033429863333844</v>
      </c>
    </row>
    <row r="8734" spans="1:2">
      <c r="A8734">
        <v>8733</v>
      </c>
      <c r="B8734" s="119">
        <v>0.18477874307778283</v>
      </c>
    </row>
    <row r="8735" spans="1:2">
      <c r="A8735">
        <v>8734</v>
      </c>
      <c r="B8735" s="119">
        <v>0.51811207641111623</v>
      </c>
    </row>
    <row r="8736" spans="1:2">
      <c r="A8736">
        <v>8735</v>
      </c>
      <c r="B8736" s="119">
        <v>0.85144540974444938</v>
      </c>
    </row>
    <row r="8737" spans="1:2">
      <c r="A8737">
        <v>8736</v>
      </c>
      <c r="B8737" s="119">
        <v>0.29588985418889396</v>
      </c>
    </row>
    <row r="8738" spans="1:2">
      <c r="A8738">
        <v>8737</v>
      </c>
      <c r="B8738" s="119">
        <v>0.62922318752222728</v>
      </c>
    </row>
    <row r="8739" spans="1:2">
      <c r="A8739">
        <v>8738</v>
      </c>
      <c r="B8739" s="119">
        <v>0.96255652085556054</v>
      </c>
    </row>
    <row r="8740" spans="1:2">
      <c r="A8740">
        <v>8739</v>
      </c>
      <c r="B8740" s="119">
        <v>0.11070466900370879</v>
      </c>
    </row>
    <row r="8741" spans="1:2">
      <c r="A8741">
        <v>8740</v>
      </c>
      <c r="B8741" s="119">
        <v>0.4440380023370421</v>
      </c>
    </row>
    <row r="8742" spans="1:2">
      <c r="A8742">
        <v>8741</v>
      </c>
      <c r="B8742" s="119">
        <v>0.77737133567037542</v>
      </c>
    </row>
    <row r="8743" spans="1:2">
      <c r="A8743">
        <v>8742</v>
      </c>
      <c r="B8743" s="119">
        <v>0.22181578011481987</v>
      </c>
    </row>
    <row r="8744" spans="1:2">
      <c r="A8744">
        <v>8743</v>
      </c>
      <c r="B8744" s="119">
        <v>0.55514911344815321</v>
      </c>
    </row>
    <row r="8745" spans="1:2">
      <c r="A8745">
        <v>8744</v>
      </c>
      <c r="B8745" s="119">
        <v>0.88848244678148647</v>
      </c>
    </row>
    <row r="8746" spans="1:2">
      <c r="A8746">
        <v>8745</v>
      </c>
      <c r="B8746" s="119">
        <v>0.332926891225931</v>
      </c>
    </row>
    <row r="8747" spans="1:2">
      <c r="A8747">
        <v>8746</v>
      </c>
      <c r="B8747" s="119">
        <v>0.66626022455926437</v>
      </c>
    </row>
    <row r="8748" spans="1:2">
      <c r="A8748">
        <v>8747</v>
      </c>
      <c r="B8748" s="119">
        <v>0.99959355789259763</v>
      </c>
    </row>
    <row r="8749" spans="1:2">
      <c r="A8749">
        <v>8748</v>
      </c>
      <c r="B8749" s="119">
        <v>2.0322105370116343E-4</v>
      </c>
    </row>
    <row r="8750" spans="1:2">
      <c r="A8750">
        <v>8749</v>
      </c>
      <c r="B8750" s="119">
        <v>0.33353655438703445</v>
      </c>
    </row>
    <row r="8751" spans="1:2">
      <c r="A8751">
        <v>8750</v>
      </c>
      <c r="B8751" s="119">
        <v>0.66686988772036782</v>
      </c>
    </row>
    <row r="8752" spans="1:2">
      <c r="A8752">
        <v>8751</v>
      </c>
      <c r="B8752" s="119">
        <v>0.11131433216481228</v>
      </c>
    </row>
    <row r="8753" spans="1:2">
      <c r="A8753">
        <v>8752</v>
      </c>
      <c r="B8753" s="119">
        <v>0.44464766549814555</v>
      </c>
    </row>
    <row r="8754" spans="1:2">
      <c r="A8754">
        <v>8753</v>
      </c>
      <c r="B8754" s="119">
        <v>0.77798099883147886</v>
      </c>
    </row>
    <row r="8755" spans="1:2">
      <c r="A8755">
        <v>8754</v>
      </c>
      <c r="B8755" s="119">
        <v>0.22242544327592337</v>
      </c>
    </row>
    <row r="8756" spans="1:2">
      <c r="A8756">
        <v>8755</v>
      </c>
      <c r="B8756" s="119">
        <v>0.55575877660925677</v>
      </c>
    </row>
    <row r="8757" spans="1:2">
      <c r="A8757">
        <v>8756</v>
      </c>
      <c r="B8757" s="119">
        <v>0.88909210994259003</v>
      </c>
    </row>
    <row r="8758" spans="1:2">
      <c r="A8758">
        <v>8757</v>
      </c>
      <c r="B8758" s="119">
        <v>3.72402580907382E-2</v>
      </c>
    </row>
    <row r="8759" spans="1:2">
      <c r="A8759">
        <v>8758</v>
      </c>
      <c r="B8759" s="119">
        <v>0.37057359142407148</v>
      </c>
    </row>
    <row r="8760" spans="1:2">
      <c r="A8760">
        <v>8759</v>
      </c>
      <c r="B8760" s="119">
        <v>0.70390692475740491</v>
      </c>
    </row>
    <row r="8761" spans="1:2">
      <c r="A8761">
        <v>8760</v>
      </c>
      <c r="B8761" s="119">
        <v>0.1483513692018493</v>
      </c>
    </row>
    <row r="8762" spans="1:2">
      <c r="A8762">
        <v>8761</v>
      </c>
      <c r="B8762" s="119">
        <v>0.48168470253518259</v>
      </c>
    </row>
    <row r="8763" spans="1:2">
      <c r="A8763">
        <v>8762</v>
      </c>
      <c r="B8763" s="119">
        <v>0.81501803586851584</v>
      </c>
    </row>
    <row r="8764" spans="1:2">
      <c r="A8764">
        <v>8763</v>
      </c>
      <c r="B8764" s="119">
        <v>0.25946248031296038</v>
      </c>
    </row>
    <row r="8765" spans="1:2">
      <c r="A8765">
        <v>8764</v>
      </c>
      <c r="B8765" s="119">
        <v>0.59279581364629375</v>
      </c>
    </row>
    <row r="8766" spans="1:2">
      <c r="A8766">
        <v>8765</v>
      </c>
      <c r="B8766" s="119">
        <v>0.926129146979627</v>
      </c>
    </row>
    <row r="8767" spans="1:2">
      <c r="A8767">
        <v>8766</v>
      </c>
      <c r="B8767" s="119">
        <v>7.4277295127775242E-2</v>
      </c>
    </row>
    <row r="8768" spans="1:2">
      <c r="A8768">
        <v>8767</v>
      </c>
      <c r="B8768" s="119">
        <v>0.40761062846110852</v>
      </c>
    </row>
    <row r="8769" spans="1:2">
      <c r="A8769">
        <v>8768</v>
      </c>
      <c r="B8769" s="119">
        <v>0.74094396179444189</v>
      </c>
    </row>
    <row r="8770" spans="1:2">
      <c r="A8770">
        <v>8769</v>
      </c>
      <c r="B8770" s="119">
        <v>0.18538840623888633</v>
      </c>
    </row>
    <row r="8771" spans="1:2">
      <c r="A8771">
        <v>8770</v>
      </c>
      <c r="B8771" s="119">
        <v>0.51872173957221968</v>
      </c>
    </row>
    <row r="8772" spans="1:2">
      <c r="A8772">
        <v>8771</v>
      </c>
      <c r="B8772" s="119">
        <v>0.85205507290555293</v>
      </c>
    </row>
    <row r="8773" spans="1:2">
      <c r="A8773">
        <v>8772</v>
      </c>
      <c r="B8773" s="119">
        <v>0.29649951734999741</v>
      </c>
    </row>
    <row r="8774" spans="1:2">
      <c r="A8774">
        <v>8773</v>
      </c>
      <c r="B8774" s="119">
        <v>0.62983285068333084</v>
      </c>
    </row>
    <row r="8775" spans="1:2">
      <c r="A8775">
        <v>8774</v>
      </c>
      <c r="B8775" s="119">
        <v>0.9631661840166641</v>
      </c>
    </row>
    <row r="8776" spans="1:2">
      <c r="A8776">
        <v>8775</v>
      </c>
      <c r="B8776" s="119">
        <v>1.2548900066046842E-2</v>
      </c>
    </row>
    <row r="8777" spans="1:2">
      <c r="A8777">
        <v>8776</v>
      </c>
      <c r="B8777" s="119">
        <v>0.34588223339938012</v>
      </c>
    </row>
    <row r="8778" spans="1:2">
      <c r="A8778">
        <v>8777</v>
      </c>
      <c r="B8778" s="119">
        <v>0.67921556673271344</v>
      </c>
    </row>
    <row r="8779" spans="1:2">
      <c r="A8779">
        <v>8778</v>
      </c>
      <c r="B8779" s="119">
        <v>0.12366001117715796</v>
      </c>
    </row>
    <row r="8780" spans="1:2">
      <c r="A8780">
        <v>8779</v>
      </c>
      <c r="B8780" s="119">
        <v>0.45699334451049123</v>
      </c>
    </row>
    <row r="8781" spans="1:2">
      <c r="A8781">
        <v>8780</v>
      </c>
      <c r="B8781" s="119">
        <v>0.7903266778438246</v>
      </c>
    </row>
    <row r="8782" spans="1:2">
      <c r="A8782">
        <v>8781</v>
      </c>
      <c r="B8782" s="119">
        <v>0.23477112228826905</v>
      </c>
    </row>
    <row r="8783" spans="1:2">
      <c r="A8783">
        <v>8782</v>
      </c>
      <c r="B8783" s="119">
        <v>0.5681044556216025</v>
      </c>
    </row>
    <row r="8784" spans="1:2">
      <c r="A8784">
        <v>8783</v>
      </c>
      <c r="B8784" s="119">
        <v>0.90143778895493576</v>
      </c>
    </row>
    <row r="8785" spans="1:2">
      <c r="A8785">
        <v>8784</v>
      </c>
      <c r="B8785" s="119">
        <v>4.9585937103083878E-2</v>
      </c>
    </row>
    <row r="8786" spans="1:2">
      <c r="A8786">
        <v>8785</v>
      </c>
      <c r="B8786" s="119">
        <v>0.38291927043641716</v>
      </c>
    </row>
    <row r="8787" spans="1:2">
      <c r="A8787">
        <v>8786</v>
      </c>
      <c r="B8787" s="119">
        <v>0.71625260376975064</v>
      </c>
    </row>
    <row r="8788" spans="1:2">
      <c r="A8788">
        <v>8787</v>
      </c>
      <c r="B8788" s="119">
        <v>0.16069704821419498</v>
      </c>
    </row>
    <row r="8789" spans="1:2">
      <c r="A8789">
        <v>8788</v>
      </c>
      <c r="B8789" s="119">
        <v>0.49403038154752826</v>
      </c>
    </row>
    <row r="8790" spans="1:2">
      <c r="A8790">
        <v>8789</v>
      </c>
      <c r="B8790" s="119">
        <v>0.82736371488086158</v>
      </c>
    </row>
    <row r="8791" spans="1:2">
      <c r="A8791">
        <v>8790</v>
      </c>
      <c r="B8791" s="119">
        <v>0.27180815932530605</v>
      </c>
    </row>
    <row r="8792" spans="1:2">
      <c r="A8792">
        <v>8791</v>
      </c>
      <c r="B8792" s="119">
        <v>0.60514149265863948</v>
      </c>
    </row>
    <row r="8793" spans="1:2">
      <c r="A8793">
        <v>8792</v>
      </c>
      <c r="B8793" s="119">
        <v>0.93847482599197274</v>
      </c>
    </row>
    <row r="8794" spans="1:2">
      <c r="A8794">
        <v>8793</v>
      </c>
      <c r="B8794" s="119">
        <v>8.662297414012092E-2</v>
      </c>
    </row>
    <row r="8795" spans="1:2">
      <c r="A8795">
        <v>8794</v>
      </c>
      <c r="B8795" s="119">
        <v>0.41995630747345419</v>
      </c>
    </row>
    <row r="8796" spans="1:2">
      <c r="A8796">
        <v>8795</v>
      </c>
      <c r="B8796" s="119">
        <v>0.75328964080678762</v>
      </c>
    </row>
    <row r="8797" spans="1:2">
      <c r="A8797">
        <v>8796</v>
      </c>
      <c r="B8797" s="119">
        <v>0.19773408525123201</v>
      </c>
    </row>
    <row r="8798" spans="1:2">
      <c r="A8798">
        <v>8797</v>
      </c>
      <c r="B8798" s="119">
        <v>0.5310674185845653</v>
      </c>
    </row>
    <row r="8799" spans="1:2">
      <c r="A8799">
        <v>8798</v>
      </c>
      <c r="B8799" s="119">
        <v>0.86440075191789856</v>
      </c>
    </row>
    <row r="8800" spans="1:2">
      <c r="A8800">
        <v>8799</v>
      </c>
      <c r="B8800" s="119">
        <v>0.30884519636234309</v>
      </c>
    </row>
    <row r="8801" spans="1:2">
      <c r="A8801">
        <v>8800</v>
      </c>
      <c r="B8801" s="119">
        <v>0.64217852969567646</v>
      </c>
    </row>
    <row r="8802" spans="1:2">
      <c r="A8802">
        <v>8801</v>
      </c>
      <c r="B8802" s="119">
        <v>0.97551186302900972</v>
      </c>
    </row>
    <row r="8803" spans="1:2">
      <c r="A8803">
        <v>8802</v>
      </c>
      <c r="B8803" s="119">
        <v>2.4894579078392518E-2</v>
      </c>
    </row>
    <row r="8804" spans="1:2">
      <c r="A8804">
        <v>8803</v>
      </c>
      <c r="B8804" s="119">
        <v>0.3582279124117258</v>
      </c>
    </row>
    <row r="8805" spans="1:2">
      <c r="A8805">
        <v>8804</v>
      </c>
      <c r="B8805" s="119">
        <v>0.69156124574505917</v>
      </c>
    </row>
    <row r="8806" spans="1:2">
      <c r="A8806">
        <v>8805</v>
      </c>
      <c r="B8806" s="119">
        <v>0.13600569018950362</v>
      </c>
    </row>
    <row r="8807" spans="1:2">
      <c r="A8807">
        <v>8806</v>
      </c>
      <c r="B8807" s="119">
        <v>0.46933902352283691</v>
      </c>
    </row>
    <row r="8808" spans="1:2">
      <c r="A8808">
        <v>8807</v>
      </c>
      <c r="B8808" s="119">
        <v>0.80267235685617022</v>
      </c>
    </row>
    <row r="8809" spans="1:2">
      <c r="A8809">
        <v>8808</v>
      </c>
      <c r="B8809" s="119">
        <v>0.24711680130061472</v>
      </c>
    </row>
    <row r="8810" spans="1:2">
      <c r="A8810">
        <v>8809</v>
      </c>
      <c r="B8810" s="119">
        <v>0.58045013463394812</v>
      </c>
    </row>
    <row r="8811" spans="1:2">
      <c r="A8811">
        <v>8810</v>
      </c>
      <c r="B8811" s="119">
        <v>0.91378346796728138</v>
      </c>
    </row>
    <row r="8812" spans="1:2">
      <c r="A8812">
        <v>8811</v>
      </c>
      <c r="B8812" s="119">
        <v>6.1931616115429557E-2</v>
      </c>
    </row>
    <row r="8813" spans="1:2">
      <c r="A8813">
        <v>8812</v>
      </c>
      <c r="B8813" s="119">
        <v>0.39526494944876284</v>
      </c>
    </row>
    <row r="8814" spans="1:2">
      <c r="A8814">
        <v>8813</v>
      </c>
      <c r="B8814" s="119">
        <v>0.72859828278209626</v>
      </c>
    </row>
    <row r="8815" spans="1:2">
      <c r="A8815">
        <v>8814</v>
      </c>
      <c r="B8815" s="119">
        <v>0.17304272722654065</v>
      </c>
    </row>
    <row r="8816" spans="1:2">
      <c r="A8816">
        <v>8815</v>
      </c>
      <c r="B8816" s="119">
        <v>0.50637606055987405</v>
      </c>
    </row>
    <row r="8817" spans="1:2">
      <c r="A8817">
        <v>8816</v>
      </c>
      <c r="B8817" s="119">
        <v>0.8397093938932072</v>
      </c>
    </row>
    <row r="8818" spans="1:2">
      <c r="A8818">
        <v>8817</v>
      </c>
      <c r="B8818" s="119">
        <v>0.28415383833765173</v>
      </c>
    </row>
    <row r="8819" spans="1:2">
      <c r="A8819">
        <v>8818</v>
      </c>
      <c r="B8819" s="119">
        <v>0.6174871716709851</v>
      </c>
    </row>
    <row r="8820" spans="1:2">
      <c r="A8820">
        <v>8819</v>
      </c>
      <c r="B8820" s="119">
        <v>0.95082050500431836</v>
      </c>
    </row>
    <row r="8821" spans="1:2">
      <c r="A8821">
        <v>8820</v>
      </c>
      <c r="B8821" s="119">
        <v>9.8968653152466599E-2</v>
      </c>
    </row>
    <row r="8822" spans="1:2">
      <c r="A8822">
        <v>8821</v>
      </c>
      <c r="B8822" s="119">
        <v>0.43230198648579987</v>
      </c>
    </row>
    <row r="8823" spans="1:2">
      <c r="A8823">
        <v>8822</v>
      </c>
      <c r="B8823" s="119">
        <v>0.76563531981913324</v>
      </c>
    </row>
    <row r="8824" spans="1:2">
      <c r="A8824">
        <v>8823</v>
      </c>
      <c r="B8824" s="119">
        <v>0.21007976426357769</v>
      </c>
    </row>
    <row r="8825" spans="1:2">
      <c r="A8825">
        <v>8824</v>
      </c>
      <c r="B8825" s="119">
        <v>0.54341309759691103</v>
      </c>
    </row>
    <row r="8826" spans="1:2">
      <c r="A8826">
        <v>8825</v>
      </c>
      <c r="B8826" s="119">
        <v>0.87674643093024429</v>
      </c>
    </row>
    <row r="8827" spans="1:2">
      <c r="A8827">
        <v>8826</v>
      </c>
      <c r="B8827" s="119">
        <v>0.32119087537468877</v>
      </c>
    </row>
    <row r="8828" spans="1:2">
      <c r="A8828">
        <v>8827</v>
      </c>
      <c r="B8828" s="119">
        <v>0.65452420870802219</v>
      </c>
    </row>
    <row r="8829" spans="1:2">
      <c r="A8829">
        <v>8828</v>
      </c>
      <c r="B8829" s="119">
        <v>0.98785754204135545</v>
      </c>
    </row>
    <row r="8830" spans="1:2">
      <c r="A8830">
        <v>8829</v>
      </c>
      <c r="B8830" s="119">
        <v>4.3184473911497242E-3</v>
      </c>
    </row>
    <row r="8831" spans="1:2">
      <c r="A8831">
        <v>8830</v>
      </c>
      <c r="B8831" s="119">
        <v>0.33765178072448299</v>
      </c>
    </row>
    <row r="8832" spans="1:2">
      <c r="A8832">
        <v>8831</v>
      </c>
      <c r="B8832" s="119">
        <v>0.67098511405781636</v>
      </c>
    </row>
    <row r="8833" spans="1:2">
      <c r="A8833">
        <v>8832</v>
      </c>
      <c r="B8833" s="119">
        <v>0.11542955850226083</v>
      </c>
    </row>
    <row r="8834" spans="1:2">
      <c r="A8834">
        <v>8833</v>
      </c>
      <c r="B8834" s="119">
        <v>0.44876289183559409</v>
      </c>
    </row>
    <row r="8835" spans="1:2">
      <c r="A8835">
        <v>8834</v>
      </c>
      <c r="B8835" s="119">
        <v>0.78209622516892741</v>
      </c>
    </row>
    <row r="8836" spans="1:2">
      <c r="A8836">
        <v>8835</v>
      </c>
      <c r="B8836" s="119">
        <v>0.22654066961337194</v>
      </c>
    </row>
    <row r="8837" spans="1:2">
      <c r="A8837">
        <v>8836</v>
      </c>
      <c r="B8837" s="119">
        <v>0.55987400294670531</v>
      </c>
    </row>
    <row r="8838" spans="1:2">
      <c r="A8838">
        <v>8837</v>
      </c>
      <c r="B8838" s="119">
        <v>0.89320733628003857</v>
      </c>
    </row>
    <row r="8839" spans="1:2">
      <c r="A8839">
        <v>8838</v>
      </c>
      <c r="B8839" s="119">
        <v>4.1355484428186762E-2</v>
      </c>
    </row>
    <row r="8840" spans="1:2">
      <c r="A8840">
        <v>8839</v>
      </c>
      <c r="B8840" s="119">
        <v>0.37468881776152002</v>
      </c>
    </row>
    <row r="8841" spans="1:2">
      <c r="A8841">
        <v>8840</v>
      </c>
      <c r="B8841" s="119">
        <v>0.70802215109485345</v>
      </c>
    </row>
    <row r="8842" spans="1:2">
      <c r="A8842">
        <v>8841</v>
      </c>
      <c r="B8842" s="119">
        <v>0.15246659553929787</v>
      </c>
    </row>
    <row r="8843" spans="1:2">
      <c r="A8843">
        <v>8842</v>
      </c>
      <c r="B8843" s="119">
        <v>0.48579992887263113</v>
      </c>
    </row>
    <row r="8844" spans="1:2">
      <c r="A8844">
        <v>8843</v>
      </c>
      <c r="B8844" s="119">
        <v>0.81913326220596439</v>
      </c>
    </row>
    <row r="8845" spans="1:2">
      <c r="A8845">
        <v>8844</v>
      </c>
      <c r="B8845" s="119">
        <v>0.26357770665040892</v>
      </c>
    </row>
    <row r="8846" spans="1:2">
      <c r="A8846">
        <v>8845</v>
      </c>
      <c r="B8846" s="119">
        <v>0.59691103998374229</v>
      </c>
    </row>
    <row r="8847" spans="1:2">
      <c r="A8847">
        <v>8846</v>
      </c>
      <c r="B8847" s="119">
        <v>0.93024437331707555</v>
      </c>
    </row>
    <row r="8848" spans="1:2">
      <c r="A8848">
        <v>8847</v>
      </c>
      <c r="B8848" s="119">
        <v>7.8392521465223797E-2</v>
      </c>
    </row>
    <row r="8849" spans="1:2">
      <c r="A8849">
        <v>8848</v>
      </c>
      <c r="B8849" s="119">
        <v>0.41172585479855706</v>
      </c>
    </row>
    <row r="8850" spans="1:2">
      <c r="A8850">
        <v>8849</v>
      </c>
      <c r="B8850" s="119">
        <v>0.74505918813189043</v>
      </c>
    </row>
    <row r="8851" spans="1:2">
      <c r="A8851">
        <v>8850</v>
      </c>
      <c r="B8851" s="119">
        <v>0.1895036325763349</v>
      </c>
    </row>
    <row r="8852" spans="1:2">
      <c r="A8852">
        <v>8851</v>
      </c>
      <c r="B8852" s="119">
        <v>0.52283696590966822</v>
      </c>
    </row>
    <row r="8853" spans="1:2">
      <c r="A8853">
        <v>8852</v>
      </c>
      <c r="B8853" s="119">
        <v>0.85617029924300148</v>
      </c>
    </row>
    <row r="8854" spans="1:2">
      <c r="A8854">
        <v>8853</v>
      </c>
      <c r="B8854" s="119">
        <v>0.30061474368744595</v>
      </c>
    </row>
    <row r="8855" spans="1:2">
      <c r="A8855">
        <v>8854</v>
      </c>
      <c r="B8855" s="119">
        <v>0.63394807702077938</v>
      </c>
    </row>
    <row r="8856" spans="1:2">
      <c r="A8856">
        <v>8855</v>
      </c>
      <c r="B8856" s="119">
        <v>0.96728141035411264</v>
      </c>
    </row>
    <row r="8857" spans="1:2">
      <c r="A8857">
        <v>8856</v>
      </c>
      <c r="B8857" s="119">
        <v>1.6664126403495402E-2</v>
      </c>
    </row>
    <row r="8858" spans="1:2">
      <c r="A8858">
        <v>8857</v>
      </c>
      <c r="B8858" s="119">
        <v>0.34999745973682866</v>
      </c>
    </row>
    <row r="8859" spans="1:2">
      <c r="A8859">
        <v>8858</v>
      </c>
      <c r="B8859" s="119">
        <v>0.68333079307016198</v>
      </c>
    </row>
    <row r="8860" spans="1:2">
      <c r="A8860">
        <v>8859</v>
      </c>
      <c r="B8860" s="119">
        <v>0.12777523751460651</v>
      </c>
    </row>
    <row r="8861" spans="1:2">
      <c r="A8861">
        <v>8860</v>
      </c>
      <c r="B8861" s="119">
        <v>0.46110857084793977</v>
      </c>
    </row>
    <row r="8862" spans="1:2">
      <c r="A8862">
        <v>8861</v>
      </c>
      <c r="B8862" s="119">
        <v>0.79444190418127314</v>
      </c>
    </row>
    <row r="8863" spans="1:2">
      <c r="A8863">
        <v>8862</v>
      </c>
      <c r="B8863" s="119">
        <v>0.23888634862571761</v>
      </c>
    </row>
    <row r="8864" spans="1:2">
      <c r="A8864">
        <v>8863</v>
      </c>
      <c r="B8864" s="119">
        <v>0.57221968195905104</v>
      </c>
    </row>
    <row r="8865" spans="1:2">
      <c r="A8865">
        <v>8864</v>
      </c>
      <c r="B8865" s="119">
        <v>0.9055530152923843</v>
      </c>
    </row>
    <row r="8866" spans="1:2">
      <c r="A8866">
        <v>8865</v>
      </c>
      <c r="B8866" s="119">
        <v>5.370116344053244E-2</v>
      </c>
    </row>
    <row r="8867" spans="1:2">
      <c r="A8867">
        <v>8866</v>
      </c>
      <c r="B8867" s="119">
        <v>0.3870344967738657</v>
      </c>
    </row>
    <row r="8868" spans="1:2">
      <c r="A8868">
        <v>8867</v>
      </c>
      <c r="B8868" s="119">
        <v>0.72036783010719918</v>
      </c>
    </row>
    <row r="8869" spans="1:2">
      <c r="A8869">
        <v>8868</v>
      </c>
      <c r="B8869" s="119">
        <v>0.16481227455164355</v>
      </c>
    </row>
    <row r="8870" spans="1:2">
      <c r="A8870">
        <v>8869</v>
      </c>
      <c r="B8870" s="119">
        <v>0.4981456078849768</v>
      </c>
    </row>
    <row r="8871" spans="1:2">
      <c r="A8871">
        <v>8870</v>
      </c>
      <c r="B8871" s="119">
        <v>0.83147894121831012</v>
      </c>
    </row>
    <row r="8872" spans="1:2">
      <c r="A8872">
        <v>8871</v>
      </c>
      <c r="B8872" s="119">
        <v>0.27592338566275459</v>
      </c>
    </row>
    <row r="8873" spans="1:2">
      <c r="A8873">
        <v>8872</v>
      </c>
      <c r="B8873" s="119">
        <v>0.60925671899608802</v>
      </c>
    </row>
    <row r="8874" spans="1:2">
      <c r="A8874">
        <v>8873</v>
      </c>
      <c r="B8874" s="119">
        <v>0.94259005232942128</v>
      </c>
    </row>
    <row r="8875" spans="1:2">
      <c r="A8875">
        <v>8874</v>
      </c>
      <c r="B8875" s="119">
        <v>9.0738200477569475E-2</v>
      </c>
    </row>
    <row r="8876" spans="1:2">
      <c r="A8876">
        <v>8875</v>
      </c>
      <c r="B8876" s="119">
        <v>0.42407153381090273</v>
      </c>
    </row>
    <row r="8877" spans="1:2">
      <c r="A8877">
        <v>8876</v>
      </c>
      <c r="B8877" s="119">
        <v>0.75740486714423616</v>
      </c>
    </row>
    <row r="8878" spans="1:2">
      <c r="A8878">
        <v>8877</v>
      </c>
      <c r="B8878" s="119">
        <v>0.20184931158868058</v>
      </c>
    </row>
    <row r="8879" spans="1:2">
      <c r="A8879">
        <v>8878</v>
      </c>
      <c r="B8879" s="119">
        <v>0.53518264492201384</v>
      </c>
    </row>
    <row r="8880" spans="1:2">
      <c r="A8880">
        <v>8879</v>
      </c>
      <c r="B8880" s="119">
        <v>0.8685159782553471</v>
      </c>
    </row>
    <row r="8881" spans="1:2">
      <c r="A8881">
        <v>8880</v>
      </c>
      <c r="B8881" s="119">
        <v>0.31296042269979163</v>
      </c>
    </row>
    <row r="8882" spans="1:2">
      <c r="A8882">
        <v>8881</v>
      </c>
      <c r="B8882" s="119">
        <v>0.646293756033125</v>
      </c>
    </row>
    <row r="8883" spans="1:2">
      <c r="A8883">
        <v>8882</v>
      </c>
      <c r="B8883" s="119">
        <v>0.97962708936645826</v>
      </c>
    </row>
    <row r="8884" spans="1:2">
      <c r="A8884">
        <v>8883</v>
      </c>
      <c r="B8884" s="119">
        <v>2.900980541584108E-2</v>
      </c>
    </row>
    <row r="8885" spans="1:2">
      <c r="A8885">
        <v>8884</v>
      </c>
      <c r="B8885" s="119">
        <v>0.36234313874917434</v>
      </c>
    </row>
    <row r="8886" spans="1:2">
      <c r="A8886">
        <v>8885</v>
      </c>
      <c r="B8886" s="119">
        <v>0.69567647208250771</v>
      </c>
    </row>
    <row r="8887" spans="1:2">
      <c r="A8887">
        <v>8886</v>
      </c>
      <c r="B8887" s="119">
        <v>0.14012091652695219</v>
      </c>
    </row>
    <row r="8888" spans="1:2">
      <c r="A8888">
        <v>8887</v>
      </c>
      <c r="B8888" s="119">
        <v>0.47345424986028545</v>
      </c>
    </row>
    <row r="8889" spans="1:2">
      <c r="A8889">
        <v>8888</v>
      </c>
      <c r="B8889" s="119">
        <v>0.80678758319361876</v>
      </c>
    </row>
    <row r="8890" spans="1:2">
      <c r="A8890">
        <v>8889</v>
      </c>
      <c r="B8890" s="119">
        <v>0.25123202763806324</v>
      </c>
    </row>
    <row r="8891" spans="1:2">
      <c r="A8891">
        <v>8890</v>
      </c>
      <c r="B8891" s="119">
        <v>0.58456536097139666</v>
      </c>
    </row>
    <row r="8892" spans="1:2">
      <c r="A8892">
        <v>8891</v>
      </c>
      <c r="B8892" s="119">
        <v>0.91789869430472992</v>
      </c>
    </row>
    <row r="8893" spans="1:2">
      <c r="A8893">
        <v>8892</v>
      </c>
      <c r="B8893" s="119">
        <v>6.6046842452878118E-2</v>
      </c>
    </row>
    <row r="8894" spans="1:2">
      <c r="A8894">
        <v>8893</v>
      </c>
      <c r="B8894" s="119">
        <v>0.39938017578621138</v>
      </c>
    </row>
    <row r="8895" spans="1:2">
      <c r="A8895">
        <v>8894</v>
      </c>
      <c r="B8895" s="119">
        <v>0.7327135091195448</v>
      </c>
    </row>
    <row r="8896" spans="1:2">
      <c r="A8896">
        <v>8895</v>
      </c>
      <c r="B8896" s="119">
        <v>0.17715795356398922</v>
      </c>
    </row>
    <row r="8897" spans="1:2">
      <c r="A8897">
        <v>8896</v>
      </c>
      <c r="B8897" s="119">
        <v>0.51049128689732259</v>
      </c>
    </row>
    <row r="8898" spans="1:2">
      <c r="A8898">
        <v>8897</v>
      </c>
      <c r="B8898" s="119">
        <v>0.84382462023065574</v>
      </c>
    </row>
    <row r="8899" spans="1:2">
      <c r="A8899">
        <v>8898</v>
      </c>
      <c r="B8899" s="119">
        <v>0.28826906467510027</v>
      </c>
    </row>
    <row r="8900" spans="1:2">
      <c r="A8900">
        <v>8899</v>
      </c>
      <c r="B8900" s="119">
        <v>0.62160239800843364</v>
      </c>
    </row>
    <row r="8901" spans="1:2">
      <c r="A8901">
        <v>8900</v>
      </c>
      <c r="B8901" s="119">
        <v>0.9549357313417669</v>
      </c>
    </row>
    <row r="8902" spans="1:2">
      <c r="A8902">
        <v>8901</v>
      </c>
      <c r="B8902" s="119">
        <v>0.10308387948991515</v>
      </c>
    </row>
    <row r="8903" spans="1:2">
      <c r="A8903">
        <v>8902</v>
      </c>
      <c r="B8903" s="119">
        <v>0.43641721282324841</v>
      </c>
    </row>
    <row r="8904" spans="1:2">
      <c r="A8904">
        <v>8903</v>
      </c>
      <c r="B8904" s="119">
        <v>0.76975054615658178</v>
      </c>
    </row>
    <row r="8905" spans="1:2">
      <c r="A8905">
        <v>8904</v>
      </c>
      <c r="B8905" s="119">
        <v>0.21419499060102626</v>
      </c>
    </row>
    <row r="8906" spans="1:2">
      <c r="A8906">
        <v>8905</v>
      </c>
      <c r="B8906" s="119">
        <v>0.54752832393435957</v>
      </c>
    </row>
    <row r="8907" spans="1:2">
      <c r="A8907">
        <v>8906</v>
      </c>
      <c r="B8907" s="119">
        <v>0.88086165726769283</v>
      </c>
    </row>
    <row r="8908" spans="1:2">
      <c r="A8908">
        <v>8907</v>
      </c>
      <c r="B8908" s="119">
        <v>0.32530610171213731</v>
      </c>
    </row>
    <row r="8909" spans="1:2">
      <c r="A8909">
        <v>8908</v>
      </c>
      <c r="B8909" s="119">
        <v>0.65863943504547073</v>
      </c>
    </row>
    <row r="8910" spans="1:2">
      <c r="A8910">
        <v>8909</v>
      </c>
      <c r="B8910" s="119">
        <v>0.99197276837880399</v>
      </c>
    </row>
    <row r="8911" spans="1:2">
      <c r="A8911">
        <v>8910</v>
      </c>
      <c r="B8911" s="119">
        <v>8.4336737285982833E-3</v>
      </c>
    </row>
    <row r="8912" spans="1:2">
      <c r="A8912">
        <v>8911</v>
      </c>
      <c r="B8912" s="119">
        <v>0.34176700706193158</v>
      </c>
    </row>
    <row r="8913" spans="1:2">
      <c r="A8913">
        <v>8912</v>
      </c>
      <c r="B8913" s="119">
        <v>0.6751003403952649</v>
      </c>
    </row>
    <row r="8914" spans="1:2">
      <c r="A8914">
        <v>8913</v>
      </c>
      <c r="B8914" s="119">
        <v>0.1195447848397094</v>
      </c>
    </row>
    <row r="8915" spans="1:2">
      <c r="A8915">
        <v>8914</v>
      </c>
      <c r="B8915" s="119">
        <v>0.45287811817304269</v>
      </c>
    </row>
    <row r="8916" spans="1:2">
      <c r="A8916">
        <v>8915</v>
      </c>
      <c r="B8916" s="119">
        <v>0.78621145150637595</v>
      </c>
    </row>
    <row r="8917" spans="1:2">
      <c r="A8917">
        <v>8916</v>
      </c>
      <c r="B8917" s="119">
        <v>0.23065589595082048</v>
      </c>
    </row>
    <row r="8918" spans="1:2">
      <c r="A8918">
        <v>8917</v>
      </c>
      <c r="B8918" s="119">
        <v>0.56398922928415385</v>
      </c>
    </row>
    <row r="8919" spans="1:2">
      <c r="A8919">
        <v>8918</v>
      </c>
      <c r="B8919" s="119">
        <v>0.89732256261748711</v>
      </c>
    </row>
    <row r="8920" spans="1:2">
      <c r="A8920">
        <v>8919</v>
      </c>
      <c r="B8920" s="119">
        <v>4.5470710765635323E-2</v>
      </c>
    </row>
    <row r="8921" spans="1:2">
      <c r="A8921">
        <v>8920</v>
      </c>
      <c r="B8921" s="119">
        <v>0.37880404409896862</v>
      </c>
    </row>
    <row r="8922" spans="1:2">
      <c r="A8922">
        <v>8921</v>
      </c>
      <c r="B8922" s="119">
        <v>0.71213737743230199</v>
      </c>
    </row>
    <row r="8923" spans="1:2">
      <c r="A8923">
        <v>8922</v>
      </c>
      <c r="B8923" s="119">
        <v>0.15658182187674641</v>
      </c>
    </row>
    <row r="8924" spans="1:2">
      <c r="A8924">
        <v>8923</v>
      </c>
      <c r="B8924" s="119">
        <v>0.48991515521007972</v>
      </c>
    </row>
    <row r="8925" spans="1:2">
      <c r="A8925">
        <v>8924</v>
      </c>
      <c r="B8925" s="119">
        <v>0.82324848854341293</v>
      </c>
    </row>
    <row r="8926" spans="1:2">
      <c r="A8926">
        <v>8925</v>
      </c>
      <c r="B8926" s="119">
        <v>0.26769293298785751</v>
      </c>
    </row>
    <row r="8927" spans="1:2">
      <c r="A8927">
        <v>8926</v>
      </c>
      <c r="B8927" s="119">
        <v>0.60102626632119083</v>
      </c>
    </row>
    <row r="8928" spans="1:2">
      <c r="A8928">
        <v>8927</v>
      </c>
      <c r="B8928" s="119">
        <v>0.93435959965452409</v>
      </c>
    </row>
    <row r="8929" spans="1:2">
      <c r="A8929">
        <v>8928</v>
      </c>
      <c r="B8929" s="119">
        <v>8.2507747802672365E-2</v>
      </c>
    </row>
    <row r="8930" spans="1:2">
      <c r="A8930">
        <v>8929</v>
      </c>
      <c r="B8930" s="119">
        <v>0.41584108113600565</v>
      </c>
    </row>
    <row r="8931" spans="1:2">
      <c r="A8931">
        <v>8930</v>
      </c>
      <c r="B8931" s="119">
        <v>0.74917441446933897</v>
      </c>
    </row>
    <row r="8932" spans="1:2">
      <c r="A8932">
        <v>8931</v>
      </c>
      <c r="B8932" s="119">
        <v>0.19361885891378344</v>
      </c>
    </row>
    <row r="8933" spans="1:2">
      <c r="A8933">
        <v>8932</v>
      </c>
      <c r="B8933" s="119">
        <v>0.52695219224711676</v>
      </c>
    </row>
    <row r="8934" spans="1:2">
      <c r="A8934">
        <v>8933</v>
      </c>
      <c r="B8934" s="119">
        <v>0.86028552558045002</v>
      </c>
    </row>
    <row r="8935" spans="1:2">
      <c r="A8935">
        <v>8934</v>
      </c>
      <c r="B8935" s="119">
        <v>0.30472997002489455</v>
      </c>
    </row>
    <row r="8936" spans="1:2">
      <c r="A8936">
        <v>8935</v>
      </c>
      <c r="B8936" s="119">
        <v>0.63806330335822792</v>
      </c>
    </row>
    <row r="8937" spans="1:2">
      <c r="A8937">
        <v>8936</v>
      </c>
      <c r="B8937" s="119">
        <v>0.97139663669156118</v>
      </c>
    </row>
    <row r="8938" spans="1:2">
      <c r="A8938">
        <v>8937</v>
      </c>
      <c r="B8938" s="119">
        <v>2.077935274094396E-2</v>
      </c>
    </row>
    <row r="8939" spans="1:2">
      <c r="A8939">
        <v>8938</v>
      </c>
      <c r="B8939" s="119">
        <v>0.35411268607427726</v>
      </c>
    </row>
    <row r="8940" spans="1:2">
      <c r="A8940">
        <v>8939</v>
      </c>
      <c r="B8940" s="119">
        <v>0.68744601940761052</v>
      </c>
    </row>
    <row r="8941" spans="1:2">
      <c r="A8941">
        <v>8940</v>
      </c>
      <c r="B8941" s="119">
        <v>0.13189046385205505</v>
      </c>
    </row>
    <row r="8942" spans="1:2">
      <c r="A8942">
        <v>8941</v>
      </c>
      <c r="B8942" s="119">
        <v>0.46522379718538837</v>
      </c>
    </row>
    <row r="8943" spans="1:2">
      <c r="A8943">
        <v>8942</v>
      </c>
      <c r="B8943" s="119">
        <v>0.79855713051872168</v>
      </c>
    </row>
    <row r="8944" spans="1:2">
      <c r="A8944">
        <v>8943</v>
      </c>
      <c r="B8944" s="119">
        <v>0.24300157496316616</v>
      </c>
    </row>
    <row r="8945" spans="1:2">
      <c r="A8945">
        <v>8944</v>
      </c>
      <c r="B8945" s="119">
        <v>0.57633490829649958</v>
      </c>
    </row>
    <row r="8946" spans="1:2">
      <c r="A8946">
        <v>8945</v>
      </c>
      <c r="B8946" s="119">
        <v>0.90966824162983284</v>
      </c>
    </row>
    <row r="8947" spans="1:2">
      <c r="A8947">
        <v>8946</v>
      </c>
      <c r="B8947" s="119">
        <v>5.7816389777981002E-2</v>
      </c>
    </row>
    <row r="8948" spans="1:2">
      <c r="A8948">
        <v>8947</v>
      </c>
      <c r="B8948" s="119">
        <v>0.3911497231113143</v>
      </c>
    </row>
    <row r="8949" spans="1:2">
      <c r="A8949">
        <v>8948</v>
      </c>
      <c r="B8949" s="119">
        <v>0.72448305644464772</v>
      </c>
    </row>
    <row r="8950" spans="1:2">
      <c r="A8950">
        <v>8949</v>
      </c>
      <c r="B8950" s="119">
        <v>0.16892750088909209</v>
      </c>
    </row>
    <row r="8951" spans="1:2">
      <c r="A8951">
        <v>8950</v>
      </c>
      <c r="B8951" s="119">
        <v>0.5022608342224254</v>
      </c>
    </row>
    <row r="8952" spans="1:2">
      <c r="A8952">
        <v>8951</v>
      </c>
      <c r="B8952" s="119">
        <v>0.83559416755575866</v>
      </c>
    </row>
    <row r="8953" spans="1:2">
      <c r="A8953">
        <v>8952</v>
      </c>
      <c r="B8953" s="119">
        <v>0.28003861200020319</v>
      </c>
    </row>
    <row r="8954" spans="1:2">
      <c r="A8954">
        <v>8953</v>
      </c>
      <c r="B8954" s="119">
        <v>0.61337194533353656</v>
      </c>
    </row>
    <row r="8955" spans="1:2">
      <c r="A8955">
        <v>8954</v>
      </c>
      <c r="B8955" s="119">
        <v>0.94670527866686982</v>
      </c>
    </row>
    <row r="8956" spans="1:2">
      <c r="A8956">
        <v>8955</v>
      </c>
      <c r="B8956" s="119">
        <v>9.4853426815018044E-2</v>
      </c>
    </row>
    <row r="8957" spans="1:2">
      <c r="A8957">
        <v>8956</v>
      </c>
      <c r="B8957" s="119">
        <v>0.42818676014835133</v>
      </c>
    </row>
    <row r="8958" spans="1:2">
      <c r="A8958">
        <v>8957</v>
      </c>
      <c r="B8958" s="119">
        <v>0.7615200934816847</v>
      </c>
    </row>
    <row r="8959" spans="1:2">
      <c r="A8959">
        <v>8958</v>
      </c>
      <c r="B8959" s="119">
        <v>0.20596453792612912</v>
      </c>
    </row>
    <row r="8960" spans="1:2">
      <c r="A8960">
        <v>8959</v>
      </c>
      <c r="B8960" s="119">
        <v>0.53929787125946238</v>
      </c>
    </row>
    <row r="8961" spans="1:2">
      <c r="A8961">
        <v>8960</v>
      </c>
      <c r="B8961" s="119">
        <v>0.87263120459279564</v>
      </c>
    </row>
    <row r="8962" spans="1:2">
      <c r="A8962">
        <v>8961</v>
      </c>
      <c r="B8962" s="119">
        <v>0.31707564903724023</v>
      </c>
    </row>
    <row r="8963" spans="1:2">
      <c r="A8963">
        <v>8962</v>
      </c>
      <c r="B8963" s="119">
        <v>0.65040898237057354</v>
      </c>
    </row>
    <row r="8964" spans="1:2">
      <c r="A8964">
        <v>8963</v>
      </c>
      <c r="B8964" s="119">
        <v>0.9837423157039068</v>
      </c>
    </row>
    <row r="8965" spans="1:2">
      <c r="A8965">
        <v>8964</v>
      </c>
      <c r="B8965" s="119">
        <v>3.3125031753289645E-2</v>
      </c>
    </row>
    <row r="8966" spans="1:2">
      <c r="A8966">
        <v>8965</v>
      </c>
      <c r="B8966" s="119">
        <v>0.36645836508662294</v>
      </c>
    </row>
    <row r="8967" spans="1:2">
      <c r="A8967">
        <v>8966</v>
      </c>
      <c r="B8967" s="119">
        <v>0.69979169841995625</v>
      </c>
    </row>
    <row r="8968" spans="1:2">
      <c r="A8968">
        <v>8967</v>
      </c>
      <c r="B8968" s="119">
        <v>0.14423614286440073</v>
      </c>
    </row>
    <row r="8969" spans="1:2">
      <c r="A8969">
        <v>8968</v>
      </c>
      <c r="B8969" s="119">
        <v>0.47756947619773404</v>
      </c>
    </row>
    <row r="8970" spans="1:2">
      <c r="A8970">
        <v>8969</v>
      </c>
      <c r="B8970" s="119">
        <v>0.8109028095310673</v>
      </c>
    </row>
    <row r="8971" spans="1:2">
      <c r="A8971">
        <v>8970</v>
      </c>
      <c r="B8971" s="119">
        <v>0.25534725397551183</v>
      </c>
    </row>
    <row r="8972" spans="1:2">
      <c r="A8972">
        <v>8971</v>
      </c>
      <c r="B8972" s="119">
        <v>0.5886805873088452</v>
      </c>
    </row>
    <row r="8973" spans="1:2">
      <c r="A8973">
        <v>8972</v>
      </c>
      <c r="B8973" s="119">
        <v>0.92201392064217846</v>
      </c>
    </row>
    <row r="8974" spans="1:2">
      <c r="A8974">
        <v>8973</v>
      </c>
      <c r="B8974" s="119">
        <v>7.0162068790326687E-2</v>
      </c>
    </row>
    <row r="8975" spans="1:2">
      <c r="A8975">
        <v>8974</v>
      </c>
      <c r="B8975" s="119">
        <v>0.40349540212365997</v>
      </c>
    </row>
    <row r="8976" spans="1:2">
      <c r="A8976">
        <v>8975</v>
      </c>
      <c r="B8976" s="119">
        <v>0.73682873545699334</v>
      </c>
    </row>
    <row r="8977" spans="1:2">
      <c r="A8977">
        <v>8976</v>
      </c>
      <c r="B8977" s="119">
        <v>0.18127317990143776</v>
      </c>
    </row>
    <row r="8978" spans="1:2">
      <c r="A8978">
        <v>8977</v>
      </c>
      <c r="B8978" s="119">
        <v>0.51460651323477113</v>
      </c>
    </row>
    <row r="8979" spans="1:2">
      <c r="A8979">
        <v>8978</v>
      </c>
      <c r="B8979" s="119">
        <v>0.84793984656810428</v>
      </c>
    </row>
    <row r="8980" spans="1:2">
      <c r="A8980">
        <v>8979</v>
      </c>
      <c r="B8980" s="119">
        <v>0.29238429101254887</v>
      </c>
    </row>
    <row r="8981" spans="1:2">
      <c r="A8981">
        <v>8980</v>
      </c>
      <c r="B8981" s="119">
        <v>0.62571762434588218</v>
      </c>
    </row>
    <row r="8982" spans="1:2">
      <c r="A8982">
        <v>8981</v>
      </c>
      <c r="B8982" s="119">
        <v>0.95905095767921544</v>
      </c>
    </row>
    <row r="8983" spans="1:2">
      <c r="A8983">
        <v>8982</v>
      </c>
      <c r="B8983" s="119">
        <v>0.10719910582736372</v>
      </c>
    </row>
    <row r="8984" spans="1:2">
      <c r="A8984">
        <v>8983</v>
      </c>
      <c r="B8984" s="119">
        <v>0.44053243916069701</v>
      </c>
    </row>
    <row r="8985" spans="1:2">
      <c r="A8985">
        <v>8984</v>
      </c>
      <c r="B8985" s="119">
        <v>0.77386577249403032</v>
      </c>
    </row>
    <row r="8986" spans="1:2">
      <c r="A8986">
        <v>8985</v>
      </c>
      <c r="B8986" s="119">
        <v>0.2183102169384748</v>
      </c>
    </row>
    <row r="8987" spans="1:2">
      <c r="A8987">
        <v>8986</v>
      </c>
      <c r="B8987" s="119">
        <v>0.55164355027180811</v>
      </c>
    </row>
    <row r="8988" spans="1:2">
      <c r="A8988">
        <v>8987</v>
      </c>
      <c r="B8988" s="119">
        <v>0.88497688360514137</v>
      </c>
    </row>
    <row r="8989" spans="1:2">
      <c r="A8989">
        <v>8988</v>
      </c>
      <c r="B8989" s="119">
        <v>0.3294213280495859</v>
      </c>
    </row>
    <row r="8990" spans="1:2">
      <c r="A8990">
        <v>8989</v>
      </c>
      <c r="B8990" s="119">
        <v>0.66275466138291927</v>
      </c>
    </row>
    <row r="8991" spans="1:2">
      <c r="A8991">
        <v>8990</v>
      </c>
      <c r="B8991" s="119">
        <v>0.99608799471625253</v>
      </c>
    </row>
    <row r="8992" spans="1:2">
      <c r="A8992">
        <v>8991</v>
      </c>
      <c r="B8992" s="119">
        <v>1.5749631661840166E-3</v>
      </c>
    </row>
    <row r="8993" spans="1:2">
      <c r="A8993">
        <v>8992</v>
      </c>
      <c r="B8993" s="119">
        <v>0.33490829649951731</v>
      </c>
    </row>
    <row r="8994" spans="1:2">
      <c r="A8994">
        <v>8993</v>
      </c>
      <c r="B8994" s="119">
        <v>0.66824162983285063</v>
      </c>
    </row>
    <row r="8995" spans="1:2">
      <c r="A8995">
        <v>8994</v>
      </c>
      <c r="B8995" s="119">
        <v>0.11268607427729513</v>
      </c>
    </row>
    <row r="8996" spans="1:2">
      <c r="A8996">
        <v>8995</v>
      </c>
      <c r="B8996" s="119">
        <v>0.44601940761062842</v>
      </c>
    </row>
    <row r="8997" spans="1:2">
      <c r="A8997">
        <v>8996</v>
      </c>
      <c r="B8997" s="119">
        <v>0.77935274094396167</v>
      </c>
    </row>
    <row r="8998" spans="1:2">
      <c r="A8998">
        <v>8997</v>
      </c>
      <c r="B8998" s="119">
        <v>0.22379718538840623</v>
      </c>
    </row>
    <row r="8999" spans="1:2">
      <c r="A8999">
        <v>8998</v>
      </c>
      <c r="B8999" s="119">
        <v>0.55713051872173958</v>
      </c>
    </row>
    <row r="9000" spans="1:2">
      <c r="A9000">
        <v>8999</v>
      </c>
      <c r="B9000" s="119">
        <v>0.89046385205507284</v>
      </c>
    </row>
    <row r="9001" spans="1:2">
      <c r="A9001">
        <v>9000</v>
      </c>
      <c r="B9001" s="119">
        <v>3.8612000203221052E-2</v>
      </c>
    </row>
    <row r="9002" spans="1:2">
      <c r="A9002">
        <v>9001</v>
      </c>
      <c r="B9002" s="119">
        <v>0.37194533353655435</v>
      </c>
    </row>
    <row r="9003" spans="1:2">
      <c r="A9003">
        <v>9002</v>
      </c>
      <c r="B9003" s="119">
        <v>0.70527866686988772</v>
      </c>
    </row>
    <row r="9004" spans="1:2">
      <c r="A9004">
        <v>9003</v>
      </c>
      <c r="B9004" s="119">
        <v>0.14972311131433216</v>
      </c>
    </row>
    <row r="9005" spans="1:2">
      <c r="A9005">
        <v>9004</v>
      </c>
      <c r="B9005" s="119">
        <v>0.48305644464766545</v>
      </c>
    </row>
    <row r="9006" spans="1:2">
      <c r="A9006">
        <v>9005</v>
      </c>
      <c r="B9006" s="119">
        <v>0.81638977798099865</v>
      </c>
    </row>
    <row r="9007" spans="1:2">
      <c r="A9007">
        <v>9006</v>
      </c>
      <c r="B9007" s="119">
        <v>0.26083422242544324</v>
      </c>
    </row>
    <row r="9008" spans="1:2">
      <c r="A9008">
        <v>9007</v>
      </c>
      <c r="B9008" s="119">
        <v>0.59416755575877656</v>
      </c>
    </row>
    <row r="9009" spans="1:2">
      <c r="A9009">
        <v>9008</v>
      </c>
      <c r="B9009" s="119">
        <v>0.92750088909210981</v>
      </c>
    </row>
    <row r="9010" spans="1:2">
      <c r="A9010">
        <v>9009</v>
      </c>
      <c r="B9010" s="119">
        <v>7.5649037240258094E-2</v>
      </c>
    </row>
    <row r="9011" spans="1:2">
      <c r="A9011">
        <v>9010</v>
      </c>
      <c r="B9011" s="119">
        <v>0.40898237057359138</v>
      </c>
    </row>
    <row r="9012" spans="1:2">
      <c r="A9012">
        <v>9011</v>
      </c>
      <c r="B9012" s="119">
        <v>0.7423157039069247</v>
      </c>
    </row>
    <row r="9013" spans="1:2">
      <c r="A9013">
        <v>9012</v>
      </c>
      <c r="B9013" s="119">
        <v>0.1867601483513692</v>
      </c>
    </row>
    <row r="9014" spans="1:2">
      <c r="A9014">
        <v>9013</v>
      </c>
      <c r="B9014" s="119">
        <v>0.52009348168470249</v>
      </c>
    </row>
    <row r="9015" spans="1:2">
      <c r="A9015">
        <v>9014</v>
      </c>
      <c r="B9015" s="119">
        <v>0.85342681501803574</v>
      </c>
    </row>
    <row r="9016" spans="1:2">
      <c r="A9016">
        <v>9015</v>
      </c>
      <c r="B9016" s="119">
        <v>0.29787125946248028</v>
      </c>
    </row>
    <row r="9017" spans="1:2">
      <c r="A9017">
        <v>9016</v>
      </c>
      <c r="B9017" s="119">
        <v>0.63120459279581365</v>
      </c>
    </row>
    <row r="9018" spans="1:2">
      <c r="A9018">
        <v>9017</v>
      </c>
      <c r="B9018" s="119">
        <v>0.96453792612914691</v>
      </c>
    </row>
    <row r="9019" spans="1:2">
      <c r="A9019">
        <v>9018</v>
      </c>
      <c r="B9019" s="119">
        <v>1.3920642178529695E-2</v>
      </c>
    </row>
    <row r="9020" spans="1:2">
      <c r="A9020">
        <v>9019</v>
      </c>
      <c r="B9020" s="119">
        <v>0.34725397551186299</v>
      </c>
    </row>
    <row r="9021" spans="1:2">
      <c r="A9021">
        <v>9020</v>
      </c>
      <c r="B9021" s="119">
        <v>0.68058730884519625</v>
      </c>
    </row>
    <row r="9022" spans="1:2">
      <c r="A9022">
        <v>9021</v>
      </c>
      <c r="B9022" s="119">
        <v>0.12503175328964081</v>
      </c>
    </row>
    <row r="9023" spans="1:2">
      <c r="A9023">
        <v>9022</v>
      </c>
      <c r="B9023" s="119">
        <v>0.45836508662297409</v>
      </c>
    </row>
    <row r="9024" spans="1:2">
      <c r="A9024">
        <v>9023</v>
      </c>
      <c r="B9024" s="119">
        <v>0.79169841995630741</v>
      </c>
    </row>
    <row r="9025" spans="1:2">
      <c r="A9025">
        <v>9024</v>
      </c>
      <c r="B9025" s="119">
        <v>0.23614286440075191</v>
      </c>
    </row>
    <row r="9026" spans="1:2">
      <c r="A9026">
        <v>9025</v>
      </c>
      <c r="B9026" s="119">
        <v>0.56947619773408531</v>
      </c>
    </row>
    <row r="9027" spans="1:2">
      <c r="A9027">
        <v>9026</v>
      </c>
      <c r="B9027" s="119">
        <v>0.90280953106741857</v>
      </c>
    </row>
    <row r="9028" spans="1:2">
      <c r="A9028">
        <v>9027</v>
      </c>
      <c r="B9028" s="119">
        <v>5.095767921556673E-2</v>
      </c>
    </row>
    <row r="9029" spans="1:2">
      <c r="A9029">
        <v>9028</v>
      </c>
      <c r="B9029" s="119">
        <v>0.38429101254890002</v>
      </c>
    </row>
    <row r="9030" spans="1:2">
      <c r="A9030">
        <v>9029</v>
      </c>
      <c r="B9030" s="119">
        <v>0.71762434588223345</v>
      </c>
    </row>
    <row r="9031" spans="1:2">
      <c r="A9031">
        <v>9030</v>
      </c>
      <c r="B9031" s="119">
        <v>0.16206879032667784</v>
      </c>
    </row>
    <row r="9032" spans="1:2">
      <c r="A9032">
        <v>9031</v>
      </c>
      <c r="B9032" s="119">
        <v>0.49540212366001113</v>
      </c>
    </row>
    <row r="9033" spans="1:2">
      <c r="A9033">
        <v>9032</v>
      </c>
      <c r="B9033" s="119">
        <v>0.82873545699334439</v>
      </c>
    </row>
    <row r="9034" spans="1:2">
      <c r="A9034">
        <v>9033</v>
      </c>
      <c r="B9034" s="119">
        <v>0.27317990143778892</v>
      </c>
    </row>
    <row r="9035" spans="1:2">
      <c r="A9035">
        <v>9034</v>
      </c>
      <c r="B9035" s="119">
        <v>0.60651323477112229</v>
      </c>
    </row>
    <row r="9036" spans="1:2">
      <c r="A9036">
        <v>9035</v>
      </c>
      <c r="B9036" s="119">
        <v>0.93984656810445555</v>
      </c>
    </row>
    <row r="9037" spans="1:2">
      <c r="A9037">
        <v>9036</v>
      </c>
      <c r="B9037" s="119">
        <v>8.7994716252603772E-2</v>
      </c>
    </row>
    <row r="9038" spans="1:2">
      <c r="A9038">
        <v>9037</v>
      </c>
      <c r="B9038" s="119">
        <v>0.42132804958593706</v>
      </c>
    </row>
    <row r="9039" spans="1:2">
      <c r="A9039">
        <v>9038</v>
      </c>
      <c r="B9039" s="119">
        <v>0.75466138291927043</v>
      </c>
    </row>
    <row r="9040" spans="1:2">
      <c r="A9040">
        <v>9039</v>
      </c>
      <c r="B9040" s="119">
        <v>0.19910582736371488</v>
      </c>
    </row>
    <row r="9041" spans="1:2">
      <c r="A9041">
        <v>9040</v>
      </c>
      <c r="B9041" s="119">
        <v>0.53243916069704811</v>
      </c>
    </row>
    <row r="9042" spans="1:2">
      <c r="A9042">
        <v>9041</v>
      </c>
      <c r="B9042" s="119">
        <v>0.86577249403038137</v>
      </c>
    </row>
    <row r="9043" spans="1:2">
      <c r="A9043">
        <v>9042</v>
      </c>
      <c r="B9043" s="119">
        <v>0.31021693847482595</v>
      </c>
    </row>
    <row r="9044" spans="1:2">
      <c r="A9044">
        <v>9043</v>
      </c>
      <c r="B9044" s="119">
        <v>0.64355027180815927</v>
      </c>
    </row>
    <row r="9045" spans="1:2">
      <c r="A9045">
        <v>9044</v>
      </c>
      <c r="B9045" s="119">
        <v>0.97688360514149253</v>
      </c>
    </row>
    <row r="9046" spans="1:2">
      <c r="A9046">
        <v>9045</v>
      </c>
      <c r="B9046" s="119">
        <v>2.626632119087537E-2</v>
      </c>
    </row>
    <row r="9047" spans="1:2">
      <c r="A9047">
        <v>9046</v>
      </c>
      <c r="B9047" s="119">
        <v>0.35959965452420867</v>
      </c>
    </row>
    <row r="9048" spans="1:2">
      <c r="A9048">
        <v>9047</v>
      </c>
      <c r="B9048" s="119">
        <v>0.69293298785754198</v>
      </c>
    </row>
    <row r="9049" spans="1:2">
      <c r="A9049">
        <v>9048</v>
      </c>
      <c r="B9049" s="119">
        <v>0.13737743230198649</v>
      </c>
    </row>
    <row r="9050" spans="1:2">
      <c r="A9050">
        <v>9049</v>
      </c>
      <c r="B9050" s="119">
        <v>0.47071076563531977</v>
      </c>
    </row>
    <row r="9051" spans="1:2">
      <c r="A9051">
        <v>9050</v>
      </c>
      <c r="B9051" s="119">
        <v>0.80404409896865303</v>
      </c>
    </row>
    <row r="9052" spans="1:2">
      <c r="A9052">
        <v>9051</v>
      </c>
      <c r="B9052" s="119">
        <v>0.24848854341309759</v>
      </c>
    </row>
    <row r="9053" spans="1:2">
      <c r="A9053">
        <v>9052</v>
      </c>
      <c r="B9053" s="119">
        <v>0.58182187674643093</v>
      </c>
    </row>
    <row r="9054" spans="1:2">
      <c r="A9054">
        <v>9053</v>
      </c>
      <c r="B9054" s="119">
        <v>0.91515521007976419</v>
      </c>
    </row>
    <row r="9055" spans="1:2">
      <c r="A9055">
        <v>9054</v>
      </c>
      <c r="B9055" s="119">
        <v>6.3303358227912415E-2</v>
      </c>
    </row>
    <row r="9056" spans="1:2">
      <c r="A9056">
        <v>9055</v>
      </c>
      <c r="B9056" s="119">
        <v>0.3966366915612457</v>
      </c>
    </row>
    <row r="9057" spans="1:2">
      <c r="A9057">
        <v>9056</v>
      </c>
      <c r="B9057" s="119">
        <v>0.72997002489457907</v>
      </c>
    </row>
    <row r="9058" spans="1:2">
      <c r="A9058">
        <v>9057</v>
      </c>
      <c r="B9058" s="119">
        <v>0.17441446933902352</v>
      </c>
    </row>
    <row r="9059" spans="1:2">
      <c r="A9059">
        <v>9058</v>
      </c>
      <c r="B9059" s="119">
        <v>0.50774780267235686</v>
      </c>
    </row>
    <row r="9060" spans="1:2">
      <c r="A9060">
        <v>9059</v>
      </c>
      <c r="B9060" s="119">
        <v>0.84108113600569001</v>
      </c>
    </row>
    <row r="9061" spans="1:2">
      <c r="A9061">
        <v>9060</v>
      </c>
      <c r="B9061" s="119">
        <v>0.2855255804501346</v>
      </c>
    </row>
    <row r="9062" spans="1:2">
      <c r="A9062">
        <v>9061</v>
      </c>
      <c r="B9062" s="119">
        <v>0.61885891378346791</v>
      </c>
    </row>
    <row r="9063" spans="1:2">
      <c r="A9063">
        <v>9062</v>
      </c>
      <c r="B9063" s="119">
        <v>0.95219224711680117</v>
      </c>
    </row>
    <row r="9064" spans="1:2">
      <c r="A9064">
        <v>9063</v>
      </c>
      <c r="B9064" s="119">
        <v>0.10034039526494945</v>
      </c>
    </row>
    <row r="9065" spans="1:2">
      <c r="A9065">
        <v>9064</v>
      </c>
      <c r="B9065" s="119">
        <v>0.43367372859828274</v>
      </c>
    </row>
    <row r="9066" spans="1:2">
      <c r="A9066">
        <v>9065</v>
      </c>
      <c r="B9066" s="119">
        <v>0.76700706193161605</v>
      </c>
    </row>
    <row r="9067" spans="1:2">
      <c r="A9067">
        <v>9066</v>
      </c>
      <c r="B9067" s="119">
        <v>0.21145150637606056</v>
      </c>
    </row>
    <row r="9068" spans="1:2">
      <c r="A9068">
        <v>9067</v>
      </c>
      <c r="B9068" s="119">
        <v>0.54478483970939384</v>
      </c>
    </row>
    <row r="9069" spans="1:2">
      <c r="A9069">
        <v>9068</v>
      </c>
      <c r="B9069" s="119">
        <v>0.8781181730427271</v>
      </c>
    </row>
    <row r="9070" spans="1:2">
      <c r="A9070">
        <v>9069</v>
      </c>
      <c r="B9070" s="119">
        <v>0.32256261748717163</v>
      </c>
    </row>
    <row r="9071" spans="1:2">
      <c r="A9071">
        <v>9070</v>
      </c>
      <c r="B9071" s="119">
        <v>0.655895950820505</v>
      </c>
    </row>
    <row r="9072" spans="1:2">
      <c r="A9072">
        <v>9071</v>
      </c>
      <c r="B9072" s="119">
        <v>0.98922928415383826</v>
      </c>
    </row>
    <row r="9073" spans="1:2">
      <c r="A9073">
        <v>9072</v>
      </c>
      <c r="B9073" s="119">
        <v>5.6901895036325775E-3</v>
      </c>
    </row>
    <row r="9074" spans="1:2">
      <c r="A9074">
        <v>9073</v>
      </c>
      <c r="B9074" s="119">
        <v>0.33902352283696585</v>
      </c>
    </row>
    <row r="9075" spans="1:2">
      <c r="A9075">
        <v>9074</v>
      </c>
      <c r="B9075" s="119">
        <v>0.67235685617029917</v>
      </c>
    </row>
    <row r="9076" spans="1:2">
      <c r="A9076">
        <v>9075</v>
      </c>
      <c r="B9076" s="119">
        <v>0.11680130061474368</v>
      </c>
    </row>
    <row r="9077" spans="1:2">
      <c r="A9077">
        <v>9076</v>
      </c>
      <c r="B9077" s="119">
        <v>0.45013463394807696</v>
      </c>
    </row>
    <row r="9078" spans="1:2">
      <c r="A9078">
        <v>9077</v>
      </c>
      <c r="B9078" s="119">
        <v>0.78346796728141022</v>
      </c>
    </row>
    <row r="9079" spans="1:2">
      <c r="A9079">
        <v>9078</v>
      </c>
      <c r="B9079" s="119">
        <v>0.2279124117258548</v>
      </c>
    </row>
    <row r="9080" spans="1:2">
      <c r="A9080">
        <v>9079</v>
      </c>
      <c r="B9080" s="119">
        <v>0.56124574505918812</v>
      </c>
    </row>
    <row r="9081" spans="1:2">
      <c r="A9081">
        <v>9080</v>
      </c>
      <c r="B9081" s="119">
        <v>0.89457907839252138</v>
      </c>
    </row>
    <row r="9082" spans="1:2">
      <c r="A9082">
        <v>9081</v>
      </c>
      <c r="B9082" s="119">
        <v>4.2727226540669613E-2</v>
      </c>
    </row>
    <row r="9083" spans="1:2">
      <c r="A9083">
        <v>9082</v>
      </c>
      <c r="B9083" s="119">
        <v>0.37606055987400289</v>
      </c>
    </row>
    <row r="9084" spans="1:2">
      <c r="A9084">
        <v>9083</v>
      </c>
      <c r="B9084" s="119">
        <v>0.70939389320733626</v>
      </c>
    </row>
    <row r="9085" spans="1:2">
      <c r="A9085">
        <v>9084</v>
      </c>
      <c r="B9085" s="119">
        <v>0.15383833765178073</v>
      </c>
    </row>
    <row r="9086" spans="1:2">
      <c r="A9086">
        <v>9085</v>
      </c>
      <c r="B9086" s="119">
        <v>0.48717167098511399</v>
      </c>
    </row>
    <row r="9087" spans="1:2">
      <c r="A9087">
        <v>9086</v>
      </c>
      <c r="B9087" s="119">
        <v>0.8205050043184472</v>
      </c>
    </row>
    <row r="9088" spans="1:2">
      <c r="A9088">
        <v>9087</v>
      </c>
      <c r="B9088" s="119">
        <v>0.26494944876289178</v>
      </c>
    </row>
    <row r="9089" spans="1:2">
      <c r="A9089">
        <v>9088</v>
      </c>
      <c r="B9089" s="119">
        <v>0.5982827820962251</v>
      </c>
    </row>
    <row r="9090" spans="1:2">
      <c r="A9090">
        <v>9089</v>
      </c>
      <c r="B9090" s="119">
        <v>0.93161611542955836</v>
      </c>
    </row>
    <row r="9091" spans="1:2">
      <c r="A9091">
        <v>9090</v>
      </c>
      <c r="B9091" s="119">
        <v>7.9764263577706648E-2</v>
      </c>
    </row>
    <row r="9092" spans="1:2">
      <c r="A9092">
        <v>9091</v>
      </c>
      <c r="B9092" s="119">
        <v>0.41309759691103992</v>
      </c>
    </row>
    <row r="9093" spans="1:2">
      <c r="A9093">
        <v>9092</v>
      </c>
      <c r="B9093" s="119">
        <v>0.74643093024437324</v>
      </c>
    </row>
    <row r="9094" spans="1:2">
      <c r="A9094">
        <v>9093</v>
      </c>
      <c r="B9094" s="119">
        <v>0.19087537468881777</v>
      </c>
    </row>
    <row r="9095" spans="1:2">
      <c r="A9095">
        <v>9094</v>
      </c>
      <c r="B9095" s="119">
        <v>0.52420870802215103</v>
      </c>
    </row>
    <row r="9096" spans="1:2">
      <c r="A9096">
        <v>9095</v>
      </c>
      <c r="B9096" s="119">
        <v>0.85754204135548429</v>
      </c>
    </row>
    <row r="9097" spans="1:2">
      <c r="A9097">
        <v>9096</v>
      </c>
      <c r="B9097" s="119">
        <v>0.30198648579992882</v>
      </c>
    </row>
    <row r="9098" spans="1:2">
      <c r="A9098">
        <v>9097</v>
      </c>
      <c r="B9098" s="119">
        <v>0.63531981913326219</v>
      </c>
    </row>
    <row r="9099" spans="1:2">
      <c r="A9099">
        <v>9098</v>
      </c>
      <c r="B9099" s="119">
        <v>0.96865315246659545</v>
      </c>
    </row>
    <row r="9100" spans="1:2">
      <c r="A9100">
        <v>9099</v>
      </c>
      <c r="B9100" s="119">
        <v>1.8035868515978253E-2</v>
      </c>
    </row>
    <row r="9101" spans="1:2">
      <c r="A9101">
        <v>9100</v>
      </c>
      <c r="B9101" s="119">
        <v>0.35136920184931153</v>
      </c>
    </row>
    <row r="9102" spans="1:2">
      <c r="A9102">
        <v>9101</v>
      </c>
      <c r="B9102" s="119">
        <v>0.68470253518264479</v>
      </c>
    </row>
    <row r="9103" spans="1:2">
      <c r="A9103">
        <v>9102</v>
      </c>
      <c r="B9103" s="119">
        <v>0.12914697962708938</v>
      </c>
    </row>
    <row r="9104" spans="1:2">
      <c r="A9104">
        <v>9103</v>
      </c>
      <c r="B9104" s="119">
        <v>0.46248031296042263</v>
      </c>
    </row>
    <row r="9105" spans="1:2">
      <c r="A9105">
        <v>9104</v>
      </c>
      <c r="B9105" s="119">
        <v>0.79581364629375595</v>
      </c>
    </row>
    <row r="9106" spans="1:2">
      <c r="A9106">
        <v>9105</v>
      </c>
      <c r="B9106" s="119">
        <v>0.24025809073820048</v>
      </c>
    </row>
    <row r="9107" spans="1:2">
      <c r="A9107">
        <v>9106</v>
      </c>
      <c r="B9107" s="119">
        <v>0.57359142407153385</v>
      </c>
    </row>
    <row r="9108" spans="1:2">
      <c r="A9108">
        <v>9107</v>
      </c>
      <c r="B9108" s="119">
        <v>0.90692475740486711</v>
      </c>
    </row>
    <row r="9109" spans="1:2">
      <c r="A9109">
        <v>9108</v>
      </c>
      <c r="B9109" s="119">
        <v>5.5072905553015292E-2</v>
      </c>
    </row>
    <row r="9110" spans="1:2">
      <c r="A9110">
        <v>9109</v>
      </c>
      <c r="B9110" s="119">
        <v>0.38840623888634856</v>
      </c>
    </row>
    <row r="9111" spans="1:2">
      <c r="A9111">
        <v>9110</v>
      </c>
      <c r="B9111" s="119">
        <v>0.72173957221968199</v>
      </c>
    </row>
    <row r="9112" spans="1:2">
      <c r="A9112">
        <v>9111</v>
      </c>
      <c r="B9112" s="119">
        <v>0.16618401666412641</v>
      </c>
    </row>
    <row r="9113" spans="1:2">
      <c r="A9113">
        <v>9112</v>
      </c>
      <c r="B9113" s="119">
        <v>0.49951734999745967</v>
      </c>
    </row>
    <row r="9114" spans="1:2">
      <c r="A9114">
        <v>9113</v>
      </c>
      <c r="B9114" s="119">
        <v>0.83285068333079293</v>
      </c>
    </row>
    <row r="9115" spans="1:2">
      <c r="A9115">
        <v>9114</v>
      </c>
      <c r="B9115" s="119">
        <v>0.27729512777523746</v>
      </c>
    </row>
    <row r="9116" spans="1:2">
      <c r="A9116">
        <v>9115</v>
      </c>
      <c r="B9116" s="119">
        <v>0.61062846110857083</v>
      </c>
    </row>
    <row r="9117" spans="1:2">
      <c r="A9117">
        <v>9116</v>
      </c>
      <c r="B9117" s="119">
        <v>0.94396179444190409</v>
      </c>
    </row>
    <row r="9118" spans="1:2">
      <c r="A9118">
        <v>9117</v>
      </c>
      <c r="B9118" s="119">
        <v>9.2109942590052327E-2</v>
      </c>
    </row>
    <row r="9119" spans="1:2">
      <c r="A9119">
        <v>9118</v>
      </c>
      <c r="B9119" s="119">
        <v>0.4254432759233856</v>
      </c>
    </row>
    <row r="9120" spans="1:2">
      <c r="A9120">
        <v>9119</v>
      </c>
      <c r="B9120" s="119">
        <v>0.75877660925671897</v>
      </c>
    </row>
    <row r="9121" spans="1:2">
      <c r="A9121">
        <v>9120</v>
      </c>
      <c r="B9121" s="119">
        <v>0.20322105370116345</v>
      </c>
    </row>
    <row r="9122" spans="1:2">
      <c r="A9122">
        <v>9121</v>
      </c>
      <c r="B9122" s="119">
        <v>0.53655438703449665</v>
      </c>
    </row>
    <row r="9123" spans="1:2">
      <c r="A9123">
        <v>9122</v>
      </c>
      <c r="B9123" s="119">
        <v>0.86988772036782991</v>
      </c>
    </row>
    <row r="9124" spans="1:2">
      <c r="A9124">
        <v>9123</v>
      </c>
      <c r="B9124" s="119">
        <v>0.31433216481227449</v>
      </c>
    </row>
    <row r="9125" spans="1:2">
      <c r="A9125">
        <v>9124</v>
      </c>
      <c r="B9125" s="119">
        <v>0.64766549814560781</v>
      </c>
    </row>
    <row r="9126" spans="1:2">
      <c r="A9126">
        <v>9125</v>
      </c>
      <c r="B9126" s="119">
        <v>0.98099883147894107</v>
      </c>
    </row>
    <row r="9127" spans="1:2">
      <c r="A9127">
        <v>9126</v>
      </c>
      <c r="B9127" s="119">
        <v>3.0381547528323932E-2</v>
      </c>
    </row>
    <row r="9128" spans="1:2">
      <c r="A9128">
        <v>9127</v>
      </c>
      <c r="B9128" s="119">
        <v>0.36371488086165721</v>
      </c>
    </row>
    <row r="9129" spans="1:2">
      <c r="A9129">
        <v>9128</v>
      </c>
      <c r="B9129" s="119">
        <v>0.69704821419499052</v>
      </c>
    </row>
    <row r="9130" spans="1:2">
      <c r="A9130">
        <v>9129</v>
      </c>
      <c r="B9130" s="119">
        <v>0.14149265863943505</v>
      </c>
    </row>
    <row r="9131" spans="1:2">
      <c r="A9131">
        <v>9130</v>
      </c>
      <c r="B9131" s="119">
        <v>0.47482599197276831</v>
      </c>
    </row>
    <row r="9132" spans="1:2">
      <c r="A9132">
        <v>9131</v>
      </c>
      <c r="B9132" s="119">
        <v>0.80815932530610157</v>
      </c>
    </row>
    <row r="9133" spans="1:2">
      <c r="A9133">
        <v>9132</v>
      </c>
      <c r="B9133" s="119">
        <v>0.2526037697505461</v>
      </c>
    </row>
    <row r="9134" spans="1:2">
      <c r="A9134">
        <v>9133</v>
      </c>
      <c r="B9134" s="119">
        <v>0.58593710308387947</v>
      </c>
    </row>
    <row r="9135" spans="1:2">
      <c r="A9135">
        <v>9134</v>
      </c>
      <c r="B9135" s="119">
        <v>0.91927043641721273</v>
      </c>
    </row>
    <row r="9136" spans="1:2">
      <c r="A9136">
        <v>9135</v>
      </c>
      <c r="B9136" s="119">
        <v>6.741858456536097E-2</v>
      </c>
    </row>
    <row r="9137" spans="1:2">
      <c r="A9137">
        <v>9136</v>
      </c>
      <c r="B9137" s="119">
        <v>0.40075191789869424</v>
      </c>
    </row>
    <row r="9138" spans="1:2">
      <c r="A9138">
        <v>9137</v>
      </c>
      <c r="B9138" s="119">
        <v>0.73408525123202761</v>
      </c>
    </row>
    <row r="9139" spans="1:2">
      <c r="A9139">
        <v>9138</v>
      </c>
      <c r="B9139" s="119">
        <v>0.17852969567647209</v>
      </c>
    </row>
    <row r="9140" spans="1:2">
      <c r="A9140">
        <v>9139</v>
      </c>
      <c r="B9140" s="119">
        <v>0.5118630290098054</v>
      </c>
    </row>
    <row r="9141" spans="1:2">
      <c r="A9141">
        <v>9140</v>
      </c>
      <c r="B9141" s="119">
        <v>0.84519636234313855</v>
      </c>
    </row>
    <row r="9142" spans="1:2">
      <c r="A9142">
        <v>9141</v>
      </c>
      <c r="B9142" s="119">
        <v>0.28964080678758314</v>
      </c>
    </row>
    <row r="9143" spans="1:2">
      <c r="A9143">
        <v>9142</v>
      </c>
      <c r="B9143" s="119">
        <v>0.62297414012091645</v>
      </c>
    </row>
    <row r="9144" spans="1:2">
      <c r="A9144">
        <v>9143</v>
      </c>
      <c r="B9144" s="119">
        <v>0.95630747345424971</v>
      </c>
    </row>
    <row r="9145" spans="1:2">
      <c r="A9145">
        <v>9144</v>
      </c>
      <c r="B9145" s="119">
        <v>0.104455621602398</v>
      </c>
    </row>
    <row r="9146" spans="1:2">
      <c r="A9146">
        <v>9145</v>
      </c>
      <c r="B9146" s="119">
        <v>0.43778895493573128</v>
      </c>
    </row>
    <row r="9147" spans="1:2">
      <c r="A9147">
        <v>9146</v>
      </c>
      <c r="B9147" s="119">
        <v>0.77112228826906459</v>
      </c>
    </row>
    <row r="9148" spans="1:2">
      <c r="A9148">
        <v>9147</v>
      </c>
      <c r="B9148" s="119">
        <v>0.21556673271350912</v>
      </c>
    </row>
    <row r="9149" spans="1:2">
      <c r="A9149">
        <v>9148</v>
      </c>
      <c r="B9149" s="119">
        <v>0.54890006604684238</v>
      </c>
    </row>
    <row r="9150" spans="1:2">
      <c r="A9150">
        <v>9149</v>
      </c>
      <c r="B9150" s="119">
        <v>0.88223339938017564</v>
      </c>
    </row>
    <row r="9151" spans="1:2">
      <c r="A9151">
        <v>9150</v>
      </c>
      <c r="B9151" s="119">
        <v>0.32667784382462017</v>
      </c>
    </row>
    <row r="9152" spans="1:2">
      <c r="A9152">
        <v>9151</v>
      </c>
      <c r="B9152" s="119">
        <v>0.66001117715795354</v>
      </c>
    </row>
    <row r="9153" spans="1:2">
      <c r="A9153">
        <v>9152</v>
      </c>
      <c r="B9153" s="119">
        <v>0.9933445104912868</v>
      </c>
    </row>
    <row r="9154" spans="1:2">
      <c r="A9154">
        <v>9153</v>
      </c>
      <c r="B9154" s="119">
        <v>9.8054158410811366E-3</v>
      </c>
    </row>
    <row r="9155" spans="1:2">
      <c r="A9155">
        <v>9154</v>
      </c>
      <c r="B9155" s="119">
        <v>0.34313874917441445</v>
      </c>
    </row>
    <row r="9156" spans="1:2">
      <c r="A9156">
        <v>9155</v>
      </c>
      <c r="B9156" s="119">
        <v>0.67647208250774771</v>
      </c>
    </row>
    <row r="9157" spans="1:2">
      <c r="A9157">
        <v>9156</v>
      </c>
      <c r="B9157" s="119">
        <v>0.12091652695219225</v>
      </c>
    </row>
    <row r="9158" spans="1:2">
      <c r="A9158">
        <v>9157</v>
      </c>
      <c r="B9158" s="119">
        <v>0.45424986028552555</v>
      </c>
    </row>
    <row r="9159" spans="1:2">
      <c r="A9159">
        <v>9158</v>
      </c>
      <c r="B9159" s="119">
        <v>0.78758319361885876</v>
      </c>
    </row>
    <row r="9160" spans="1:2">
      <c r="A9160">
        <v>9159</v>
      </c>
      <c r="B9160" s="119">
        <v>0.23202763806330334</v>
      </c>
    </row>
    <row r="9161" spans="1:2">
      <c r="A9161">
        <v>9160</v>
      </c>
      <c r="B9161" s="119">
        <v>0.56536097139663666</v>
      </c>
    </row>
    <row r="9162" spans="1:2">
      <c r="A9162">
        <v>9161</v>
      </c>
      <c r="B9162" s="119">
        <v>0.89869430472996992</v>
      </c>
    </row>
    <row r="9163" spans="1:2">
      <c r="A9163">
        <v>9162</v>
      </c>
      <c r="B9163" s="119">
        <v>4.6842452878118175E-2</v>
      </c>
    </row>
    <row r="9164" spans="1:2">
      <c r="A9164">
        <v>9163</v>
      </c>
      <c r="B9164" s="119">
        <v>0.38017578621145148</v>
      </c>
    </row>
    <row r="9165" spans="1:2">
      <c r="A9165">
        <v>9164</v>
      </c>
      <c r="B9165" s="119">
        <v>0.7135091195447848</v>
      </c>
    </row>
    <row r="9166" spans="1:2">
      <c r="A9166">
        <v>9165</v>
      </c>
      <c r="B9166" s="119">
        <v>0.15795356398922927</v>
      </c>
    </row>
    <row r="9167" spans="1:2">
      <c r="A9167">
        <v>9166</v>
      </c>
      <c r="B9167" s="119">
        <v>0.49128689732256259</v>
      </c>
    </row>
    <row r="9168" spans="1:2">
      <c r="A9168">
        <v>9167</v>
      </c>
      <c r="B9168" s="119">
        <v>0.82462023065589574</v>
      </c>
    </row>
    <row r="9169" spans="1:2">
      <c r="A9169">
        <v>9168</v>
      </c>
      <c r="B9169" s="119">
        <v>0.26906467510034038</v>
      </c>
    </row>
    <row r="9170" spans="1:2">
      <c r="A9170">
        <v>9169</v>
      </c>
      <c r="B9170" s="119">
        <v>0.60239800843367364</v>
      </c>
    </row>
    <row r="9171" spans="1:2">
      <c r="A9171">
        <v>9170</v>
      </c>
      <c r="B9171" s="119">
        <v>0.9357313417670069</v>
      </c>
    </row>
    <row r="9172" spans="1:2">
      <c r="A9172">
        <v>9171</v>
      </c>
      <c r="B9172" s="119">
        <v>8.3879489915155217E-2</v>
      </c>
    </row>
    <row r="9173" spans="1:2">
      <c r="A9173">
        <v>9172</v>
      </c>
      <c r="B9173" s="119">
        <v>0.41721282324848852</v>
      </c>
    </row>
    <row r="9174" spans="1:2">
      <c r="A9174">
        <v>9173</v>
      </c>
      <c r="B9174" s="119">
        <v>0.75054615658182178</v>
      </c>
    </row>
    <row r="9175" spans="1:2">
      <c r="A9175">
        <v>9174</v>
      </c>
      <c r="B9175" s="119">
        <v>0.19499060102626631</v>
      </c>
    </row>
    <row r="9176" spans="1:2">
      <c r="A9176">
        <v>9175</v>
      </c>
      <c r="B9176" s="119">
        <v>0.52832393435959957</v>
      </c>
    </row>
    <row r="9177" spans="1:2">
      <c r="A9177">
        <v>9176</v>
      </c>
      <c r="B9177" s="119">
        <v>0.86165726769293283</v>
      </c>
    </row>
    <row r="9178" spans="1:2">
      <c r="A9178">
        <v>9177</v>
      </c>
      <c r="B9178" s="119">
        <v>0.30610171213737741</v>
      </c>
    </row>
    <row r="9179" spans="1:2">
      <c r="A9179">
        <v>9178</v>
      </c>
      <c r="B9179" s="119">
        <v>0.63943504547071073</v>
      </c>
    </row>
    <row r="9180" spans="1:2">
      <c r="A9180">
        <v>9179</v>
      </c>
      <c r="B9180" s="119">
        <v>0.97276837880404399</v>
      </c>
    </row>
    <row r="9181" spans="1:2">
      <c r="A9181">
        <v>9180</v>
      </c>
      <c r="B9181" s="119">
        <v>2.2151094853426812E-2</v>
      </c>
    </row>
    <row r="9182" spans="1:2">
      <c r="A9182">
        <v>9181</v>
      </c>
      <c r="B9182" s="119">
        <v>0.35548442818676013</v>
      </c>
    </row>
    <row r="9183" spans="1:2">
      <c r="A9183">
        <v>9182</v>
      </c>
      <c r="B9183" s="119">
        <v>0.68881776152009333</v>
      </c>
    </row>
    <row r="9184" spans="1:2">
      <c r="A9184">
        <v>9183</v>
      </c>
      <c r="B9184" s="119">
        <v>0.13326220596453792</v>
      </c>
    </row>
    <row r="9185" spans="1:2">
      <c r="A9185">
        <v>9184</v>
      </c>
      <c r="B9185" s="119">
        <v>0.46659553929787123</v>
      </c>
    </row>
    <row r="9186" spans="1:2">
      <c r="A9186">
        <v>9185</v>
      </c>
      <c r="B9186" s="119">
        <v>0.79992887263120449</v>
      </c>
    </row>
    <row r="9187" spans="1:2">
      <c r="A9187">
        <v>9186</v>
      </c>
      <c r="B9187" s="119">
        <v>0.24437331707564902</v>
      </c>
    </row>
    <row r="9188" spans="1:2">
      <c r="A9188">
        <v>9187</v>
      </c>
      <c r="B9188" s="119">
        <v>0.57770665040898239</v>
      </c>
    </row>
    <row r="9189" spans="1:2">
      <c r="A9189">
        <v>9188</v>
      </c>
      <c r="B9189" s="119">
        <v>0.91103998374231565</v>
      </c>
    </row>
    <row r="9190" spans="1:2">
      <c r="A9190">
        <v>9189</v>
      </c>
      <c r="B9190" s="119">
        <v>5.9188131890463853E-2</v>
      </c>
    </row>
    <row r="9191" spans="1:2">
      <c r="A9191">
        <v>9190</v>
      </c>
      <c r="B9191" s="119">
        <v>0.39252146522379716</v>
      </c>
    </row>
    <row r="9192" spans="1:2">
      <c r="A9192">
        <v>9191</v>
      </c>
      <c r="B9192" s="119">
        <v>0.72585479855713053</v>
      </c>
    </row>
    <row r="9193" spans="1:2">
      <c r="A9193">
        <v>9192</v>
      </c>
      <c r="B9193" s="119">
        <v>0.17029924300157495</v>
      </c>
    </row>
    <row r="9194" spans="1:2">
      <c r="A9194">
        <v>9193</v>
      </c>
      <c r="B9194" s="119">
        <v>0.50363257633490821</v>
      </c>
    </row>
    <row r="9195" spans="1:2">
      <c r="A9195">
        <v>9194</v>
      </c>
      <c r="B9195" s="119">
        <v>0.83696590966824147</v>
      </c>
    </row>
    <row r="9196" spans="1:2">
      <c r="A9196">
        <v>9195</v>
      </c>
      <c r="B9196" s="119">
        <v>0.28141035411268606</v>
      </c>
    </row>
    <row r="9197" spans="1:2">
      <c r="A9197">
        <v>9196</v>
      </c>
      <c r="B9197" s="119">
        <v>0.61474368744601937</v>
      </c>
    </row>
    <row r="9198" spans="1:2">
      <c r="A9198">
        <v>9197</v>
      </c>
      <c r="B9198" s="119">
        <v>0.94807702077935263</v>
      </c>
    </row>
    <row r="9199" spans="1:2">
      <c r="A9199">
        <v>9198</v>
      </c>
      <c r="B9199" s="119">
        <v>9.6225168927500895E-2</v>
      </c>
    </row>
    <row r="9200" spans="1:2">
      <c r="A9200">
        <v>9199</v>
      </c>
      <c r="B9200" s="119">
        <v>0.4295585022608342</v>
      </c>
    </row>
    <row r="9201" spans="1:2">
      <c r="A9201">
        <v>9200</v>
      </c>
      <c r="B9201" s="119">
        <v>0.76289183559416751</v>
      </c>
    </row>
    <row r="9202" spans="1:2">
      <c r="A9202">
        <v>9201</v>
      </c>
      <c r="B9202" s="119">
        <v>0.20733628003861199</v>
      </c>
    </row>
    <row r="9203" spans="1:2">
      <c r="A9203">
        <v>9202</v>
      </c>
      <c r="B9203" s="119">
        <v>0.54066961337194519</v>
      </c>
    </row>
    <row r="9204" spans="1:2">
      <c r="A9204">
        <v>9203</v>
      </c>
      <c r="B9204" s="119">
        <v>0.87400294670527845</v>
      </c>
    </row>
    <row r="9205" spans="1:2">
      <c r="A9205">
        <v>9204</v>
      </c>
      <c r="B9205" s="119">
        <v>0.31844739114972309</v>
      </c>
    </row>
    <row r="9206" spans="1:2">
      <c r="A9206">
        <v>9205</v>
      </c>
      <c r="B9206" s="119">
        <v>0.65178072448305635</v>
      </c>
    </row>
    <row r="9207" spans="1:2">
      <c r="A9207">
        <v>9206</v>
      </c>
      <c r="B9207" s="119">
        <v>0.98511405781638961</v>
      </c>
    </row>
    <row r="9208" spans="1:2">
      <c r="A9208">
        <v>9207</v>
      </c>
      <c r="B9208" s="119">
        <v>3.4496773865772497E-2</v>
      </c>
    </row>
    <row r="9209" spans="1:2">
      <c r="A9209">
        <v>9208</v>
      </c>
      <c r="B9209" s="119">
        <v>0.3678301071991058</v>
      </c>
    </row>
    <row r="9210" spans="1:2">
      <c r="A9210">
        <v>9209</v>
      </c>
      <c r="B9210" s="119">
        <v>0.70116344053243906</v>
      </c>
    </row>
    <row r="9211" spans="1:2">
      <c r="A9211">
        <v>9210</v>
      </c>
      <c r="B9211" s="119">
        <v>0.14560788497688359</v>
      </c>
    </row>
    <row r="9212" spans="1:2">
      <c r="A9212">
        <v>9211</v>
      </c>
      <c r="B9212" s="119">
        <v>0.47894121831021691</v>
      </c>
    </row>
    <row r="9213" spans="1:2">
      <c r="A9213">
        <v>9212</v>
      </c>
      <c r="B9213" s="119">
        <v>0.81227455164355011</v>
      </c>
    </row>
    <row r="9214" spans="1:2">
      <c r="A9214">
        <v>9213</v>
      </c>
      <c r="B9214" s="119">
        <v>0.2567189960879947</v>
      </c>
    </row>
    <row r="9215" spans="1:2">
      <c r="A9215">
        <v>9214</v>
      </c>
      <c r="B9215" s="119">
        <v>0.59005232942132801</v>
      </c>
    </row>
    <row r="9216" spans="1:2">
      <c r="A9216">
        <v>9215</v>
      </c>
      <c r="B9216" s="119">
        <v>0.92338566275466127</v>
      </c>
    </row>
    <row r="9217" spans="1:2">
      <c r="A9217">
        <v>9216</v>
      </c>
      <c r="B9217" s="119">
        <v>7.1533810902809539E-2</v>
      </c>
    </row>
    <row r="9218" spans="1:2">
      <c r="A9218">
        <v>9217</v>
      </c>
      <c r="B9218" s="119">
        <v>0.40486714423614284</v>
      </c>
    </row>
    <row r="9219" spans="1:2">
      <c r="A9219">
        <v>9218</v>
      </c>
      <c r="B9219" s="119">
        <v>0.73820047756947615</v>
      </c>
    </row>
    <row r="9220" spans="1:2">
      <c r="A9220">
        <v>9219</v>
      </c>
      <c r="B9220" s="119">
        <v>0.18264492201392063</v>
      </c>
    </row>
    <row r="9221" spans="1:2">
      <c r="A9221">
        <v>9220</v>
      </c>
      <c r="B9221" s="119">
        <v>0.51597825534725394</v>
      </c>
    </row>
    <row r="9222" spans="1:2">
      <c r="A9222">
        <v>9221</v>
      </c>
      <c r="B9222" s="119">
        <v>0.84931158868058709</v>
      </c>
    </row>
    <row r="9223" spans="1:2">
      <c r="A9223">
        <v>9222</v>
      </c>
      <c r="B9223" s="119">
        <v>0.29375603312503173</v>
      </c>
    </row>
    <row r="9224" spans="1:2">
      <c r="A9224">
        <v>9223</v>
      </c>
      <c r="B9224" s="119">
        <v>0.62708936645836499</v>
      </c>
    </row>
    <row r="9225" spans="1:2">
      <c r="A9225">
        <v>9224</v>
      </c>
      <c r="B9225" s="119">
        <v>0.96042269979169825</v>
      </c>
    </row>
    <row r="9226" spans="1:2">
      <c r="A9226">
        <v>9225</v>
      </c>
      <c r="B9226" s="119">
        <v>0.10857084793984657</v>
      </c>
    </row>
    <row r="9227" spans="1:2">
      <c r="A9227">
        <v>9226</v>
      </c>
      <c r="B9227" s="119">
        <v>0.44190418127317987</v>
      </c>
    </row>
    <row r="9228" spans="1:2">
      <c r="A9228">
        <v>9227</v>
      </c>
      <c r="B9228" s="119">
        <v>0.77523751460651313</v>
      </c>
    </row>
    <row r="9229" spans="1:2">
      <c r="A9229">
        <v>9228</v>
      </c>
      <c r="B9229" s="119">
        <v>0.21968195905095766</v>
      </c>
    </row>
    <row r="9230" spans="1:2">
      <c r="A9230">
        <v>9229</v>
      </c>
      <c r="B9230" s="119">
        <v>0.55301529238429092</v>
      </c>
    </row>
    <row r="9231" spans="1:2">
      <c r="A9231">
        <v>9230</v>
      </c>
      <c r="B9231" s="119">
        <v>0.88634862571762418</v>
      </c>
    </row>
    <row r="9232" spans="1:2">
      <c r="A9232">
        <v>9231</v>
      </c>
      <c r="B9232" s="119">
        <v>0.33079307016206877</v>
      </c>
    </row>
    <row r="9233" spans="1:2">
      <c r="A9233">
        <v>9232</v>
      </c>
      <c r="B9233" s="119">
        <v>0.66412640349540208</v>
      </c>
    </row>
    <row r="9234" spans="1:2">
      <c r="A9234">
        <v>9233</v>
      </c>
      <c r="B9234" s="119">
        <v>0.99745973682873534</v>
      </c>
    </row>
    <row r="9235" spans="1:2">
      <c r="A9235">
        <v>9234</v>
      </c>
      <c r="B9235" s="119">
        <v>2.9467052786668695E-3</v>
      </c>
    </row>
    <row r="9236" spans="1:2">
      <c r="A9236">
        <v>9235</v>
      </c>
      <c r="B9236" s="119">
        <v>0.33628003861200018</v>
      </c>
    </row>
    <row r="9237" spans="1:2">
      <c r="A9237">
        <v>9236</v>
      </c>
      <c r="B9237" s="119">
        <v>0.66961337194533355</v>
      </c>
    </row>
    <row r="9238" spans="1:2">
      <c r="A9238">
        <v>9237</v>
      </c>
      <c r="B9238" s="119">
        <v>0.11405781638977798</v>
      </c>
    </row>
    <row r="9239" spans="1:2">
      <c r="A9239">
        <v>9238</v>
      </c>
      <c r="B9239" s="119">
        <v>0.44739114972311128</v>
      </c>
    </row>
    <row r="9240" spans="1:2">
      <c r="A9240">
        <v>9239</v>
      </c>
      <c r="B9240" s="119">
        <v>0.7807244830564446</v>
      </c>
    </row>
    <row r="9241" spans="1:2">
      <c r="A9241">
        <v>9240</v>
      </c>
      <c r="B9241" s="119">
        <v>0.22516892750088907</v>
      </c>
    </row>
    <row r="9242" spans="1:2">
      <c r="A9242">
        <v>9241</v>
      </c>
      <c r="B9242" s="119">
        <v>0.5585022608342225</v>
      </c>
    </row>
    <row r="9243" spans="1:2">
      <c r="A9243">
        <v>9242</v>
      </c>
      <c r="B9243" s="119">
        <v>0.89183559416755576</v>
      </c>
    </row>
    <row r="9244" spans="1:2">
      <c r="A9244">
        <v>9243</v>
      </c>
      <c r="B9244" s="119">
        <v>3.9983742315703903E-2</v>
      </c>
    </row>
    <row r="9245" spans="1:2">
      <c r="A9245">
        <v>9244</v>
      </c>
      <c r="B9245" s="119">
        <v>0.37331707564903721</v>
      </c>
    </row>
    <row r="9246" spans="1:2">
      <c r="A9246">
        <v>9245</v>
      </c>
      <c r="B9246" s="119">
        <v>0.70665040898237064</v>
      </c>
    </row>
    <row r="9247" spans="1:2">
      <c r="A9247">
        <v>9246</v>
      </c>
      <c r="B9247" s="119">
        <v>0.151094853426815</v>
      </c>
    </row>
    <row r="9248" spans="1:2">
      <c r="A9248">
        <v>9247</v>
      </c>
      <c r="B9248" s="119">
        <v>0.48442818676014832</v>
      </c>
    </row>
    <row r="9249" spans="1:2">
      <c r="A9249">
        <v>9248</v>
      </c>
      <c r="B9249" s="119">
        <v>0.81776152009348158</v>
      </c>
    </row>
    <row r="9250" spans="1:2">
      <c r="A9250">
        <v>9249</v>
      </c>
      <c r="B9250" s="119">
        <v>0.26220596453792611</v>
      </c>
    </row>
    <row r="9251" spans="1:2">
      <c r="A9251">
        <v>9250</v>
      </c>
      <c r="B9251" s="119">
        <v>0.59553929787125948</v>
      </c>
    </row>
    <row r="9252" spans="1:2">
      <c r="A9252">
        <v>9251</v>
      </c>
      <c r="B9252" s="119">
        <v>0.92887263120459274</v>
      </c>
    </row>
    <row r="9253" spans="1:2">
      <c r="A9253">
        <v>9252</v>
      </c>
      <c r="B9253" s="119">
        <v>7.7020779352740945E-2</v>
      </c>
    </row>
    <row r="9254" spans="1:2">
      <c r="A9254">
        <v>9253</v>
      </c>
      <c r="B9254" s="119">
        <v>0.41035411268607425</v>
      </c>
    </row>
    <row r="9255" spans="1:2">
      <c r="A9255">
        <v>9254</v>
      </c>
      <c r="B9255" s="119">
        <v>0.74368744601940762</v>
      </c>
    </row>
    <row r="9256" spans="1:2">
      <c r="A9256">
        <v>9255</v>
      </c>
      <c r="B9256" s="119">
        <v>0.18813189046385204</v>
      </c>
    </row>
    <row r="9257" spans="1:2">
      <c r="A9257">
        <v>9256</v>
      </c>
      <c r="B9257" s="119">
        <v>0.52146522379718541</v>
      </c>
    </row>
    <row r="9258" spans="1:2">
      <c r="A9258">
        <v>9257</v>
      </c>
      <c r="B9258" s="119">
        <v>0.85479855713051867</v>
      </c>
    </row>
    <row r="9259" spans="1:2">
      <c r="A9259">
        <v>9258</v>
      </c>
      <c r="B9259" s="119">
        <v>0.29924300157496314</v>
      </c>
    </row>
    <row r="9260" spans="1:2">
      <c r="A9260">
        <v>9259</v>
      </c>
      <c r="B9260" s="119">
        <v>0.63257633490829657</v>
      </c>
    </row>
    <row r="9261" spans="1:2">
      <c r="A9261">
        <v>9260</v>
      </c>
      <c r="B9261" s="119">
        <v>0.96590966824162983</v>
      </c>
    </row>
    <row r="9262" spans="1:2">
      <c r="A9262">
        <v>9261</v>
      </c>
      <c r="B9262" s="119">
        <v>1.5292384291012548E-2</v>
      </c>
    </row>
    <row r="9263" spans="1:2">
      <c r="A9263">
        <v>9262</v>
      </c>
      <c r="B9263" s="119">
        <v>0.34862571762434585</v>
      </c>
    </row>
    <row r="9264" spans="1:2">
      <c r="A9264">
        <v>9263</v>
      </c>
      <c r="B9264" s="119">
        <v>0.68195905095767917</v>
      </c>
    </row>
    <row r="9265" spans="1:2">
      <c r="A9265">
        <v>9264</v>
      </c>
      <c r="B9265" s="119">
        <v>0.12640349540212364</v>
      </c>
    </row>
    <row r="9266" spans="1:2">
      <c r="A9266">
        <v>9265</v>
      </c>
      <c r="B9266" s="119">
        <v>0.45973682873545696</v>
      </c>
    </row>
    <row r="9267" spans="1:2">
      <c r="A9267">
        <v>9266</v>
      </c>
      <c r="B9267" s="119">
        <v>0.79307016206879033</v>
      </c>
    </row>
    <row r="9268" spans="1:2">
      <c r="A9268">
        <v>9267</v>
      </c>
      <c r="B9268" s="119">
        <v>0.23751460651323475</v>
      </c>
    </row>
    <row r="9269" spans="1:2">
      <c r="A9269">
        <v>9268</v>
      </c>
      <c r="B9269" s="119">
        <v>0.57084793984656823</v>
      </c>
    </row>
    <row r="9270" spans="1:2">
      <c r="A9270">
        <v>9269</v>
      </c>
      <c r="B9270" s="119">
        <v>0.90418127317990149</v>
      </c>
    </row>
    <row r="9271" spans="1:2">
      <c r="A9271">
        <v>9270</v>
      </c>
      <c r="B9271" s="119">
        <v>5.2329421328049582E-2</v>
      </c>
    </row>
    <row r="9272" spans="1:2">
      <c r="A9272">
        <v>9271</v>
      </c>
      <c r="B9272" s="119">
        <v>0.38566275466138289</v>
      </c>
    </row>
    <row r="9273" spans="1:2">
      <c r="A9273">
        <v>9272</v>
      </c>
      <c r="B9273" s="119">
        <v>0.71899608799471637</v>
      </c>
    </row>
    <row r="9274" spans="1:2">
      <c r="A9274">
        <v>9273</v>
      </c>
      <c r="B9274" s="119">
        <v>0.16344053243916068</v>
      </c>
    </row>
    <row r="9275" spans="1:2">
      <c r="A9275">
        <v>9274</v>
      </c>
      <c r="B9275" s="119">
        <v>0.49677386577249399</v>
      </c>
    </row>
    <row r="9276" spans="1:2">
      <c r="A9276">
        <v>9275</v>
      </c>
      <c r="B9276" s="119">
        <v>0.83010719910582731</v>
      </c>
    </row>
    <row r="9277" spans="1:2">
      <c r="A9277">
        <v>9276</v>
      </c>
      <c r="B9277" s="119">
        <v>0.27455164355027178</v>
      </c>
    </row>
    <row r="9278" spans="1:2">
      <c r="A9278">
        <v>9277</v>
      </c>
      <c r="B9278" s="119">
        <v>0.60788497688360521</v>
      </c>
    </row>
    <row r="9279" spans="1:2">
      <c r="A9279">
        <v>9278</v>
      </c>
      <c r="B9279" s="119">
        <v>0.94121831021693847</v>
      </c>
    </row>
    <row r="9280" spans="1:2">
      <c r="A9280">
        <v>9279</v>
      </c>
      <c r="B9280" s="119">
        <v>8.9366458365086623E-2</v>
      </c>
    </row>
    <row r="9281" spans="1:2">
      <c r="A9281">
        <v>9280</v>
      </c>
      <c r="B9281" s="119">
        <v>0.42269979169841992</v>
      </c>
    </row>
    <row r="9282" spans="1:2">
      <c r="A9282">
        <v>9281</v>
      </c>
      <c r="B9282" s="119">
        <v>0.75603312503175335</v>
      </c>
    </row>
    <row r="9283" spans="1:2">
      <c r="A9283">
        <v>9282</v>
      </c>
      <c r="B9283" s="119">
        <v>0.20047756947619771</v>
      </c>
    </row>
    <row r="9284" spans="1:2">
      <c r="A9284">
        <v>9283</v>
      </c>
      <c r="B9284" s="119">
        <v>0.53381090280953103</v>
      </c>
    </row>
    <row r="9285" spans="1:2">
      <c r="A9285">
        <v>9284</v>
      </c>
      <c r="B9285" s="119">
        <v>0.86714423614286429</v>
      </c>
    </row>
    <row r="9286" spans="1:2">
      <c r="A9286">
        <v>9285</v>
      </c>
      <c r="B9286" s="119">
        <v>0.31158868058730882</v>
      </c>
    </row>
    <row r="9287" spans="1:2">
      <c r="A9287">
        <v>9286</v>
      </c>
      <c r="B9287" s="119">
        <v>0.64492201392064219</v>
      </c>
    </row>
    <row r="9288" spans="1:2">
      <c r="A9288">
        <v>9287</v>
      </c>
      <c r="B9288" s="119">
        <v>0.97825534725397545</v>
      </c>
    </row>
    <row r="9289" spans="1:2">
      <c r="A9289">
        <v>9288</v>
      </c>
      <c r="B9289" s="119">
        <v>2.7638063303358225E-2</v>
      </c>
    </row>
    <row r="9290" spans="1:2">
      <c r="A9290">
        <v>9289</v>
      </c>
      <c r="B9290" s="119">
        <v>0.36097139663669153</v>
      </c>
    </row>
    <row r="9291" spans="1:2">
      <c r="A9291">
        <v>9290</v>
      </c>
      <c r="B9291" s="119">
        <v>0.6943047299700249</v>
      </c>
    </row>
    <row r="9292" spans="1:2">
      <c r="A9292">
        <v>9291</v>
      </c>
      <c r="B9292" s="119">
        <v>0.13874917441446932</v>
      </c>
    </row>
    <row r="9293" spans="1:2">
      <c r="A9293">
        <v>9292</v>
      </c>
      <c r="B9293" s="119">
        <v>0.47208250774780264</v>
      </c>
    </row>
    <row r="9294" spans="1:2">
      <c r="A9294">
        <v>9293</v>
      </c>
      <c r="B9294" s="119">
        <v>0.80541584108113595</v>
      </c>
    </row>
    <row r="9295" spans="1:2">
      <c r="A9295">
        <v>9294</v>
      </c>
      <c r="B9295" s="119">
        <v>0.24986028552558043</v>
      </c>
    </row>
    <row r="9296" spans="1:2">
      <c r="A9296">
        <v>9295</v>
      </c>
      <c r="B9296" s="119">
        <v>0.58319361885891385</v>
      </c>
    </row>
    <row r="9297" spans="1:2">
      <c r="A9297">
        <v>9296</v>
      </c>
      <c r="B9297" s="119">
        <v>0.91652695219224711</v>
      </c>
    </row>
    <row r="9298" spans="1:2">
      <c r="A9298">
        <v>9297</v>
      </c>
      <c r="B9298" s="119">
        <v>6.4675100340395267E-2</v>
      </c>
    </row>
    <row r="9299" spans="1:2">
      <c r="A9299">
        <v>9298</v>
      </c>
      <c r="B9299" s="119">
        <v>0.39800843367372857</v>
      </c>
    </row>
    <row r="9300" spans="1:2">
      <c r="A9300">
        <v>9299</v>
      </c>
      <c r="B9300" s="119">
        <v>0.73134176700706199</v>
      </c>
    </row>
    <row r="9301" spans="1:2">
      <c r="A9301">
        <v>9300</v>
      </c>
      <c r="B9301" s="119">
        <v>0.17578621145150636</v>
      </c>
    </row>
    <row r="9302" spans="1:2">
      <c r="A9302">
        <v>9301</v>
      </c>
      <c r="B9302" s="119">
        <v>0.50911954478483978</v>
      </c>
    </row>
    <row r="9303" spans="1:2">
      <c r="A9303">
        <v>9302</v>
      </c>
      <c r="B9303" s="119">
        <v>0.84245287811817293</v>
      </c>
    </row>
    <row r="9304" spans="1:2">
      <c r="A9304">
        <v>9303</v>
      </c>
      <c r="B9304" s="119">
        <v>0.28689732256261746</v>
      </c>
    </row>
    <row r="9305" spans="1:2">
      <c r="A9305">
        <v>9304</v>
      </c>
      <c r="B9305" s="119">
        <v>0.62023065589595083</v>
      </c>
    </row>
    <row r="9306" spans="1:2">
      <c r="A9306">
        <v>9305</v>
      </c>
      <c r="B9306" s="119">
        <v>0.95356398922928409</v>
      </c>
    </row>
    <row r="9307" spans="1:2">
      <c r="A9307">
        <v>9306</v>
      </c>
      <c r="B9307" s="119">
        <v>0.1017121373774323</v>
      </c>
    </row>
    <row r="9308" spans="1:2">
      <c r="A9308">
        <v>9307</v>
      </c>
      <c r="B9308" s="119">
        <v>0.4350454707107656</v>
      </c>
    </row>
    <row r="9309" spans="1:2">
      <c r="A9309">
        <v>9308</v>
      </c>
      <c r="B9309" s="119">
        <v>0.76837880404409897</v>
      </c>
    </row>
    <row r="9310" spans="1:2">
      <c r="A9310">
        <v>9309</v>
      </c>
      <c r="B9310" s="119">
        <v>0.21282324848854339</v>
      </c>
    </row>
    <row r="9311" spans="1:2">
      <c r="A9311">
        <v>9310</v>
      </c>
      <c r="B9311" s="119">
        <v>0.54615658182187676</v>
      </c>
    </row>
    <row r="9312" spans="1:2">
      <c r="A9312">
        <v>9311</v>
      </c>
      <c r="B9312" s="119">
        <v>0.87948991515521002</v>
      </c>
    </row>
    <row r="9313" spans="1:2">
      <c r="A9313">
        <v>9312</v>
      </c>
      <c r="B9313" s="119">
        <v>0.3239343595996545</v>
      </c>
    </row>
    <row r="9314" spans="1:2">
      <c r="A9314">
        <v>9313</v>
      </c>
      <c r="B9314" s="119">
        <v>0.65726769293298792</v>
      </c>
    </row>
    <row r="9315" spans="1:2">
      <c r="A9315">
        <v>9314</v>
      </c>
      <c r="B9315" s="119">
        <v>0.99060102626632118</v>
      </c>
    </row>
    <row r="9316" spans="1:2">
      <c r="A9316">
        <v>9315</v>
      </c>
      <c r="B9316" s="119">
        <v>7.0619316161154308E-3</v>
      </c>
    </row>
    <row r="9317" spans="1:2">
      <c r="A9317">
        <v>9316</v>
      </c>
      <c r="B9317" s="119">
        <v>0.34039526494944872</v>
      </c>
    </row>
    <row r="9318" spans="1:2">
      <c r="A9318">
        <v>9317</v>
      </c>
      <c r="B9318" s="119">
        <v>0.67372859828278209</v>
      </c>
    </row>
    <row r="9319" spans="1:2">
      <c r="A9319">
        <v>9318</v>
      </c>
      <c r="B9319" s="119">
        <v>0.11817304272722653</v>
      </c>
    </row>
    <row r="9320" spans="1:2">
      <c r="A9320">
        <v>9319</v>
      </c>
      <c r="B9320" s="119">
        <v>0.45150637606055982</v>
      </c>
    </row>
    <row r="9321" spans="1:2">
      <c r="A9321">
        <v>9320</v>
      </c>
      <c r="B9321" s="119">
        <v>0.78483970939389314</v>
      </c>
    </row>
    <row r="9322" spans="1:2">
      <c r="A9322">
        <v>9321</v>
      </c>
      <c r="B9322" s="119">
        <v>0.22928415383833764</v>
      </c>
    </row>
    <row r="9323" spans="1:2">
      <c r="A9323">
        <v>9322</v>
      </c>
      <c r="B9323" s="119">
        <v>0.56261748717167104</v>
      </c>
    </row>
    <row r="9324" spans="1:2">
      <c r="A9324">
        <v>9323</v>
      </c>
      <c r="B9324" s="119">
        <v>0.8959508205050043</v>
      </c>
    </row>
    <row r="9325" spans="1:2">
      <c r="A9325">
        <v>9324</v>
      </c>
      <c r="B9325" s="119">
        <v>4.4098968653152465E-2</v>
      </c>
    </row>
    <row r="9326" spans="1:2">
      <c r="A9326">
        <v>9325</v>
      </c>
      <c r="B9326" s="119">
        <v>0.37743230198648575</v>
      </c>
    </row>
    <row r="9327" spans="1:2">
      <c r="A9327">
        <v>9326</v>
      </c>
      <c r="B9327" s="119">
        <v>0.71076563531981918</v>
      </c>
    </row>
    <row r="9328" spans="1:2">
      <c r="A9328">
        <v>9327</v>
      </c>
      <c r="B9328" s="119">
        <v>0.15521007976426357</v>
      </c>
    </row>
    <row r="9329" spans="1:2">
      <c r="A9329">
        <v>9328</v>
      </c>
      <c r="B9329" s="119">
        <v>0.48854341309759686</v>
      </c>
    </row>
    <row r="9330" spans="1:2">
      <c r="A9330">
        <v>9329</v>
      </c>
      <c r="B9330" s="119">
        <v>0.82187674643093012</v>
      </c>
    </row>
    <row r="9331" spans="1:2">
      <c r="A9331">
        <v>9330</v>
      </c>
      <c r="B9331" s="119">
        <v>0.26632119087537465</v>
      </c>
    </row>
    <row r="9332" spans="1:2">
      <c r="A9332">
        <v>9331</v>
      </c>
      <c r="B9332" s="119">
        <v>0.59965452420870802</v>
      </c>
    </row>
    <row r="9333" spans="1:2">
      <c r="A9333">
        <v>9332</v>
      </c>
      <c r="B9333" s="119">
        <v>0.93298785754204128</v>
      </c>
    </row>
    <row r="9334" spans="1:2">
      <c r="A9334">
        <v>9333</v>
      </c>
      <c r="B9334" s="119">
        <v>8.11360056901895E-2</v>
      </c>
    </row>
    <row r="9335" spans="1:2">
      <c r="A9335">
        <v>9334</v>
      </c>
      <c r="B9335" s="119">
        <v>0.41446933902352279</v>
      </c>
    </row>
    <row r="9336" spans="1:2">
      <c r="A9336">
        <v>9335</v>
      </c>
      <c r="B9336" s="119">
        <v>0.74780267235685616</v>
      </c>
    </row>
    <row r="9337" spans="1:2">
      <c r="A9337">
        <v>9336</v>
      </c>
      <c r="B9337" s="119">
        <v>0.1922471168013006</v>
      </c>
    </row>
    <row r="9338" spans="1:2">
      <c r="A9338">
        <v>9337</v>
      </c>
      <c r="B9338" s="119">
        <v>0.52558045013463395</v>
      </c>
    </row>
    <row r="9339" spans="1:2">
      <c r="A9339">
        <v>9338</v>
      </c>
      <c r="B9339" s="119">
        <v>0.85891378346796721</v>
      </c>
    </row>
    <row r="9340" spans="1:2">
      <c r="A9340">
        <v>9339</v>
      </c>
      <c r="B9340" s="119">
        <v>0.30335822791241168</v>
      </c>
    </row>
    <row r="9341" spans="1:2">
      <c r="A9341">
        <v>9340</v>
      </c>
      <c r="B9341" s="119">
        <v>0.63669156124574511</v>
      </c>
    </row>
    <row r="9342" spans="1:2">
      <c r="A9342">
        <v>9341</v>
      </c>
      <c r="B9342" s="119">
        <v>0.97002489457907837</v>
      </c>
    </row>
    <row r="9343" spans="1:2">
      <c r="A9343">
        <v>9342</v>
      </c>
      <c r="B9343" s="119">
        <v>1.9407610628461108E-2</v>
      </c>
    </row>
    <row r="9344" spans="1:2">
      <c r="A9344">
        <v>9343</v>
      </c>
      <c r="B9344" s="119">
        <v>0.3527409439617944</v>
      </c>
    </row>
    <row r="9345" spans="1:2">
      <c r="A9345">
        <v>9344</v>
      </c>
      <c r="B9345" s="119">
        <v>0.68607427729512771</v>
      </c>
    </row>
    <row r="9346" spans="1:2">
      <c r="A9346">
        <v>9345</v>
      </c>
      <c r="B9346" s="119">
        <v>0.13051872173957221</v>
      </c>
    </row>
    <row r="9347" spans="1:2">
      <c r="A9347">
        <v>9346</v>
      </c>
      <c r="B9347" s="119">
        <v>0.4638520550729055</v>
      </c>
    </row>
    <row r="9348" spans="1:2">
      <c r="A9348">
        <v>9347</v>
      </c>
      <c r="B9348" s="119">
        <v>0.79718538840623887</v>
      </c>
    </row>
    <row r="9349" spans="1:2">
      <c r="A9349">
        <v>9348</v>
      </c>
      <c r="B9349" s="119">
        <v>0.24162983285068332</v>
      </c>
    </row>
    <row r="9350" spans="1:2">
      <c r="A9350">
        <v>9349</v>
      </c>
      <c r="B9350" s="119">
        <v>0.57496316618401677</v>
      </c>
    </row>
    <row r="9351" spans="1:2">
      <c r="A9351">
        <v>9350</v>
      </c>
      <c r="B9351" s="119">
        <v>0.90829649951735003</v>
      </c>
    </row>
    <row r="9352" spans="1:2">
      <c r="A9352">
        <v>9351</v>
      </c>
      <c r="B9352" s="119">
        <v>5.6444647665498143E-2</v>
      </c>
    </row>
    <row r="9353" spans="1:2">
      <c r="A9353">
        <v>9352</v>
      </c>
      <c r="B9353" s="119">
        <v>0.38977798099883143</v>
      </c>
    </row>
    <row r="9354" spans="1:2">
      <c r="A9354">
        <v>9353</v>
      </c>
      <c r="B9354" s="119">
        <v>0.72311131433216491</v>
      </c>
    </row>
    <row r="9355" spans="1:2">
      <c r="A9355">
        <v>9354</v>
      </c>
      <c r="B9355" s="119">
        <v>0.16755575877660925</v>
      </c>
    </row>
    <row r="9356" spans="1:2">
      <c r="A9356">
        <v>9355</v>
      </c>
      <c r="B9356" s="119">
        <v>0.50088909210994259</v>
      </c>
    </row>
    <row r="9357" spans="1:2">
      <c r="A9357">
        <v>9356</v>
      </c>
      <c r="B9357" s="119">
        <v>0.83422242544327585</v>
      </c>
    </row>
    <row r="9358" spans="1:2">
      <c r="A9358">
        <v>9357</v>
      </c>
      <c r="B9358" s="119">
        <v>0.27866686988772033</v>
      </c>
    </row>
    <row r="9359" spans="1:2">
      <c r="A9359">
        <v>9358</v>
      </c>
      <c r="B9359" s="119">
        <v>0.61200020322105375</v>
      </c>
    </row>
    <row r="9360" spans="1:2">
      <c r="A9360">
        <v>9359</v>
      </c>
      <c r="B9360" s="119">
        <v>0.94533353655438701</v>
      </c>
    </row>
    <row r="9361" spans="1:2">
      <c r="A9361">
        <v>9360</v>
      </c>
      <c r="B9361" s="119">
        <v>9.3481684702535178E-2</v>
      </c>
    </row>
    <row r="9362" spans="1:2">
      <c r="A9362">
        <v>9361</v>
      </c>
      <c r="B9362" s="119">
        <v>0.42681501803586847</v>
      </c>
    </row>
    <row r="9363" spans="1:2">
      <c r="A9363">
        <v>9362</v>
      </c>
      <c r="B9363" s="119">
        <v>0.76014835136920189</v>
      </c>
    </row>
    <row r="9364" spans="1:2">
      <c r="A9364">
        <v>9363</v>
      </c>
      <c r="B9364" s="119">
        <v>0.20459279581364628</v>
      </c>
    </row>
    <row r="9365" spans="1:2">
      <c r="A9365">
        <v>9364</v>
      </c>
      <c r="B9365" s="119">
        <v>0.53792612914697957</v>
      </c>
    </row>
    <row r="9366" spans="1:2">
      <c r="A9366">
        <v>9365</v>
      </c>
      <c r="B9366" s="119">
        <v>0.87125946248031283</v>
      </c>
    </row>
    <row r="9367" spans="1:2">
      <c r="A9367">
        <v>9366</v>
      </c>
      <c r="B9367" s="119">
        <v>0.31570390692475736</v>
      </c>
    </row>
    <row r="9368" spans="1:2">
      <c r="A9368">
        <v>9367</v>
      </c>
      <c r="B9368" s="119">
        <v>0.64903724025809073</v>
      </c>
    </row>
    <row r="9369" spans="1:2">
      <c r="A9369">
        <v>9368</v>
      </c>
      <c r="B9369" s="119">
        <v>0.98237057359142399</v>
      </c>
    </row>
    <row r="9370" spans="1:2">
      <c r="A9370">
        <v>9369</v>
      </c>
      <c r="B9370" s="119">
        <v>3.1753289640806787E-2</v>
      </c>
    </row>
    <row r="9371" spans="1:2">
      <c r="A9371">
        <v>9370</v>
      </c>
      <c r="B9371" s="119">
        <v>0.36508662297414007</v>
      </c>
    </row>
    <row r="9372" spans="1:2">
      <c r="A9372">
        <v>9371</v>
      </c>
      <c r="B9372" s="119">
        <v>0.69841995630747344</v>
      </c>
    </row>
    <row r="9373" spans="1:2">
      <c r="A9373">
        <v>9372</v>
      </c>
      <c r="B9373" s="119">
        <v>0.14286440075191789</v>
      </c>
    </row>
    <row r="9374" spans="1:2">
      <c r="A9374">
        <v>9373</v>
      </c>
      <c r="B9374" s="119">
        <v>0.47619773408525118</v>
      </c>
    </row>
    <row r="9375" spans="1:2">
      <c r="A9375">
        <v>9374</v>
      </c>
      <c r="B9375" s="119">
        <v>0.80953106741858449</v>
      </c>
    </row>
    <row r="9376" spans="1:2">
      <c r="A9376">
        <v>9375</v>
      </c>
      <c r="B9376" s="119">
        <v>0.25397551186302897</v>
      </c>
    </row>
    <row r="9377" spans="1:2">
      <c r="A9377">
        <v>9376</v>
      </c>
      <c r="B9377" s="119">
        <v>0.58730884519636239</v>
      </c>
    </row>
    <row r="9378" spans="1:2">
      <c r="A9378">
        <v>9377</v>
      </c>
      <c r="B9378" s="119">
        <v>0.92064217852969565</v>
      </c>
    </row>
    <row r="9379" spans="1:2">
      <c r="A9379">
        <v>9378</v>
      </c>
      <c r="B9379" s="119">
        <v>6.8790326677843822E-2</v>
      </c>
    </row>
    <row r="9380" spans="1:2">
      <c r="A9380">
        <v>9379</v>
      </c>
      <c r="B9380" s="119">
        <v>0.40212366001117711</v>
      </c>
    </row>
    <row r="9381" spans="1:2">
      <c r="A9381">
        <v>9380</v>
      </c>
      <c r="B9381" s="119">
        <v>0.73545699334451053</v>
      </c>
    </row>
    <row r="9382" spans="1:2">
      <c r="A9382">
        <v>9381</v>
      </c>
      <c r="B9382" s="119">
        <v>0.17990143778895493</v>
      </c>
    </row>
    <row r="9383" spans="1:2">
      <c r="A9383">
        <v>9382</v>
      </c>
      <c r="B9383" s="119">
        <v>0.51323477112228832</v>
      </c>
    </row>
    <row r="9384" spans="1:2">
      <c r="A9384">
        <v>9383</v>
      </c>
      <c r="B9384" s="119">
        <v>0.84656810445562147</v>
      </c>
    </row>
    <row r="9385" spans="1:2">
      <c r="A9385">
        <v>9384</v>
      </c>
      <c r="B9385" s="119">
        <v>0.291012548900066</v>
      </c>
    </row>
    <row r="9386" spans="1:2">
      <c r="A9386">
        <v>9385</v>
      </c>
      <c r="B9386" s="119">
        <v>0.62434588223339937</v>
      </c>
    </row>
    <row r="9387" spans="1:2">
      <c r="A9387">
        <v>9386</v>
      </c>
      <c r="B9387" s="119">
        <v>0.95767921556673263</v>
      </c>
    </row>
    <row r="9388" spans="1:2">
      <c r="A9388">
        <v>9387</v>
      </c>
      <c r="B9388" s="119">
        <v>0.10582736371488086</v>
      </c>
    </row>
    <row r="9389" spans="1:2">
      <c r="A9389">
        <v>9388</v>
      </c>
      <c r="B9389" s="119">
        <v>0.43916069704821414</v>
      </c>
    </row>
    <row r="9390" spans="1:2">
      <c r="A9390">
        <v>9389</v>
      </c>
      <c r="B9390" s="119">
        <v>0.77249403038154751</v>
      </c>
    </row>
    <row r="9391" spans="1:2">
      <c r="A9391">
        <v>9390</v>
      </c>
      <c r="B9391" s="119">
        <v>0.21693847482599196</v>
      </c>
    </row>
    <row r="9392" spans="1:2">
      <c r="A9392">
        <v>9391</v>
      </c>
      <c r="B9392" s="119">
        <v>0.5502718081593253</v>
      </c>
    </row>
    <row r="9393" spans="1:2">
      <c r="A9393">
        <v>9392</v>
      </c>
      <c r="B9393" s="119">
        <v>0.88360514149265856</v>
      </c>
    </row>
    <row r="9394" spans="1:2">
      <c r="A9394">
        <v>9393</v>
      </c>
      <c r="B9394" s="119">
        <v>0.32804958593710304</v>
      </c>
    </row>
    <row r="9395" spans="1:2">
      <c r="A9395">
        <v>9394</v>
      </c>
      <c r="B9395" s="119">
        <v>0.66138291927043646</v>
      </c>
    </row>
    <row r="9396" spans="1:2">
      <c r="A9396">
        <v>9395</v>
      </c>
      <c r="B9396" s="119">
        <v>0.99471625260376972</v>
      </c>
    </row>
    <row r="9397" spans="1:2">
      <c r="A9397">
        <v>9396</v>
      </c>
      <c r="B9397" s="119">
        <v>1.117715795356399E-2</v>
      </c>
    </row>
    <row r="9398" spans="1:2">
      <c r="A9398">
        <v>9397</v>
      </c>
      <c r="B9398" s="119">
        <v>0.34451049128689731</v>
      </c>
    </row>
    <row r="9399" spans="1:2">
      <c r="A9399">
        <v>9398</v>
      </c>
      <c r="B9399" s="119">
        <v>0.67784382462023063</v>
      </c>
    </row>
    <row r="9400" spans="1:2">
      <c r="A9400">
        <v>9399</v>
      </c>
      <c r="B9400" s="119">
        <v>0.1222882690646751</v>
      </c>
    </row>
    <row r="9401" spans="1:2">
      <c r="A9401">
        <v>9400</v>
      </c>
      <c r="B9401" s="119">
        <v>0.45562160239800842</v>
      </c>
    </row>
    <row r="9402" spans="1:2">
      <c r="A9402">
        <v>9401</v>
      </c>
      <c r="B9402" s="119">
        <v>0.78895493573134168</v>
      </c>
    </row>
    <row r="9403" spans="1:2">
      <c r="A9403">
        <v>9402</v>
      </c>
      <c r="B9403" s="119">
        <v>0.23339938017578618</v>
      </c>
    </row>
    <row r="9404" spans="1:2">
      <c r="A9404">
        <v>9403</v>
      </c>
      <c r="B9404" s="119">
        <v>0.56673271350911958</v>
      </c>
    </row>
    <row r="9405" spans="1:2">
      <c r="A9405">
        <v>9404</v>
      </c>
      <c r="B9405" s="119">
        <v>0.90006604684245284</v>
      </c>
    </row>
    <row r="9406" spans="1:2">
      <c r="A9406">
        <v>9405</v>
      </c>
      <c r="B9406" s="119">
        <v>4.8214194990601027E-2</v>
      </c>
    </row>
    <row r="9407" spans="1:2">
      <c r="A9407">
        <v>9406</v>
      </c>
      <c r="B9407" s="119">
        <v>0.38154752832393435</v>
      </c>
    </row>
    <row r="9408" spans="1:2">
      <c r="A9408">
        <v>9407</v>
      </c>
      <c r="B9408" s="119">
        <v>0.71488086165726772</v>
      </c>
    </row>
    <row r="9409" spans="1:2">
      <c r="A9409">
        <v>9408</v>
      </c>
      <c r="B9409" s="119">
        <v>0.15932530610171211</v>
      </c>
    </row>
    <row r="9410" spans="1:2">
      <c r="A9410">
        <v>9409</v>
      </c>
      <c r="B9410" s="119">
        <v>0.49265863943504545</v>
      </c>
    </row>
    <row r="9411" spans="1:2">
      <c r="A9411">
        <v>9410</v>
      </c>
      <c r="B9411" s="119">
        <v>0.82599197276837866</v>
      </c>
    </row>
    <row r="9412" spans="1:2">
      <c r="A9412">
        <v>9411</v>
      </c>
      <c r="B9412" s="119">
        <v>0.27043641721282324</v>
      </c>
    </row>
    <row r="9413" spans="1:2">
      <c r="A9413">
        <v>9412</v>
      </c>
      <c r="B9413" s="119">
        <v>0.60376975054615656</v>
      </c>
    </row>
    <row r="9414" spans="1:2">
      <c r="A9414">
        <v>9413</v>
      </c>
      <c r="B9414" s="119">
        <v>0.93710308387948982</v>
      </c>
    </row>
    <row r="9415" spans="1:2">
      <c r="A9415">
        <v>9414</v>
      </c>
      <c r="B9415" s="119">
        <v>8.5251232027638069E-2</v>
      </c>
    </row>
    <row r="9416" spans="1:2">
      <c r="A9416">
        <v>9415</v>
      </c>
      <c r="B9416" s="119">
        <v>0.41858456536097138</v>
      </c>
    </row>
    <row r="9417" spans="1:2">
      <c r="A9417">
        <v>9416</v>
      </c>
      <c r="B9417" s="119">
        <v>0.7519178986943047</v>
      </c>
    </row>
    <row r="9418" spans="1:2">
      <c r="A9418">
        <v>9417</v>
      </c>
      <c r="B9418" s="119">
        <v>0.19636234313874915</v>
      </c>
    </row>
    <row r="9419" spans="1:2">
      <c r="A9419">
        <v>9418</v>
      </c>
      <c r="B9419" s="119">
        <v>0.52969567647208249</v>
      </c>
    </row>
    <row r="9420" spans="1:2">
      <c r="A9420">
        <v>9419</v>
      </c>
      <c r="B9420" s="119">
        <v>0.86302900980541575</v>
      </c>
    </row>
    <row r="9421" spans="1:2">
      <c r="A9421">
        <v>9420</v>
      </c>
      <c r="B9421" s="119">
        <v>0.30747345424986028</v>
      </c>
    </row>
    <row r="9422" spans="1:2">
      <c r="A9422">
        <v>9421</v>
      </c>
      <c r="B9422" s="119">
        <v>0.64080678758319365</v>
      </c>
    </row>
    <row r="9423" spans="1:2">
      <c r="A9423">
        <v>9422</v>
      </c>
      <c r="B9423" s="119">
        <v>0.97414012091652691</v>
      </c>
    </row>
    <row r="9424" spans="1:2">
      <c r="A9424">
        <v>9423</v>
      </c>
      <c r="B9424" s="119">
        <v>2.3522836965909667E-2</v>
      </c>
    </row>
    <row r="9425" spans="1:2">
      <c r="A9425">
        <v>9424</v>
      </c>
      <c r="B9425" s="119">
        <v>0.35685617029924299</v>
      </c>
    </row>
    <row r="9426" spans="1:2">
      <c r="A9426">
        <v>9425</v>
      </c>
      <c r="B9426" s="119">
        <v>0.69018950363257625</v>
      </c>
    </row>
    <row r="9427" spans="1:2">
      <c r="A9427">
        <v>9426</v>
      </c>
      <c r="B9427" s="119">
        <v>0.13463394807702075</v>
      </c>
    </row>
    <row r="9428" spans="1:2">
      <c r="A9428">
        <v>9427</v>
      </c>
      <c r="B9428" s="119">
        <v>0.4679672814103541</v>
      </c>
    </row>
    <row r="9429" spans="1:2">
      <c r="A9429">
        <v>9428</v>
      </c>
      <c r="B9429" s="119">
        <v>0.80130061474368741</v>
      </c>
    </row>
    <row r="9430" spans="1:2">
      <c r="A9430">
        <v>9429</v>
      </c>
      <c r="B9430" s="119">
        <v>0.24574505918813186</v>
      </c>
    </row>
    <row r="9431" spans="1:2">
      <c r="A9431">
        <v>9430</v>
      </c>
      <c r="B9431" s="119">
        <v>0.57907839252146531</v>
      </c>
    </row>
    <row r="9432" spans="1:2">
      <c r="A9432">
        <v>9431</v>
      </c>
      <c r="B9432" s="119">
        <v>0.91241172585479857</v>
      </c>
    </row>
    <row r="9433" spans="1:2">
      <c r="A9433">
        <v>9432</v>
      </c>
      <c r="B9433" s="119">
        <v>6.0559874002946705E-2</v>
      </c>
    </row>
    <row r="9434" spans="1:2">
      <c r="A9434">
        <v>9433</v>
      </c>
      <c r="B9434" s="119">
        <v>0.39389320733628003</v>
      </c>
    </row>
    <row r="9435" spans="1:2">
      <c r="A9435">
        <v>9434</v>
      </c>
      <c r="B9435" s="119">
        <v>0.72722654066961345</v>
      </c>
    </row>
    <row r="9436" spans="1:2">
      <c r="A9436">
        <v>9435</v>
      </c>
      <c r="B9436" s="119">
        <v>0.17167098511405779</v>
      </c>
    </row>
    <row r="9437" spans="1:2">
      <c r="A9437">
        <v>9436</v>
      </c>
      <c r="B9437" s="119">
        <v>0.50500431844739113</v>
      </c>
    </row>
    <row r="9438" spans="1:2">
      <c r="A9438">
        <v>9437</v>
      </c>
      <c r="B9438" s="119">
        <v>0.83833765178072439</v>
      </c>
    </row>
    <row r="9439" spans="1:2">
      <c r="A9439">
        <v>9438</v>
      </c>
      <c r="B9439" s="119">
        <v>0.28278209622516892</v>
      </c>
    </row>
    <row r="9440" spans="1:2">
      <c r="A9440">
        <v>9439</v>
      </c>
      <c r="B9440" s="119">
        <v>0.61611542955850229</v>
      </c>
    </row>
    <row r="9441" spans="1:2">
      <c r="A9441">
        <v>9440</v>
      </c>
      <c r="B9441" s="119">
        <v>0.94944876289183555</v>
      </c>
    </row>
    <row r="9442" spans="1:2">
      <c r="A9442">
        <v>9441</v>
      </c>
      <c r="B9442" s="119">
        <v>9.7596911039983747E-2</v>
      </c>
    </row>
    <row r="9443" spans="1:2">
      <c r="A9443">
        <v>9442</v>
      </c>
      <c r="B9443" s="119">
        <v>0.43093024437331706</v>
      </c>
    </row>
    <row r="9444" spans="1:2">
      <c r="A9444">
        <v>9443</v>
      </c>
      <c r="B9444" s="119">
        <v>0.76426357770665043</v>
      </c>
    </row>
    <row r="9445" spans="1:2">
      <c r="A9445">
        <v>9444</v>
      </c>
      <c r="B9445" s="119">
        <v>0.20870802215109482</v>
      </c>
    </row>
    <row r="9446" spans="1:2">
      <c r="A9446">
        <v>9445</v>
      </c>
      <c r="B9446" s="119">
        <v>0.54204135548442811</v>
      </c>
    </row>
    <row r="9447" spans="1:2">
      <c r="A9447">
        <v>9446</v>
      </c>
      <c r="B9447" s="119">
        <v>0.87537468881776137</v>
      </c>
    </row>
    <row r="9448" spans="1:2">
      <c r="A9448">
        <v>9447</v>
      </c>
      <c r="B9448" s="119">
        <v>0.31981913326220596</v>
      </c>
    </row>
    <row r="9449" spans="1:2">
      <c r="A9449">
        <v>9448</v>
      </c>
      <c r="B9449" s="119">
        <v>0.65315246659553927</v>
      </c>
    </row>
    <row r="9450" spans="1:2">
      <c r="A9450">
        <v>9449</v>
      </c>
      <c r="B9450" s="119">
        <v>0.98648579992887253</v>
      </c>
    </row>
    <row r="9451" spans="1:2">
      <c r="A9451">
        <v>9450</v>
      </c>
      <c r="B9451" s="119">
        <v>3.5868515978255348E-2</v>
      </c>
    </row>
    <row r="9452" spans="1:2">
      <c r="A9452">
        <v>9451</v>
      </c>
      <c r="B9452" s="119">
        <v>0.36920184931158867</v>
      </c>
    </row>
    <row r="9453" spans="1:2">
      <c r="A9453">
        <v>9452</v>
      </c>
      <c r="B9453" s="119">
        <v>0.70253518264492198</v>
      </c>
    </row>
    <row r="9454" spans="1:2">
      <c r="A9454">
        <v>9453</v>
      </c>
      <c r="B9454" s="119">
        <v>0.14697962708936643</v>
      </c>
    </row>
    <row r="9455" spans="1:2">
      <c r="A9455">
        <v>9454</v>
      </c>
      <c r="B9455" s="119">
        <v>0.48031296042269978</v>
      </c>
    </row>
    <row r="9456" spans="1:2">
      <c r="A9456">
        <v>9455</v>
      </c>
      <c r="B9456" s="119">
        <v>0.81364629375603303</v>
      </c>
    </row>
    <row r="9457" spans="1:2">
      <c r="A9457">
        <v>9456</v>
      </c>
      <c r="B9457" s="119">
        <v>0.25809073820047757</v>
      </c>
    </row>
    <row r="9458" spans="1:2">
      <c r="A9458">
        <v>9457</v>
      </c>
      <c r="B9458" s="119">
        <v>0.59142407153381094</v>
      </c>
    </row>
    <row r="9459" spans="1:2">
      <c r="A9459">
        <v>9458</v>
      </c>
      <c r="B9459" s="119">
        <v>0.92475740486714419</v>
      </c>
    </row>
    <row r="9460" spans="1:2">
      <c r="A9460">
        <v>9459</v>
      </c>
      <c r="B9460" s="119">
        <v>7.290555301529239E-2</v>
      </c>
    </row>
    <row r="9461" spans="1:2">
      <c r="A9461">
        <v>9460</v>
      </c>
      <c r="B9461" s="119">
        <v>0.40623888634862571</v>
      </c>
    </row>
    <row r="9462" spans="1:2">
      <c r="A9462">
        <v>9461</v>
      </c>
      <c r="B9462" s="119">
        <v>0.73957221968195908</v>
      </c>
    </row>
    <row r="9463" spans="1:2">
      <c r="A9463">
        <v>9462</v>
      </c>
      <c r="B9463" s="119">
        <v>0.18401666412640347</v>
      </c>
    </row>
    <row r="9464" spans="1:2">
      <c r="A9464">
        <v>9463</v>
      </c>
      <c r="B9464" s="119">
        <v>0.51734999745973687</v>
      </c>
    </row>
    <row r="9465" spans="1:2">
      <c r="A9465">
        <v>9464</v>
      </c>
      <c r="B9465" s="119">
        <v>0.85068333079307001</v>
      </c>
    </row>
    <row r="9466" spans="1:2">
      <c r="A9466">
        <v>9465</v>
      </c>
      <c r="B9466" s="119">
        <v>0.2951277752375146</v>
      </c>
    </row>
    <row r="9467" spans="1:2">
      <c r="A9467">
        <v>9466</v>
      </c>
      <c r="B9467" s="119">
        <v>0.62846110857084792</v>
      </c>
    </row>
    <row r="9468" spans="1:2">
      <c r="A9468">
        <v>9467</v>
      </c>
      <c r="B9468" s="119">
        <v>0.96179444190418117</v>
      </c>
    </row>
    <row r="9469" spans="1:2">
      <c r="A9469">
        <v>9468</v>
      </c>
      <c r="B9469" s="119">
        <v>0.10994259005232943</v>
      </c>
    </row>
    <row r="9470" spans="1:2">
      <c r="A9470">
        <v>9469</v>
      </c>
      <c r="B9470" s="119">
        <v>0.44327592338566274</v>
      </c>
    </row>
    <row r="9471" spans="1:2">
      <c r="A9471">
        <v>9470</v>
      </c>
      <c r="B9471" s="119">
        <v>0.77660925671899605</v>
      </c>
    </row>
    <row r="9472" spans="1:2">
      <c r="A9472">
        <v>9471</v>
      </c>
      <c r="B9472" s="119">
        <v>0.2210537011634405</v>
      </c>
    </row>
    <row r="9473" spans="1:2">
      <c r="A9473">
        <v>9472</v>
      </c>
      <c r="B9473" s="119">
        <v>0.55438703449677385</v>
      </c>
    </row>
    <row r="9474" spans="1:2">
      <c r="A9474">
        <v>9473</v>
      </c>
      <c r="B9474" s="119">
        <v>0.8877203678301071</v>
      </c>
    </row>
    <row r="9475" spans="1:2">
      <c r="A9475">
        <v>9474</v>
      </c>
      <c r="B9475" s="119">
        <v>0.33216481227455164</v>
      </c>
    </row>
    <row r="9476" spans="1:2">
      <c r="A9476">
        <v>9475</v>
      </c>
      <c r="B9476" s="119">
        <v>0.66549814560788501</v>
      </c>
    </row>
    <row r="9477" spans="1:2">
      <c r="A9477">
        <v>9476</v>
      </c>
      <c r="B9477" s="119">
        <v>0.99883147894121826</v>
      </c>
    </row>
    <row r="9478" spans="1:2">
      <c r="A9478">
        <v>9477</v>
      </c>
      <c r="B9478" s="119">
        <v>6.6046842452878115E-4</v>
      </c>
    </row>
    <row r="9479" spans="1:2">
      <c r="A9479">
        <v>9478</v>
      </c>
      <c r="B9479" s="119">
        <v>0.33399380175786209</v>
      </c>
    </row>
    <row r="9480" spans="1:2">
      <c r="A9480">
        <v>9479</v>
      </c>
      <c r="B9480" s="119">
        <v>0.66732713509119546</v>
      </c>
    </row>
    <row r="9481" spans="1:2">
      <c r="A9481">
        <v>9480</v>
      </c>
      <c r="B9481" s="119">
        <v>0.11177157953563989</v>
      </c>
    </row>
    <row r="9482" spans="1:2">
      <c r="A9482">
        <v>9481</v>
      </c>
      <c r="B9482" s="119">
        <v>0.44510491286897319</v>
      </c>
    </row>
    <row r="9483" spans="1:2">
      <c r="A9483">
        <v>9482</v>
      </c>
      <c r="B9483" s="119">
        <v>0.77843824620230651</v>
      </c>
    </row>
    <row r="9484" spans="1:2">
      <c r="A9484">
        <v>9483</v>
      </c>
      <c r="B9484" s="119">
        <v>0.22288269064675098</v>
      </c>
    </row>
    <row r="9485" spans="1:2">
      <c r="A9485">
        <v>9484</v>
      </c>
      <c r="B9485" s="119">
        <v>0.55621602398008441</v>
      </c>
    </row>
    <row r="9486" spans="1:2">
      <c r="A9486">
        <v>9485</v>
      </c>
      <c r="B9486" s="119">
        <v>0.88954935731341767</v>
      </c>
    </row>
    <row r="9487" spans="1:2">
      <c r="A9487">
        <v>9486</v>
      </c>
      <c r="B9487" s="119">
        <v>3.7697505461565819E-2</v>
      </c>
    </row>
    <row r="9488" spans="1:2">
      <c r="A9488">
        <v>9487</v>
      </c>
      <c r="B9488" s="119">
        <v>0.37103083879489912</v>
      </c>
    </row>
    <row r="9489" spans="1:2">
      <c r="A9489">
        <v>9488</v>
      </c>
      <c r="B9489" s="119">
        <v>0.70436417212823255</v>
      </c>
    </row>
    <row r="9490" spans="1:2">
      <c r="A9490">
        <v>9489</v>
      </c>
      <c r="B9490" s="119">
        <v>0.14880861657267691</v>
      </c>
    </row>
    <row r="9491" spans="1:2">
      <c r="A9491">
        <v>9490</v>
      </c>
      <c r="B9491" s="119">
        <v>0.48214194990601023</v>
      </c>
    </row>
    <row r="9492" spans="1:2">
      <c r="A9492">
        <v>9491</v>
      </c>
      <c r="B9492" s="119">
        <v>0.81547528323934348</v>
      </c>
    </row>
    <row r="9493" spans="1:2">
      <c r="A9493">
        <v>9492</v>
      </c>
      <c r="B9493" s="119">
        <v>0.25991972768378802</v>
      </c>
    </row>
    <row r="9494" spans="1:2">
      <c r="A9494">
        <v>9493</v>
      </c>
      <c r="B9494" s="119">
        <v>0.59325306101712139</v>
      </c>
    </row>
    <row r="9495" spans="1:2">
      <c r="A9495">
        <v>9494</v>
      </c>
      <c r="B9495" s="119">
        <v>0.92658639435045465</v>
      </c>
    </row>
    <row r="9496" spans="1:2">
      <c r="A9496">
        <v>9495</v>
      </c>
      <c r="B9496" s="119">
        <v>7.4734542498602854E-2</v>
      </c>
    </row>
    <row r="9497" spans="1:2">
      <c r="A9497">
        <v>9496</v>
      </c>
      <c r="B9497" s="119">
        <v>0.40806787583193616</v>
      </c>
    </row>
    <row r="9498" spans="1:2">
      <c r="A9498">
        <v>9497</v>
      </c>
      <c r="B9498" s="119">
        <v>0.74140120916526953</v>
      </c>
    </row>
    <row r="9499" spans="1:2">
      <c r="A9499">
        <v>9498</v>
      </c>
      <c r="B9499" s="119">
        <v>0.18584565360971395</v>
      </c>
    </row>
    <row r="9500" spans="1:2">
      <c r="A9500">
        <v>9499</v>
      </c>
      <c r="B9500" s="119">
        <v>0.51917898694304732</v>
      </c>
    </row>
    <row r="9501" spans="1:2">
      <c r="A9501">
        <v>9500</v>
      </c>
      <c r="B9501" s="119">
        <v>0.85251232027638058</v>
      </c>
    </row>
    <row r="9502" spans="1:2">
      <c r="A9502">
        <v>9501</v>
      </c>
      <c r="B9502" s="119">
        <v>0.29695676472082505</v>
      </c>
    </row>
    <row r="9503" spans="1:2">
      <c r="A9503">
        <v>9502</v>
      </c>
      <c r="B9503" s="119">
        <v>0.63029009805415848</v>
      </c>
    </row>
    <row r="9504" spans="1:2">
      <c r="A9504">
        <v>9503</v>
      </c>
      <c r="B9504" s="119">
        <v>0.96362343138749174</v>
      </c>
    </row>
    <row r="9505" spans="1:2">
      <c r="A9505">
        <v>9504</v>
      </c>
      <c r="B9505" s="119">
        <v>1.3006147436874459E-2</v>
      </c>
    </row>
    <row r="9506" spans="1:2">
      <c r="A9506">
        <v>9505</v>
      </c>
      <c r="B9506" s="119">
        <v>0.34633948077020776</v>
      </c>
    </row>
    <row r="9507" spans="1:2">
      <c r="A9507">
        <v>9506</v>
      </c>
      <c r="B9507" s="119">
        <v>0.67967281410354108</v>
      </c>
    </row>
    <row r="9508" spans="1:2">
      <c r="A9508">
        <v>9507</v>
      </c>
      <c r="B9508" s="119">
        <v>0.12411725854798557</v>
      </c>
    </row>
    <row r="9509" spans="1:2">
      <c r="A9509">
        <v>9508</v>
      </c>
      <c r="B9509" s="119">
        <v>0.45745059188131887</v>
      </c>
    </row>
    <row r="9510" spans="1:2">
      <c r="A9510">
        <v>9509</v>
      </c>
      <c r="B9510" s="119">
        <v>0.79078392521465224</v>
      </c>
    </row>
    <row r="9511" spans="1:2">
      <c r="A9511">
        <v>9510</v>
      </c>
      <c r="B9511" s="119">
        <v>0.23522836965909666</v>
      </c>
    </row>
    <row r="9512" spans="1:2">
      <c r="A9512">
        <v>9511</v>
      </c>
      <c r="B9512" s="119">
        <v>0.56856170299243014</v>
      </c>
    </row>
    <row r="9513" spans="1:2">
      <c r="A9513">
        <v>9512</v>
      </c>
      <c r="B9513" s="119">
        <v>0.9018950363257634</v>
      </c>
    </row>
    <row r="9514" spans="1:2">
      <c r="A9514">
        <v>9513</v>
      </c>
      <c r="B9514" s="119">
        <v>5.0043184473911498E-2</v>
      </c>
    </row>
    <row r="9515" spans="1:2">
      <c r="A9515">
        <v>9514</v>
      </c>
      <c r="B9515" s="119">
        <v>0.3833765178072448</v>
      </c>
    </row>
    <row r="9516" spans="1:2">
      <c r="A9516">
        <v>9515</v>
      </c>
      <c r="B9516" s="119">
        <v>0.71670985114057828</v>
      </c>
    </row>
    <row r="9517" spans="1:2">
      <c r="A9517">
        <v>9516</v>
      </c>
      <c r="B9517" s="119">
        <v>0.16115429558502259</v>
      </c>
    </row>
    <row r="9518" spans="1:2">
      <c r="A9518">
        <v>9517</v>
      </c>
      <c r="B9518" s="119">
        <v>0.4944876289183559</v>
      </c>
    </row>
    <row r="9519" spans="1:2">
      <c r="A9519">
        <v>9518</v>
      </c>
      <c r="B9519" s="119">
        <v>0.82782096225168922</v>
      </c>
    </row>
    <row r="9520" spans="1:2">
      <c r="A9520">
        <v>9519</v>
      </c>
      <c r="B9520" s="119">
        <v>0.27226540669613369</v>
      </c>
    </row>
    <row r="9521" spans="1:2">
      <c r="A9521">
        <v>9520</v>
      </c>
      <c r="B9521" s="119">
        <v>0.60559874002946712</v>
      </c>
    </row>
    <row r="9522" spans="1:2">
      <c r="A9522">
        <v>9521</v>
      </c>
      <c r="B9522" s="119">
        <v>0.93893207336280038</v>
      </c>
    </row>
    <row r="9523" spans="1:2">
      <c r="A9523">
        <v>9522</v>
      </c>
      <c r="B9523" s="119">
        <v>8.7080221510948533E-2</v>
      </c>
    </row>
    <row r="9524" spans="1:2">
      <c r="A9524">
        <v>9523</v>
      </c>
      <c r="B9524" s="119">
        <v>0.42041355484428183</v>
      </c>
    </row>
    <row r="9525" spans="1:2">
      <c r="A9525">
        <v>9524</v>
      </c>
      <c r="B9525" s="119">
        <v>0.75374688817761526</v>
      </c>
    </row>
    <row r="9526" spans="1:2">
      <c r="A9526">
        <v>9525</v>
      </c>
      <c r="B9526" s="119">
        <v>0.19819133262205962</v>
      </c>
    </row>
    <row r="9527" spans="1:2">
      <c r="A9527">
        <v>9526</v>
      </c>
      <c r="B9527" s="119">
        <v>0.53152466595539294</v>
      </c>
    </row>
    <row r="9528" spans="1:2">
      <c r="A9528">
        <v>9527</v>
      </c>
      <c r="B9528" s="119">
        <v>0.8648579992887262</v>
      </c>
    </row>
    <row r="9529" spans="1:2">
      <c r="A9529">
        <v>9528</v>
      </c>
      <c r="B9529" s="119">
        <v>0.30930244373317073</v>
      </c>
    </row>
    <row r="9530" spans="1:2">
      <c r="A9530">
        <v>9529</v>
      </c>
      <c r="B9530" s="119">
        <v>0.6426357770665041</v>
      </c>
    </row>
    <row r="9531" spans="1:2">
      <c r="A9531">
        <v>9530</v>
      </c>
      <c r="B9531" s="119">
        <v>0.97596911039983736</v>
      </c>
    </row>
    <row r="9532" spans="1:2">
      <c r="A9532">
        <v>9531</v>
      </c>
      <c r="B9532" s="119">
        <v>2.5351826449220134E-2</v>
      </c>
    </row>
    <row r="9533" spans="1:2">
      <c r="A9533">
        <v>9532</v>
      </c>
      <c r="B9533" s="119">
        <v>0.35868515978255344</v>
      </c>
    </row>
    <row r="9534" spans="1:2">
      <c r="A9534">
        <v>9533</v>
      </c>
      <c r="B9534" s="119">
        <v>0.69201849311588681</v>
      </c>
    </row>
    <row r="9535" spans="1:2">
      <c r="A9535">
        <v>9534</v>
      </c>
      <c r="B9535" s="119">
        <v>0.13646293756033123</v>
      </c>
    </row>
    <row r="9536" spans="1:2">
      <c r="A9536">
        <v>9535</v>
      </c>
      <c r="B9536" s="119">
        <v>0.46979627089366455</v>
      </c>
    </row>
    <row r="9537" spans="1:2">
      <c r="A9537">
        <v>9536</v>
      </c>
      <c r="B9537" s="119">
        <v>0.80312960422699786</v>
      </c>
    </row>
    <row r="9538" spans="1:2">
      <c r="A9538">
        <v>9537</v>
      </c>
      <c r="B9538" s="119">
        <v>0.24757404867144234</v>
      </c>
    </row>
    <row r="9539" spans="1:2">
      <c r="A9539">
        <v>9538</v>
      </c>
      <c r="B9539" s="119">
        <v>0.58090738200477576</v>
      </c>
    </row>
    <row r="9540" spans="1:2">
      <c r="A9540">
        <v>9539</v>
      </c>
      <c r="B9540" s="119">
        <v>0.91424071533810902</v>
      </c>
    </row>
    <row r="9541" spans="1:2">
      <c r="A9541">
        <v>9540</v>
      </c>
      <c r="B9541" s="119">
        <v>6.2388863486257176E-2</v>
      </c>
    </row>
    <row r="9542" spans="1:2">
      <c r="A9542">
        <v>9541</v>
      </c>
      <c r="B9542" s="119">
        <v>0.39572219681959048</v>
      </c>
    </row>
    <row r="9543" spans="1:2">
      <c r="A9543">
        <v>9542</v>
      </c>
      <c r="B9543" s="119">
        <v>0.7290555301529239</v>
      </c>
    </row>
    <row r="9544" spans="1:2">
      <c r="A9544">
        <v>9543</v>
      </c>
      <c r="B9544" s="119">
        <v>0.17349997459736827</v>
      </c>
    </row>
    <row r="9545" spans="1:2">
      <c r="A9545">
        <v>9544</v>
      </c>
      <c r="B9545" s="119">
        <v>0.50683330793070169</v>
      </c>
    </row>
    <row r="9546" spans="1:2">
      <c r="A9546">
        <v>9545</v>
      </c>
      <c r="B9546" s="119">
        <v>0.84016664126403484</v>
      </c>
    </row>
    <row r="9547" spans="1:2">
      <c r="A9547">
        <v>9546</v>
      </c>
      <c r="B9547" s="119">
        <v>0.28461108570847937</v>
      </c>
    </row>
    <row r="9548" spans="1:2">
      <c r="A9548">
        <v>9547</v>
      </c>
      <c r="B9548" s="119">
        <v>0.61794441904181274</v>
      </c>
    </row>
    <row r="9549" spans="1:2">
      <c r="A9549">
        <v>9548</v>
      </c>
      <c r="B9549" s="119">
        <v>0.951277752375146</v>
      </c>
    </row>
    <row r="9550" spans="1:2">
      <c r="A9550">
        <v>9549</v>
      </c>
      <c r="B9550" s="119">
        <v>9.9425900523294211E-2</v>
      </c>
    </row>
    <row r="9551" spans="1:2">
      <c r="A9551">
        <v>9550</v>
      </c>
      <c r="B9551" s="119">
        <v>0.43275923385662751</v>
      </c>
    </row>
    <row r="9552" spans="1:2">
      <c r="A9552">
        <v>9551</v>
      </c>
      <c r="B9552" s="119">
        <v>0.76609256718996088</v>
      </c>
    </row>
    <row r="9553" spans="1:2">
      <c r="A9553">
        <v>9552</v>
      </c>
      <c r="B9553" s="119">
        <v>0.2105370116344053</v>
      </c>
    </row>
    <row r="9554" spans="1:2">
      <c r="A9554">
        <v>9553</v>
      </c>
      <c r="B9554" s="119">
        <v>0.54387034496773867</v>
      </c>
    </row>
    <row r="9555" spans="1:2">
      <c r="A9555">
        <v>9554</v>
      </c>
      <c r="B9555" s="119">
        <v>0.87720367830107193</v>
      </c>
    </row>
    <row r="9556" spans="1:2">
      <c r="A9556">
        <v>9555</v>
      </c>
      <c r="B9556" s="119">
        <v>0.32164812274551641</v>
      </c>
    </row>
    <row r="9557" spans="1:2">
      <c r="A9557">
        <v>9556</v>
      </c>
      <c r="B9557" s="119">
        <v>0.65498145607884983</v>
      </c>
    </row>
    <row r="9558" spans="1:2">
      <c r="A9558">
        <v>9557</v>
      </c>
      <c r="B9558" s="119">
        <v>0.98831478941218309</v>
      </c>
    </row>
    <row r="9559" spans="1:2">
      <c r="A9559">
        <v>9558</v>
      </c>
      <c r="B9559" s="119">
        <v>4.7756947619773419E-3</v>
      </c>
    </row>
    <row r="9560" spans="1:2">
      <c r="A9560">
        <v>9559</v>
      </c>
      <c r="B9560" s="119">
        <v>0.33810902809531063</v>
      </c>
    </row>
    <row r="9561" spans="1:2">
      <c r="A9561">
        <v>9560</v>
      </c>
      <c r="B9561" s="119">
        <v>0.671442361428644</v>
      </c>
    </row>
    <row r="9562" spans="1:2">
      <c r="A9562">
        <v>9561</v>
      </c>
      <c r="B9562" s="119">
        <v>0.11588680587308844</v>
      </c>
    </row>
    <row r="9563" spans="1:2">
      <c r="A9563">
        <v>9562</v>
      </c>
      <c r="B9563" s="119">
        <v>0.44922013920642173</v>
      </c>
    </row>
    <row r="9564" spans="1:2">
      <c r="A9564">
        <v>9563</v>
      </c>
      <c r="B9564" s="119">
        <v>0.78255347253975505</v>
      </c>
    </row>
    <row r="9565" spans="1:2">
      <c r="A9565">
        <v>9564</v>
      </c>
      <c r="B9565" s="119">
        <v>0.22699791698419955</v>
      </c>
    </row>
    <row r="9566" spans="1:2">
      <c r="A9566">
        <v>9565</v>
      </c>
      <c r="B9566" s="119">
        <v>0.56033125031753295</v>
      </c>
    </row>
    <row r="9567" spans="1:2">
      <c r="A9567">
        <v>9566</v>
      </c>
      <c r="B9567" s="119">
        <v>0.89366458365086621</v>
      </c>
    </row>
    <row r="9568" spans="1:2">
      <c r="A9568">
        <v>9567</v>
      </c>
      <c r="B9568" s="119">
        <v>4.1812731799014381E-2</v>
      </c>
    </row>
    <row r="9569" spans="1:2">
      <c r="A9569">
        <v>9568</v>
      </c>
      <c r="B9569" s="119">
        <v>0.37514606513234766</v>
      </c>
    </row>
    <row r="9570" spans="1:2">
      <c r="A9570">
        <v>9569</v>
      </c>
      <c r="B9570" s="119">
        <v>0.70847939846568109</v>
      </c>
    </row>
    <row r="9571" spans="1:2">
      <c r="A9571">
        <v>9570</v>
      </c>
      <c r="B9571" s="119">
        <v>0.15292384291012548</v>
      </c>
    </row>
    <row r="9572" spans="1:2">
      <c r="A9572">
        <v>9571</v>
      </c>
      <c r="B9572" s="119">
        <v>0.48625717624345877</v>
      </c>
    </row>
    <row r="9573" spans="1:2">
      <c r="A9573">
        <v>9572</v>
      </c>
      <c r="B9573" s="119">
        <v>0.81959050957679203</v>
      </c>
    </row>
    <row r="9574" spans="1:2">
      <c r="A9574">
        <v>9573</v>
      </c>
      <c r="B9574" s="119">
        <v>0.26403495402123656</v>
      </c>
    </row>
    <row r="9575" spans="1:2">
      <c r="A9575">
        <v>9574</v>
      </c>
      <c r="B9575" s="119">
        <v>0.59736828735456993</v>
      </c>
    </row>
    <row r="9576" spans="1:2">
      <c r="A9576">
        <v>9575</v>
      </c>
      <c r="B9576" s="119">
        <v>0.93070162068790319</v>
      </c>
    </row>
    <row r="9577" spans="1:2">
      <c r="A9577">
        <v>9576</v>
      </c>
      <c r="B9577" s="119">
        <v>7.8849768836051409E-2</v>
      </c>
    </row>
    <row r="9578" spans="1:2">
      <c r="A9578">
        <v>9577</v>
      </c>
      <c r="B9578" s="119">
        <v>0.4121831021693847</v>
      </c>
    </row>
    <row r="9579" spans="1:2">
      <c r="A9579">
        <v>9578</v>
      </c>
      <c r="B9579" s="119">
        <v>0.74551643550271807</v>
      </c>
    </row>
    <row r="9580" spans="1:2">
      <c r="A9580">
        <v>9579</v>
      </c>
      <c r="B9580" s="119">
        <v>0.18996087994716251</v>
      </c>
    </row>
    <row r="9581" spans="1:2">
      <c r="A9581">
        <v>9580</v>
      </c>
      <c r="B9581" s="119">
        <v>0.52329421328049586</v>
      </c>
    </row>
    <row r="9582" spans="1:2">
      <c r="A9582">
        <v>9581</v>
      </c>
      <c r="B9582" s="119">
        <v>0.85662754661382912</v>
      </c>
    </row>
    <row r="9583" spans="1:2">
      <c r="A9583">
        <v>9582</v>
      </c>
      <c r="B9583" s="119">
        <v>0.30107199105827359</v>
      </c>
    </row>
    <row r="9584" spans="1:2">
      <c r="A9584">
        <v>9583</v>
      </c>
      <c r="B9584" s="119">
        <v>0.63440532439160702</v>
      </c>
    </row>
    <row r="9585" spans="1:2">
      <c r="A9585">
        <v>9584</v>
      </c>
      <c r="B9585" s="119">
        <v>0.96773865772494028</v>
      </c>
    </row>
    <row r="9586" spans="1:2">
      <c r="A9586">
        <v>9585</v>
      </c>
      <c r="B9586" s="119">
        <v>1.7121373774323018E-2</v>
      </c>
    </row>
    <row r="9587" spans="1:2">
      <c r="A9587">
        <v>9586</v>
      </c>
      <c r="B9587" s="119">
        <v>0.3504547071076563</v>
      </c>
    </row>
    <row r="9588" spans="1:2">
      <c r="A9588">
        <v>9587</v>
      </c>
      <c r="B9588" s="119">
        <v>0.68378804044098962</v>
      </c>
    </row>
    <row r="9589" spans="1:2">
      <c r="A9589">
        <v>9588</v>
      </c>
      <c r="B9589" s="119">
        <v>0.12823248488543412</v>
      </c>
    </row>
    <row r="9590" spans="1:2">
      <c r="A9590">
        <v>9589</v>
      </c>
      <c r="B9590" s="119">
        <v>0.46156581821876741</v>
      </c>
    </row>
    <row r="9591" spans="1:2">
      <c r="A9591">
        <v>9590</v>
      </c>
      <c r="B9591" s="119">
        <v>0.79489915155210078</v>
      </c>
    </row>
    <row r="9592" spans="1:2">
      <c r="A9592">
        <v>9591</v>
      </c>
      <c r="B9592" s="119">
        <v>0.23934359599654523</v>
      </c>
    </row>
    <row r="9593" spans="1:2">
      <c r="A9593">
        <v>9592</v>
      </c>
      <c r="B9593" s="119">
        <v>0.57267692932987868</v>
      </c>
    </row>
    <row r="9594" spans="1:2">
      <c r="A9594">
        <v>9593</v>
      </c>
      <c r="B9594" s="119">
        <v>0.90601026266321194</v>
      </c>
    </row>
    <row r="9595" spans="1:2">
      <c r="A9595">
        <v>9594</v>
      </c>
      <c r="B9595" s="119">
        <v>5.415841081136006E-2</v>
      </c>
    </row>
    <row r="9596" spans="1:2">
      <c r="A9596">
        <v>9595</v>
      </c>
      <c r="B9596" s="119">
        <v>0.38749174414469334</v>
      </c>
    </row>
    <row r="9597" spans="1:2">
      <c r="A9597">
        <v>9596</v>
      </c>
      <c r="B9597" s="119">
        <v>0.72082507747802682</v>
      </c>
    </row>
    <row r="9598" spans="1:2">
      <c r="A9598">
        <v>9597</v>
      </c>
      <c r="B9598" s="119">
        <v>0.16526952192247116</v>
      </c>
    </row>
    <row r="9599" spans="1:2">
      <c r="A9599">
        <v>9598</v>
      </c>
      <c r="B9599" s="119">
        <v>0.49860285525580444</v>
      </c>
    </row>
    <row r="9600" spans="1:2">
      <c r="A9600">
        <v>9599</v>
      </c>
      <c r="B9600" s="119">
        <v>0.83193618858913776</v>
      </c>
    </row>
    <row r="9601" spans="1:2">
      <c r="A9601">
        <v>9600</v>
      </c>
      <c r="B9601" s="119">
        <v>0.27638063303358223</v>
      </c>
    </row>
    <row r="9602" spans="1:2">
      <c r="A9602">
        <v>9601</v>
      </c>
      <c r="B9602" s="119">
        <v>0.60971396636691566</v>
      </c>
    </row>
    <row r="9603" spans="1:2">
      <c r="A9603">
        <v>9602</v>
      </c>
      <c r="B9603" s="119">
        <v>0.94304729970024892</v>
      </c>
    </row>
    <row r="9604" spans="1:2">
      <c r="A9604">
        <v>9603</v>
      </c>
      <c r="B9604" s="119">
        <v>9.1195447848397088E-2</v>
      </c>
    </row>
    <row r="9605" spans="1:2">
      <c r="A9605">
        <v>9604</v>
      </c>
      <c r="B9605" s="119">
        <v>0.42452878118173037</v>
      </c>
    </row>
    <row r="9606" spans="1:2">
      <c r="A9606">
        <v>9605</v>
      </c>
      <c r="B9606" s="119">
        <v>0.7578621145150638</v>
      </c>
    </row>
    <row r="9607" spans="1:2">
      <c r="A9607">
        <v>9606</v>
      </c>
      <c r="B9607" s="119">
        <v>0.20230655895950819</v>
      </c>
    </row>
    <row r="9608" spans="1:2">
      <c r="A9608">
        <v>9607</v>
      </c>
      <c r="B9608" s="119">
        <v>0.53563989229284148</v>
      </c>
    </row>
    <row r="9609" spans="1:2">
      <c r="A9609">
        <v>9608</v>
      </c>
      <c r="B9609" s="119">
        <v>0.86897322562617474</v>
      </c>
    </row>
    <row r="9610" spans="1:2">
      <c r="A9610">
        <v>9609</v>
      </c>
      <c r="B9610" s="119">
        <v>0.31341767007061927</v>
      </c>
    </row>
    <row r="9611" spans="1:2">
      <c r="A9611">
        <v>9610</v>
      </c>
      <c r="B9611" s="119">
        <v>0.64675100340395264</v>
      </c>
    </row>
    <row r="9612" spans="1:2">
      <c r="A9612">
        <v>9611</v>
      </c>
      <c r="B9612" s="119">
        <v>0.9800843367372859</v>
      </c>
    </row>
    <row r="9613" spans="1:2">
      <c r="A9613">
        <v>9612</v>
      </c>
      <c r="B9613" s="119">
        <v>2.9467052786668696E-2</v>
      </c>
    </row>
    <row r="9614" spans="1:2">
      <c r="A9614">
        <v>9613</v>
      </c>
      <c r="B9614" s="119">
        <v>0.36280038612000198</v>
      </c>
    </row>
    <row r="9615" spans="1:2">
      <c r="A9615">
        <v>9614</v>
      </c>
      <c r="B9615" s="119">
        <v>0.69613371945333535</v>
      </c>
    </row>
    <row r="9616" spans="1:2">
      <c r="A9616">
        <v>9615</v>
      </c>
      <c r="B9616" s="119">
        <v>0.1405781638977798</v>
      </c>
    </row>
    <row r="9617" spans="1:2">
      <c r="A9617">
        <v>9616</v>
      </c>
      <c r="B9617" s="119">
        <v>0.47391149723111309</v>
      </c>
    </row>
    <row r="9618" spans="1:2">
      <c r="A9618">
        <v>9617</v>
      </c>
      <c r="B9618" s="119">
        <v>0.8072448305644464</v>
      </c>
    </row>
    <row r="9619" spans="1:2">
      <c r="A9619">
        <v>9618</v>
      </c>
      <c r="B9619" s="119">
        <v>0.25168927500889088</v>
      </c>
    </row>
    <row r="9620" spans="1:2">
      <c r="A9620">
        <v>9619</v>
      </c>
      <c r="B9620" s="119">
        <v>0.5850226083422243</v>
      </c>
    </row>
    <row r="9621" spans="1:2">
      <c r="A9621">
        <v>9620</v>
      </c>
      <c r="B9621" s="119">
        <v>0.91835594167555756</v>
      </c>
    </row>
    <row r="9622" spans="1:2">
      <c r="A9622">
        <v>9621</v>
      </c>
      <c r="B9622" s="119">
        <v>6.6504089823705731E-2</v>
      </c>
    </row>
    <row r="9623" spans="1:2">
      <c r="A9623">
        <v>9622</v>
      </c>
      <c r="B9623" s="119">
        <v>0.39983742315703902</v>
      </c>
    </row>
    <row r="9624" spans="1:2">
      <c r="A9624">
        <v>9623</v>
      </c>
      <c r="B9624" s="119">
        <v>0.73317075649037244</v>
      </c>
    </row>
    <row r="9625" spans="1:2">
      <c r="A9625">
        <v>9624</v>
      </c>
      <c r="B9625" s="119">
        <v>0.17761520093481684</v>
      </c>
    </row>
    <row r="9626" spans="1:2">
      <c r="A9626">
        <v>9625</v>
      </c>
      <c r="B9626" s="119">
        <v>0.51094853426815023</v>
      </c>
    </row>
    <row r="9627" spans="1:2">
      <c r="A9627">
        <v>9626</v>
      </c>
      <c r="B9627" s="119">
        <v>0.84428186760148338</v>
      </c>
    </row>
    <row r="9628" spans="1:2">
      <c r="A9628">
        <v>9627</v>
      </c>
      <c r="B9628" s="119">
        <v>0.28872631204592791</v>
      </c>
    </row>
    <row r="9629" spans="1:2">
      <c r="A9629">
        <v>9628</v>
      </c>
      <c r="B9629" s="119">
        <v>0.62205964537926128</v>
      </c>
    </row>
    <row r="9630" spans="1:2">
      <c r="A9630">
        <v>9629</v>
      </c>
      <c r="B9630" s="119">
        <v>0.95539297871259454</v>
      </c>
    </row>
    <row r="9631" spans="1:2">
      <c r="A9631">
        <v>9630</v>
      </c>
      <c r="B9631" s="119">
        <v>0.10354112686074277</v>
      </c>
    </row>
    <row r="9632" spans="1:2">
      <c r="A9632">
        <v>9631</v>
      </c>
      <c r="B9632" s="119">
        <v>0.43687446019407605</v>
      </c>
    </row>
    <row r="9633" spans="1:2">
      <c r="A9633">
        <v>9632</v>
      </c>
      <c r="B9633" s="119">
        <v>0.77020779352740942</v>
      </c>
    </row>
    <row r="9634" spans="1:2">
      <c r="A9634">
        <v>9633</v>
      </c>
      <c r="B9634" s="119">
        <v>0.21465223797185387</v>
      </c>
    </row>
    <row r="9635" spans="1:2">
      <c r="A9635">
        <v>9634</v>
      </c>
      <c r="B9635" s="119">
        <v>0.54798557130518721</v>
      </c>
    </row>
    <row r="9636" spans="1:2">
      <c r="A9636">
        <v>9635</v>
      </c>
      <c r="B9636" s="119">
        <v>0.88131890463852047</v>
      </c>
    </row>
    <row r="9637" spans="1:2">
      <c r="A9637">
        <v>9636</v>
      </c>
      <c r="B9637" s="119">
        <v>0.32576334908296495</v>
      </c>
    </row>
    <row r="9638" spans="1:2">
      <c r="A9638">
        <v>9637</v>
      </c>
      <c r="B9638" s="119">
        <v>0.65909668241629837</v>
      </c>
    </row>
    <row r="9639" spans="1:2">
      <c r="A9639">
        <v>9638</v>
      </c>
      <c r="B9639" s="119">
        <v>0.99243001574963163</v>
      </c>
    </row>
    <row r="9640" spans="1:2">
      <c r="A9640">
        <v>9639</v>
      </c>
      <c r="B9640" s="119">
        <v>8.8909210994259011E-3</v>
      </c>
    </row>
    <row r="9641" spans="1:2">
      <c r="A9641">
        <v>9640</v>
      </c>
      <c r="B9641" s="119">
        <v>0.34222425443275922</v>
      </c>
    </row>
    <row r="9642" spans="1:2">
      <c r="A9642">
        <v>9641</v>
      </c>
      <c r="B9642" s="119">
        <v>0.67555758776609254</v>
      </c>
    </row>
    <row r="9643" spans="1:2">
      <c r="A9643">
        <v>9642</v>
      </c>
      <c r="B9643" s="119">
        <v>0.12000203221053701</v>
      </c>
    </row>
    <row r="9644" spans="1:2">
      <c r="A9644">
        <v>9643</v>
      </c>
      <c r="B9644" s="119">
        <v>0.45333536554387033</v>
      </c>
    </row>
    <row r="9645" spans="1:2">
      <c r="A9645">
        <v>9644</v>
      </c>
      <c r="B9645" s="119">
        <v>0.78666869887720359</v>
      </c>
    </row>
    <row r="9646" spans="1:2">
      <c r="A9646">
        <v>9645</v>
      </c>
      <c r="B9646" s="119">
        <v>0.23111314332164809</v>
      </c>
    </row>
    <row r="9647" spans="1:2">
      <c r="A9647">
        <v>9646</v>
      </c>
      <c r="B9647" s="119">
        <v>0.56444647665498149</v>
      </c>
    </row>
    <row r="9648" spans="1:2">
      <c r="A9648">
        <v>9647</v>
      </c>
      <c r="B9648" s="119">
        <v>0.89777980998831475</v>
      </c>
    </row>
    <row r="9649" spans="1:2">
      <c r="A9649">
        <v>9648</v>
      </c>
      <c r="B9649" s="119">
        <v>4.5927958136462943E-2</v>
      </c>
    </row>
    <row r="9650" spans="1:2">
      <c r="A9650">
        <v>9649</v>
      </c>
      <c r="B9650" s="119">
        <v>0.37926129146979626</v>
      </c>
    </row>
    <row r="9651" spans="1:2">
      <c r="A9651">
        <v>9650</v>
      </c>
      <c r="B9651" s="119">
        <v>0.71259462480312963</v>
      </c>
    </row>
    <row r="9652" spans="1:2">
      <c r="A9652">
        <v>9651</v>
      </c>
      <c r="B9652" s="119">
        <v>0.15703906924757402</v>
      </c>
    </row>
    <row r="9653" spans="1:2">
      <c r="A9653">
        <v>9652</v>
      </c>
      <c r="B9653" s="119">
        <v>0.49037240258090736</v>
      </c>
    </row>
    <row r="9654" spans="1:2">
      <c r="A9654">
        <v>9653</v>
      </c>
      <c r="B9654" s="119">
        <v>0.82370573591424057</v>
      </c>
    </row>
    <row r="9655" spans="1:2">
      <c r="A9655">
        <v>9654</v>
      </c>
      <c r="B9655" s="119">
        <v>0.26815018035868515</v>
      </c>
    </row>
    <row r="9656" spans="1:2">
      <c r="A9656">
        <v>9655</v>
      </c>
      <c r="B9656" s="119">
        <v>0.60148351369201847</v>
      </c>
    </row>
    <row r="9657" spans="1:2">
      <c r="A9657">
        <v>9656</v>
      </c>
      <c r="B9657" s="119">
        <v>0.93481684702535173</v>
      </c>
    </row>
    <row r="9658" spans="1:2">
      <c r="A9658">
        <v>9657</v>
      </c>
      <c r="B9658" s="119">
        <v>8.2964995173499978E-2</v>
      </c>
    </row>
    <row r="9659" spans="1:2">
      <c r="A9659">
        <v>9658</v>
      </c>
      <c r="B9659" s="119">
        <v>0.41629832850683329</v>
      </c>
    </row>
    <row r="9660" spans="1:2">
      <c r="A9660">
        <v>9659</v>
      </c>
      <c r="B9660" s="119">
        <v>0.74963166184016661</v>
      </c>
    </row>
    <row r="9661" spans="1:2">
      <c r="A9661">
        <v>9660</v>
      </c>
      <c r="B9661" s="119">
        <v>0.19407610628461106</v>
      </c>
    </row>
    <row r="9662" spans="1:2">
      <c r="A9662">
        <v>9661</v>
      </c>
      <c r="B9662" s="119">
        <v>0.5274094396179444</v>
      </c>
    </row>
    <row r="9663" spans="1:2">
      <c r="A9663">
        <v>9662</v>
      </c>
      <c r="B9663" s="119">
        <v>0.86074277295127766</v>
      </c>
    </row>
    <row r="9664" spans="1:2">
      <c r="A9664">
        <v>9663</v>
      </c>
      <c r="B9664" s="119">
        <v>0.30518721739572219</v>
      </c>
    </row>
    <row r="9665" spans="1:2">
      <c r="A9665">
        <v>9664</v>
      </c>
      <c r="B9665" s="119">
        <v>0.63852055072905556</v>
      </c>
    </row>
    <row r="9666" spans="1:2">
      <c r="A9666">
        <v>9665</v>
      </c>
      <c r="B9666" s="119">
        <v>0.97185388406238882</v>
      </c>
    </row>
    <row r="9667" spans="1:2">
      <c r="A9667">
        <v>9666</v>
      </c>
      <c r="B9667" s="119">
        <v>2.1236600111771576E-2</v>
      </c>
    </row>
    <row r="9668" spans="1:2">
      <c r="A9668">
        <v>9667</v>
      </c>
      <c r="B9668" s="119">
        <v>0.3545699334451049</v>
      </c>
    </row>
    <row r="9669" spans="1:2">
      <c r="A9669">
        <v>9668</v>
      </c>
      <c r="B9669" s="119">
        <v>0.68790326677843816</v>
      </c>
    </row>
    <row r="9670" spans="1:2">
      <c r="A9670">
        <v>9669</v>
      </c>
      <c r="B9670" s="119">
        <v>0.13234771122288266</v>
      </c>
    </row>
    <row r="9671" spans="1:2">
      <c r="A9671">
        <v>9670</v>
      </c>
      <c r="B9671" s="119">
        <v>0.46568104455621601</v>
      </c>
    </row>
    <row r="9672" spans="1:2">
      <c r="A9672">
        <v>9671</v>
      </c>
      <c r="B9672" s="119">
        <v>0.79901437788954932</v>
      </c>
    </row>
    <row r="9673" spans="1:2">
      <c r="A9673">
        <v>9672</v>
      </c>
      <c r="B9673" s="119">
        <v>0.24345882233399377</v>
      </c>
    </row>
    <row r="9674" spans="1:2">
      <c r="A9674">
        <v>9673</v>
      </c>
      <c r="B9674" s="119">
        <v>0.57679215566732722</v>
      </c>
    </row>
    <row r="9675" spans="1:2">
      <c r="A9675">
        <v>9674</v>
      </c>
      <c r="B9675" s="119">
        <v>0.91012548900066048</v>
      </c>
    </row>
    <row r="9676" spans="1:2">
      <c r="A9676">
        <v>9675</v>
      </c>
      <c r="B9676" s="119">
        <v>5.8273637148808621E-2</v>
      </c>
    </row>
    <row r="9677" spans="1:2">
      <c r="A9677">
        <v>9676</v>
      </c>
      <c r="B9677" s="119">
        <v>0.39160697048214194</v>
      </c>
    </row>
    <row r="9678" spans="1:2">
      <c r="A9678">
        <v>9677</v>
      </c>
      <c r="B9678" s="119">
        <v>0.72494030381547536</v>
      </c>
    </row>
    <row r="9679" spans="1:2">
      <c r="A9679">
        <v>9678</v>
      </c>
      <c r="B9679" s="119">
        <v>0.1693847482599197</v>
      </c>
    </row>
    <row r="9680" spans="1:2">
      <c r="A9680">
        <v>9679</v>
      </c>
      <c r="B9680" s="119">
        <v>0.50271808159325304</v>
      </c>
    </row>
    <row r="9681" spans="1:2">
      <c r="A9681">
        <v>9680</v>
      </c>
      <c r="B9681" s="119">
        <v>0.8360514149265863</v>
      </c>
    </row>
    <row r="9682" spans="1:2">
      <c r="A9682">
        <v>9681</v>
      </c>
      <c r="B9682" s="119">
        <v>0.28049585937103083</v>
      </c>
    </row>
    <row r="9683" spans="1:2">
      <c r="A9683">
        <v>9682</v>
      </c>
      <c r="B9683" s="119">
        <v>0.6138291927043642</v>
      </c>
    </row>
    <row r="9684" spans="1:2">
      <c r="A9684">
        <v>9683</v>
      </c>
      <c r="B9684" s="119">
        <v>0.94716252603769746</v>
      </c>
    </row>
    <row r="9685" spans="1:2">
      <c r="A9685">
        <v>9684</v>
      </c>
      <c r="B9685" s="119">
        <v>9.5310674185845656E-2</v>
      </c>
    </row>
    <row r="9686" spans="1:2">
      <c r="A9686">
        <v>9685</v>
      </c>
      <c r="B9686" s="119">
        <v>0.42864400751917897</v>
      </c>
    </row>
    <row r="9687" spans="1:2">
      <c r="A9687">
        <v>9686</v>
      </c>
      <c r="B9687" s="119">
        <v>0.76197734085251234</v>
      </c>
    </row>
    <row r="9688" spans="1:2">
      <c r="A9688">
        <v>9687</v>
      </c>
      <c r="B9688" s="119">
        <v>0.20642178529695673</v>
      </c>
    </row>
    <row r="9689" spans="1:2">
      <c r="A9689">
        <v>9688</v>
      </c>
      <c r="B9689" s="119">
        <v>0.53975511863029002</v>
      </c>
    </row>
    <row r="9690" spans="1:2">
      <c r="A9690">
        <v>9689</v>
      </c>
      <c r="B9690" s="119">
        <v>0.87308845196362328</v>
      </c>
    </row>
    <row r="9691" spans="1:2">
      <c r="A9691">
        <v>9690</v>
      </c>
      <c r="B9691" s="119">
        <v>0.31753289640806787</v>
      </c>
    </row>
    <row r="9692" spans="1:2">
      <c r="A9692">
        <v>9691</v>
      </c>
      <c r="B9692" s="119">
        <v>0.65086622974140118</v>
      </c>
    </row>
    <row r="9693" spans="1:2">
      <c r="A9693">
        <v>9692</v>
      </c>
      <c r="B9693" s="119">
        <v>0.98419956307473444</v>
      </c>
    </row>
    <row r="9694" spans="1:2">
      <c r="A9694">
        <v>9693</v>
      </c>
      <c r="B9694" s="119">
        <v>3.3582279124117265E-2</v>
      </c>
    </row>
    <row r="9695" spans="1:2">
      <c r="A9695">
        <v>9694</v>
      </c>
      <c r="B9695" s="119">
        <v>0.36691561245745058</v>
      </c>
    </row>
    <row r="9696" spans="1:2">
      <c r="A9696">
        <v>9695</v>
      </c>
      <c r="B9696" s="119">
        <v>0.70024894579078389</v>
      </c>
    </row>
    <row r="9697" spans="1:2">
      <c r="A9697">
        <v>9696</v>
      </c>
      <c r="B9697" s="119">
        <v>0.14469339023522834</v>
      </c>
    </row>
    <row r="9698" spans="1:2">
      <c r="A9698">
        <v>9697</v>
      </c>
      <c r="B9698" s="119">
        <v>0.47802672356856168</v>
      </c>
    </row>
    <row r="9699" spans="1:2">
      <c r="A9699">
        <v>9698</v>
      </c>
      <c r="B9699" s="119">
        <v>0.81136005690189494</v>
      </c>
    </row>
    <row r="9700" spans="1:2">
      <c r="A9700">
        <v>9699</v>
      </c>
      <c r="B9700" s="119">
        <v>0.25580450134633947</v>
      </c>
    </row>
    <row r="9701" spans="1:2">
      <c r="A9701">
        <v>9700</v>
      </c>
      <c r="B9701" s="119">
        <v>0.58913783467967284</v>
      </c>
    </row>
    <row r="9702" spans="1:2">
      <c r="A9702">
        <v>9701</v>
      </c>
      <c r="B9702" s="119">
        <v>0.9224711680130061</v>
      </c>
    </row>
    <row r="9703" spans="1:2">
      <c r="A9703">
        <v>9702</v>
      </c>
      <c r="B9703" s="119">
        <v>7.06193161611543E-2</v>
      </c>
    </row>
    <row r="9704" spans="1:2">
      <c r="A9704">
        <v>9703</v>
      </c>
      <c r="B9704" s="119">
        <v>0.40395264949448761</v>
      </c>
    </row>
    <row r="9705" spans="1:2">
      <c r="A9705">
        <v>9704</v>
      </c>
      <c r="B9705" s="119">
        <v>0.73728598282782098</v>
      </c>
    </row>
    <row r="9706" spans="1:2">
      <c r="A9706">
        <v>9705</v>
      </c>
      <c r="B9706" s="119">
        <v>0.18173042727226538</v>
      </c>
    </row>
    <row r="9707" spans="1:2">
      <c r="A9707">
        <v>9706</v>
      </c>
      <c r="B9707" s="119">
        <v>0.51506376060559877</v>
      </c>
    </row>
    <row r="9708" spans="1:2">
      <c r="A9708">
        <v>9707</v>
      </c>
      <c r="B9708" s="119">
        <v>0.84839709393893192</v>
      </c>
    </row>
    <row r="9709" spans="1:2">
      <c r="A9709">
        <v>9708</v>
      </c>
      <c r="B9709" s="119">
        <v>0.29284153838337651</v>
      </c>
    </row>
    <row r="9710" spans="1:2">
      <c r="A9710">
        <v>9709</v>
      </c>
      <c r="B9710" s="119">
        <v>0.62617487171670982</v>
      </c>
    </row>
    <row r="9711" spans="1:2">
      <c r="A9711">
        <v>9710</v>
      </c>
      <c r="B9711" s="119">
        <v>0.95950820505004308</v>
      </c>
    </row>
    <row r="9712" spans="1:2">
      <c r="A9712">
        <v>9711</v>
      </c>
      <c r="B9712" s="119">
        <v>0.10765635319819133</v>
      </c>
    </row>
    <row r="9713" spans="1:2">
      <c r="A9713">
        <v>9712</v>
      </c>
      <c r="B9713" s="119">
        <v>0.44098968653152465</v>
      </c>
    </row>
    <row r="9714" spans="1:2">
      <c r="A9714">
        <v>9713</v>
      </c>
      <c r="B9714" s="119">
        <v>0.77432301986485796</v>
      </c>
    </row>
    <row r="9715" spans="1:2">
      <c r="A9715">
        <v>9714</v>
      </c>
      <c r="B9715" s="119">
        <v>0.21876746430930241</v>
      </c>
    </row>
    <row r="9716" spans="1:2">
      <c r="A9716">
        <v>9715</v>
      </c>
      <c r="B9716" s="119">
        <v>0.55210079764263575</v>
      </c>
    </row>
    <row r="9717" spans="1:2">
      <c r="A9717">
        <v>9716</v>
      </c>
      <c r="B9717" s="119">
        <v>0.88543413097596901</v>
      </c>
    </row>
    <row r="9718" spans="1:2">
      <c r="A9718">
        <v>9717</v>
      </c>
      <c r="B9718" s="119">
        <v>0.32987857542041354</v>
      </c>
    </row>
    <row r="9719" spans="1:2">
      <c r="A9719">
        <v>9718</v>
      </c>
      <c r="B9719" s="119">
        <v>0.66321190875374691</v>
      </c>
    </row>
    <row r="9720" spans="1:2">
      <c r="A9720">
        <v>9719</v>
      </c>
      <c r="B9720" s="119">
        <v>0.99654524208708017</v>
      </c>
    </row>
    <row r="9721" spans="1:2">
      <c r="A9721">
        <v>9720</v>
      </c>
      <c r="B9721" s="119">
        <v>2.0322105370116344E-3</v>
      </c>
    </row>
    <row r="9722" spans="1:2">
      <c r="A9722">
        <v>9721</v>
      </c>
      <c r="B9722" s="119">
        <v>0.33536554387034495</v>
      </c>
    </row>
    <row r="9723" spans="1:2">
      <c r="A9723">
        <v>9722</v>
      </c>
      <c r="B9723" s="119">
        <v>0.66869887720367827</v>
      </c>
    </row>
    <row r="9724" spans="1:2">
      <c r="A9724">
        <v>9723</v>
      </c>
      <c r="B9724" s="119">
        <v>0.11314332164812274</v>
      </c>
    </row>
    <row r="9725" spans="1:2">
      <c r="A9725">
        <v>9724</v>
      </c>
      <c r="B9725" s="119">
        <v>0.44647665498145606</v>
      </c>
    </row>
    <row r="9726" spans="1:2">
      <c r="A9726">
        <v>9725</v>
      </c>
      <c r="B9726" s="119">
        <v>0.77980998831478932</v>
      </c>
    </row>
    <row r="9727" spans="1:2">
      <c r="A9727">
        <v>9726</v>
      </c>
      <c r="B9727" s="119">
        <v>0.22425443275923385</v>
      </c>
    </row>
    <row r="9728" spans="1:2">
      <c r="A9728">
        <v>9727</v>
      </c>
      <c r="B9728" s="119">
        <v>0.55758776609256722</v>
      </c>
    </row>
    <row r="9729" spans="1:2">
      <c r="A9729">
        <v>9728</v>
      </c>
      <c r="B9729" s="119">
        <v>0.89092109942590048</v>
      </c>
    </row>
    <row r="9730" spans="1:2">
      <c r="A9730">
        <v>9729</v>
      </c>
      <c r="B9730" s="119">
        <v>3.9069247574048671E-2</v>
      </c>
    </row>
    <row r="9731" spans="1:2">
      <c r="A9731">
        <v>9730</v>
      </c>
      <c r="B9731" s="119">
        <v>0.37240258090738199</v>
      </c>
    </row>
    <row r="9732" spans="1:2">
      <c r="A9732">
        <v>9731</v>
      </c>
      <c r="B9732" s="119">
        <v>0.70573591424071536</v>
      </c>
    </row>
    <row r="9733" spans="1:2">
      <c r="A9733">
        <v>9732</v>
      </c>
      <c r="B9733" s="119">
        <v>0.15018035868515978</v>
      </c>
    </row>
    <row r="9734" spans="1:2">
      <c r="A9734">
        <v>9733</v>
      </c>
      <c r="B9734" s="119">
        <v>0.48351369201849309</v>
      </c>
    </row>
    <row r="9735" spans="1:2">
      <c r="A9735">
        <v>9734</v>
      </c>
      <c r="B9735" s="119">
        <v>0.81684702535182629</v>
      </c>
    </row>
    <row r="9736" spans="1:2">
      <c r="A9736">
        <v>9735</v>
      </c>
      <c r="B9736" s="119">
        <v>0.26129146979627088</v>
      </c>
    </row>
    <row r="9737" spans="1:2">
      <c r="A9737">
        <v>9736</v>
      </c>
      <c r="B9737" s="119">
        <v>0.5946248031296042</v>
      </c>
    </row>
    <row r="9738" spans="1:2">
      <c r="A9738">
        <v>9737</v>
      </c>
      <c r="B9738" s="119">
        <v>0.92795813646293746</v>
      </c>
    </row>
    <row r="9739" spans="1:2">
      <c r="A9739">
        <v>9738</v>
      </c>
      <c r="B9739" s="119">
        <v>7.6106284611085706E-2</v>
      </c>
    </row>
    <row r="9740" spans="1:2">
      <c r="A9740">
        <v>9739</v>
      </c>
      <c r="B9740" s="119">
        <v>0.40943961794441902</v>
      </c>
    </row>
    <row r="9741" spans="1:2">
      <c r="A9741">
        <v>9740</v>
      </c>
      <c r="B9741" s="119">
        <v>0.74277295127775234</v>
      </c>
    </row>
    <row r="9742" spans="1:2">
      <c r="A9742">
        <v>9741</v>
      </c>
      <c r="B9742" s="119">
        <v>0.18721739572219681</v>
      </c>
    </row>
    <row r="9743" spans="1:2">
      <c r="A9743">
        <v>9742</v>
      </c>
      <c r="B9743" s="119">
        <v>0.52055072905553013</v>
      </c>
    </row>
    <row r="9744" spans="1:2">
      <c r="A9744">
        <v>9743</v>
      </c>
      <c r="B9744" s="119">
        <v>0.85388406238886339</v>
      </c>
    </row>
    <row r="9745" spans="1:2">
      <c r="A9745">
        <v>9744</v>
      </c>
      <c r="B9745" s="119">
        <v>0.29832850683330792</v>
      </c>
    </row>
    <row r="9746" spans="1:2">
      <c r="A9746">
        <v>9745</v>
      </c>
      <c r="B9746" s="119">
        <v>0.63166184016664129</v>
      </c>
    </row>
    <row r="9747" spans="1:2">
      <c r="A9747">
        <v>9746</v>
      </c>
      <c r="B9747" s="119">
        <v>0.96499517349997455</v>
      </c>
    </row>
    <row r="9748" spans="1:2">
      <c r="A9748">
        <v>9747</v>
      </c>
      <c r="B9748" s="119">
        <v>1.4377889549357313E-2</v>
      </c>
    </row>
    <row r="9749" spans="1:2">
      <c r="A9749">
        <v>9748</v>
      </c>
      <c r="B9749" s="119">
        <v>0.34771122288269063</v>
      </c>
    </row>
    <row r="9750" spans="1:2">
      <c r="A9750">
        <v>9749</v>
      </c>
      <c r="B9750" s="119">
        <v>0.68104455621602389</v>
      </c>
    </row>
    <row r="9751" spans="1:2">
      <c r="A9751">
        <v>9750</v>
      </c>
      <c r="B9751" s="119">
        <v>0.12548900066046842</v>
      </c>
    </row>
    <row r="9752" spans="1:2">
      <c r="A9752">
        <v>9751</v>
      </c>
      <c r="B9752" s="119">
        <v>0.45882233399380173</v>
      </c>
    </row>
    <row r="9753" spans="1:2">
      <c r="A9753">
        <v>9752</v>
      </c>
      <c r="B9753" s="119">
        <v>0.79215566732713505</v>
      </c>
    </row>
    <row r="9754" spans="1:2">
      <c r="A9754">
        <v>9753</v>
      </c>
      <c r="B9754" s="119">
        <v>0.23660011177157952</v>
      </c>
    </row>
    <row r="9755" spans="1:2">
      <c r="A9755">
        <v>9754</v>
      </c>
      <c r="B9755" s="119">
        <v>0.56993344510491295</v>
      </c>
    </row>
    <row r="9756" spans="1:2">
      <c r="A9756">
        <v>9755</v>
      </c>
      <c r="B9756" s="119">
        <v>0.90326677843824621</v>
      </c>
    </row>
    <row r="9757" spans="1:2">
      <c r="A9757">
        <v>9756</v>
      </c>
      <c r="B9757" s="119">
        <v>5.1414926586394349E-2</v>
      </c>
    </row>
    <row r="9758" spans="1:2">
      <c r="A9758">
        <v>9757</v>
      </c>
      <c r="B9758" s="119">
        <v>0.38474825991972766</v>
      </c>
    </row>
    <row r="9759" spans="1:2">
      <c r="A9759">
        <v>9758</v>
      </c>
      <c r="B9759" s="119">
        <v>0.71808159325306109</v>
      </c>
    </row>
    <row r="9760" spans="1:2">
      <c r="A9760">
        <v>9759</v>
      </c>
      <c r="B9760" s="119">
        <v>0.16252603769750545</v>
      </c>
    </row>
    <row r="9761" spans="1:2">
      <c r="A9761">
        <v>9760</v>
      </c>
      <c r="B9761" s="119">
        <v>0.49585937103083877</v>
      </c>
    </row>
    <row r="9762" spans="1:2">
      <c r="A9762">
        <v>9761</v>
      </c>
      <c r="B9762" s="119">
        <v>0.82919270436417203</v>
      </c>
    </row>
    <row r="9763" spans="1:2">
      <c r="A9763">
        <v>9762</v>
      </c>
      <c r="B9763" s="119">
        <v>0.27363714880861656</v>
      </c>
    </row>
    <row r="9764" spans="1:2">
      <c r="A9764">
        <v>9763</v>
      </c>
      <c r="B9764" s="119">
        <v>0.60697048214194993</v>
      </c>
    </row>
    <row r="9765" spans="1:2">
      <c r="A9765">
        <v>9764</v>
      </c>
      <c r="B9765" s="119">
        <v>0.94030381547528319</v>
      </c>
    </row>
    <row r="9766" spans="1:2">
      <c r="A9766">
        <v>9765</v>
      </c>
      <c r="B9766" s="119">
        <v>8.8451963623431384E-2</v>
      </c>
    </row>
    <row r="9767" spans="1:2">
      <c r="A9767">
        <v>9766</v>
      </c>
      <c r="B9767" s="119">
        <v>0.4217852969567647</v>
      </c>
    </row>
    <row r="9768" spans="1:2">
      <c r="A9768">
        <v>9767</v>
      </c>
      <c r="B9768" s="119">
        <v>0.75511863029009807</v>
      </c>
    </row>
    <row r="9769" spans="1:2">
      <c r="A9769">
        <v>9768</v>
      </c>
      <c r="B9769" s="119">
        <v>0.19956307473454249</v>
      </c>
    </row>
    <row r="9770" spans="1:2">
      <c r="A9770">
        <v>9769</v>
      </c>
      <c r="B9770" s="119">
        <v>0.53289640806787575</v>
      </c>
    </row>
    <row r="9771" spans="1:2">
      <c r="A9771">
        <v>9770</v>
      </c>
      <c r="B9771" s="119">
        <v>0.86622974140120901</v>
      </c>
    </row>
    <row r="9772" spans="1:2">
      <c r="A9772">
        <v>9771</v>
      </c>
      <c r="B9772" s="119">
        <v>0.31067418584565359</v>
      </c>
    </row>
    <row r="9773" spans="1:2">
      <c r="A9773">
        <v>9772</v>
      </c>
      <c r="B9773" s="119">
        <v>0.64400751917898691</v>
      </c>
    </row>
    <row r="9774" spans="1:2">
      <c r="A9774">
        <v>9773</v>
      </c>
      <c r="B9774" s="119">
        <v>0.97734085251232017</v>
      </c>
    </row>
    <row r="9775" spans="1:2">
      <c r="A9775">
        <v>9774</v>
      </c>
      <c r="B9775" s="119">
        <v>2.6723568561702986E-2</v>
      </c>
    </row>
    <row r="9776" spans="1:2">
      <c r="A9776">
        <v>9775</v>
      </c>
      <c r="B9776" s="119">
        <v>0.36005690189503631</v>
      </c>
    </row>
    <row r="9777" spans="1:2">
      <c r="A9777">
        <v>9776</v>
      </c>
      <c r="B9777" s="119">
        <v>0.69339023522836962</v>
      </c>
    </row>
    <row r="9778" spans="1:2">
      <c r="A9778">
        <v>9777</v>
      </c>
      <c r="B9778" s="119">
        <v>0.1378346796728141</v>
      </c>
    </row>
    <row r="9779" spans="1:2">
      <c r="A9779">
        <v>9778</v>
      </c>
      <c r="B9779" s="119">
        <v>0.47116801300614741</v>
      </c>
    </row>
    <row r="9780" spans="1:2">
      <c r="A9780">
        <v>9779</v>
      </c>
      <c r="B9780" s="119">
        <v>0.80450134633948067</v>
      </c>
    </row>
    <row r="9781" spans="1:2">
      <c r="A9781">
        <v>9780</v>
      </c>
      <c r="B9781" s="119">
        <v>0.2489457907839252</v>
      </c>
    </row>
    <row r="9782" spans="1:2">
      <c r="A9782">
        <v>9781</v>
      </c>
      <c r="B9782" s="119">
        <v>0.58227912411725857</v>
      </c>
    </row>
    <row r="9783" spans="1:2">
      <c r="A9783">
        <v>9782</v>
      </c>
      <c r="B9783" s="119">
        <v>0.91561245745059183</v>
      </c>
    </row>
    <row r="9784" spans="1:2">
      <c r="A9784">
        <v>9783</v>
      </c>
      <c r="B9784" s="119">
        <v>6.3760605598740028E-2</v>
      </c>
    </row>
    <row r="9785" spans="1:2">
      <c r="A9785">
        <v>9784</v>
      </c>
      <c r="B9785" s="119">
        <v>0.39709393893207334</v>
      </c>
    </row>
    <row r="9786" spans="1:2">
      <c r="A9786">
        <v>9785</v>
      </c>
      <c r="B9786" s="119">
        <v>0.73042727226540671</v>
      </c>
    </row>
    <row r="9787" spans="1:2">
      <c r="A9787">
        <v>9786</v>
      </c>
      <c r="B9787" s="119">
        <v>0.17487171670985113</v>
      </c>
    </row>
    <row r="9788" spans="1:2">
      <c r="A9788">
        <v>9787</v>
      </c>
      <c r="B9788" s="119">
        <v>0.5082050500431845</v>
      </c>
    </row>
    <row r="9789" spans="1:2">
      <c r="A9789">
        <v>9788</v>
      </c>
      <c r="B9789" s="119">
        <v>0.84153838337651765</v>
      </c>
    </row>
    <row r="9790" spans="1:2">
      <c r="A9790">
        <v>9789</v>
      </c>
      <c r="B9790" s="119">
        <v>0.28598282782096224</v>
      </c>
    </row>
    <row r="9791" spans="1:2">
      <c r="A9791">
        <v>9790</v>
      </c>
      <c r="B9791" s="119">
        <v>0.61931616115429555</v>
      </c>
    </row>
    <row r="9792" spans="1:2">
      <c r="A9792">
        <v>9791</v>
      </c>
      <c r="B9792" s="119">
        <v>0.95264949448762881</v>
      </c>
    </row>
    <row r="9793" spans="1:2">
      <c r="A9793">
        <v>9792</v>
      </c>
      <c r="B9793" s="119">
        <v>0.10079764263577706</v>
      </c>
    </row>
    <row r="9794" spans="1:2">
      <c r="A9794">
        <v>9793</v>
      </c>
      <c r="B9794" s="119">
        <v>0.43413097596911038</v>
      </c>
    </row>
    <row r="9795" spans="1:2">
      <c r="A9795">
        <v>9794</v>
      </c>
      <c r="B9795" s="119">
        <v>0.76746430930244369</v>
      </c>
    </row>
    <row r="9796" spans="1:2">
      <c r="A9796">
        <v>9795</v>
      </c>
      <c r="B9796" s="119">
        <v>0.21190875374688817</v>
      </c>
    </row>
    <row r="9797" spans="1:2">
      <c r="A9797">
        <v>9796</v>
      </c>
      <c r="B9797" s="119">
        <v>0.54524208708022148</v>
      </c>
    </row>
    <row r="9798" spans="1:2">
      <c r="A9798">
        <v>9797</v>
      </c>
      <c r="B9798" s="119">
        <v>0.87857542041355474</v>
      </c>
    </row>
    <row r="9799" spans="1:2">
      <c r="A9799">
        <v>9798</v>
      </c>
      <c r="B9799" s="119">
        <v>0.32301986485799927</v>
      </c>
    </row>
    <row r="9800" spans="1:2">
      <c r="A9800">
        <v>9799</v>
      </c>
      <c r="B9800" s="119">
        <v>0.65635319819133264</v>
      </c>
    </row>
    <row r="9801" spans="1:2">
      <c r="A9801">
        <v>9800</v>
      </c>
      <c r="B9801" s="119">
        <v>0.9896865315246659</v>
      </c>
    </row>
    <row r="9802" spans="1:2">
      <c r="A9802">
        <v>9801</v>
      </c>
      <c r="B9802" s="119">
        <v>6.1474368744601953E-3</v>
      </c>
    </row>
    <row r="9803" spans="1:2">
      <c r="A9803">
        <v>9802</v>
      </c>
      <c r="B9803" s="119">
        <v>0.33948077020779349</v>
      </c>
    </row>
    <row r="9804" spans="1:2">
      <c r="A9804">
        <v>9803</v>
      </c>
      <c r="B9804" s="119">
        <v>0.67281410354112681</v>
      </c>
    </row>
    <row r="9805" spans="1:2">
      <c r="A9805">
        <v>9804</v>
      </c>
      <c r="B9805" s="119">
        <v>0.1172585479855713</v>
      </c>
    </row>
    <row r="9806" spans="1:2">
      <c r="A9806">
        <v>9805</v>
      </c>
      <c r="B9806" s="119">
        <v>0.4505918813189046</v>
      </c>
    </row>
    <row r="9807" spans="1:2">
      <c r="A9807">
        <v>9806</v>
      </c>
      <c r="B9807" s="119">
        <v>0.78392521465223786</v>
      </c>
    </row>
    <row r="9808" spans="1:2">
      <c r="A9808">
        <v>9807</v>
      </c>
      <c r="B9808" s="119">
        <v>0.22836965909668241</v>
      </c>
    </row>
    <row r="9809" spans="1:2">
      <c r="A9809">
        <v>9808</v>
      </c>
      <c r="B9809" s="119">
        <v>0.56170299243001576</v>
      </c>
    </row>
    <row r="9810" spans="1:2">
      <c r="A9810">
        <v>9809</v>
      </c>
      <c r="B9810" s="119">
        <v>0.89503632576334902</v>
      </c>
    </row>
    <row r="9811" spans="1:2">
      <c r="A9811">
        <v>9810</v>
      </c>
      <c r="B9811" s="119">
        <v>4.3184473911497233E-2</v>
      </c>
    </row>
    <row r="9812" spans="1:2">
      <c r="A9812">
        <v>9811</v>
      </c>
      <c r="B9812" s="119">
        <v>0.37651780724483053</v>
      </c>
    </row>
    <row r="9813" spans="1:2">
      <c r="A9813">
        <v>9812</v>
      </c>
      <c r="B9813" s="119">
        <v>0.7098511405781639</v>
      </c>
    </row>
    <row r="9814" spans="1:2">
      <c r="A9814">
        <v>9813</v>
      </c>
      <c r="B9814" s="119">
        <v>0.15429558502260834</v>
      </c>
    </row>
    <row r="9815" spans="1:2">
      <c r="A9815">
        <v>9814</v>
      </c>
      <c r="B9815" s="119">
        <v>0.48762891835594163</v>
      </c>
    </row>
    <row r="9816" spans="1:2">
      <c r="A9816">
        <v>9815</v>
      </c>
      <c r="B9816" s="119">
        <v>0.82096225168927484</v>
      </c>
    </row>
    <row r="9817" spans="1:2">
      <c r="A9817">
        <v>9816</v>
      </c>
      <c r="B9817" s="119">
        <v>0.26540669613371942</v>
      </c>
    </row>
    <row r="9818" spans="1:2">
      <c r="A9818">
        <v>9817</v>
      </c>
      <c r="B9818" s="119">
        <v>0.59874002946705274</v>
      </c>
    </row>
    <row r="9819" spans="1:2">
      <c r="A9819">
        <v>9818</v>
      </c>
      <c r="B9819" s="119">
        <v>0.932073362800386</v>
      </c>
    </row>
    <row r="9820" spans="1:2">
      <c r="A9820">
        <v>9819</v>
      </c>
      <c r="B9820" s="119">
        <v>8.0221510948534261E-2</v>
      </c>
    </row>
    <row r="9821" spans="1:2">
      <c r="A9821">
        <v>9820</v>
      </c>
      <c r="B9821" s="119">
        <v>0.41355484428186756</v>
      </c>
    </row>
    <row r="9822" spans="1:2">
      <c r="A9822">
        <v>9821</v>
      </c>
      <c r="B9822" s="119">
        <v>0.74688817761520088</v>
      </c>
    </row>
    <row r="9823" spans="1:2">
      <c r="A9823">
        <v>9822</v>
      </c>
      <c r="B9823" s="119">
        <v>0.19133262205964538</v>
      </c>
    </row>
    <row r="9824" spans="1:2">
      <c r="A9824">
        <v>9823</v>
      </c>
      <c r="B9824" s="119">
        <v>0.52466595539297867</v>
      </c>
    </row>
    <row r="9825" spans="1:2">
      <c r="A9825">
        <v>9824</v>
      </c>
      <c r="B9825" s="119">
        <v>0.85799928872631193</v>
      </c>
    </row>
    <row r="9826" spans="1:2">
      <c r="A9826">
        <v>9825</v>
      </c>
      <c r="B9826" s="119">
        <v>0.30244373317075646</v>
      </c>
    </row>
    <row r="9827" spans="1:2">
      <c r="A9827">
        <v>9826</v>
      </c>
      <c r="B9827" s="119">
        <v>0.63577706650408983</v>
      </c>
    </row>
    <row r="9828" spans="1:2">
      <c r="A9828">
        <v>9827</v>
      </c>
      <c r="B9828" s="119">
        <v>0.96911039983742309</v>
      </c>
    </row>
    <row r="9829" spans="1:2">
      <c r="A9829">
        <v>9828</v>
      </c>
      <c r="B9829" s="119">
        <v>1.8493115886805869E-2</v>
      </c>
    </row>
    <row r="9830" spans="1:2">
      <c r="A9830">
        <v>9829</v>
      </c>
      <c r="B9830" s="119">
        <v>0.35182644922013917</v>
      </c>
    </row>
    <row r="9831" spans="1:2">
      <c r="A9831">
        <v>9830</v>
      </c>
      <c r="B9831" s="119">
        <v>0.68515978255347243</v>
      </c>
    </row>
    <row r="9832" spans="1:2">
      <c r="A9832">
        <v>9831</v>
      </c>
      <c r="B9832" s="119">
        <v>0.12960422699791699</v>
      </c>
    </row>
    <row r="9833" spans="1:2">
      <c r="A9833">
        <v>9832</v>
      </c>
      <c r="B9833" s="119">
        <v>0.46293756033125028</v>
      </c>
    </row>
    <row r="9834" spans="1:2">
      <c r="A9834">
        <v>9833</v>
      </c>
      <c r="B9834" s="119">
        <v>0.79627089366458359</v>
      </c>
    </row>
    <row r="9835" spans="1:2">
      <c r="A9835">
        <v>9834</v>
      </c>
      <c r="B9835" s="119">
        <v>0.24071533810902809</v>
      </c>
    </row>
    <row r="9836" spans="1:2">
      <c r="A9836">
        <v>9835</v>
      </c>
      <c r="B9836" s="119">
        <v>0.57404867144236149</v>
      </c>
    </row>
    <row r="9837" spans="1:2">
      <c r="A9837">
        <v>9836</v>
      </c>
      <c r="B9837" s="119">
        <v>0.90738200477569475</v>
      </c>
    </row>
    <row r="9838" spans="1:2">
      <c r="A9838">
        <v>9837</v>
      </c>
      <c r="B9838" s="119">
        <v>5.5530152923842911E-2</v>
      </c>
    </row>
    <row r="9839" spans="1:2">
      <c r="A9839">
        <v>9838</v>
      </c>
      <c r="B9839" s="119">
        <v>0.38886348625717621</v>
      </c>
    </row>
    <row r="9840" spans="1:2">
      <c r="A9840">
        <v>9839</v>
      </c>
      <c r="B9840" s="119">
        <v>0.72219681959050963</v>
      </c>
    </row>
    <row r="9841" spans="1:2">
      <c r="A9841">
        <v>9840</v>
      </c>
      <c r="B9841" s="119">
        <v>0.16664126403495402</v>
      </c>
    </row>
    <row r="9842" spans="1:2">
      <c r="A9842">
        <v>9841</v>
      </c>
      <c r="B9842" s="119">
        <v>0.49997459736828731</v>
      </c>
    </row>
    <row r="9843" spans="1:2">
      <c r="A9843">
        <v>9842</v>
      </c>
      <c r="B9843" s="119">
        <v>0.83330793070162057</v>
      </c>
    </row>
    <row r="9844" spans="1:2">
      <c r="A9844">
        <v>9843</v>
      </c>
      <c r="B9844" s="119">
        <v>0.2777523751460651</v>
      </c>
    </row>
    <row r="9845" spans="1:2">
      <c r="A9845">
        <v>9844</v>
      </c>
      <c r="B9845" s="119">
        <v>0.61108570847939847</v>
      </c>
    </row>
    <row r="9846" spans="1:2">
      <c r="A9846">
        <v>9845</v>
      </c>
      <c r="B9846" s="119">
        <v>0.94441904181273173</v>
      </c>
    </row>
    <row r="9847" spans="1:2">
      <c r="A9847">
        <v>9846</v>
      </c>
      <c r="B9847" s="119">
        <v>9.2567189960879939E-2</v>
      </c>
    </row>
    <row r="9848" spans="1:2">
      <c r="A9848">
        <v>9847</v>
      </c>
      <c r="B9848" s="119">
        <v>0.42590052329421324</v>
      </c>
    </row>
    <row r="9849" spans="1:2">
      <c r="A9849">
        <v>9848</v>
      </c>
      <c r="B9849" s="119">
        <v>0.75923385662754661</v>
      </c>
    </row>
    <row r="9850" spans="1:2">
      <c r="A9850">
        <v>9849</v>
      </c>
      <c r="B9850" s="119">
        <v>0.20367830107199106</v>
      </c>
    </row>
    <row r="9851" spans="1:2">
      <c r="A9851">
        <v>9850</v>
      </c>
      <c r="B9851" s="119">
        <v>0.53701163440532429</v>
      </c>
    </row>
    <row r="9852" spans="1:2">
      <c r="A9852">
        <v>9851</v>
      </c>
      <c r="B9852" s="119">
        <v>0.87034496773865755</v>
      </c>
    </row>
    <row r="9853" spans="1:2">
      <c r="A9853">
        <v>9852</v>
      </c>
      <c r="B9853" s="119">
        <v>0.31478941218310214</v>
      </c>
    </row>
    <row r="9854" spans="1:2">
      <c r="A9854">
        <v>9853</v>
      </c>
      <c r="B9854" s="119">
        <v>0.64812274551643545</v>
      </c>
    </row>
    <row r="9855" spans="1:2">
      <c r="A9855">
        <v>9854</v>
      </c>
      <c r="B9855" s="119">
        <v>0.98145607884976871</v>
      </c>
    </row>
    <row r="9856" spans="1:2">
      <c r="A9856">
        <v>9855</v>
      </c>
      <c r="B9856" s="119">
        <v>3.0838794899151548E-2</v>
      </c>
    </row>
    <row r="9857" spans="1:2">
      <c r="A9857">
        <v>9856</v>
      </c>
      <c r="B9857" s="119">
        <v>0.36417212823248485</v>
      </c>
    </row>
    <row r="9858" spans="1:2">
      <c r="A9858">
        <v>9857</v>
      </c>
      <c r="B9858" s="119">
        <v>0.69750546156581816</v>
      </c>
    </row>
    <row r="9859" spans="1:2">
      <c r="A9859">
        <v>9858</v>
      </c>
      <c r="B9859" s="119">
        <v>0.14194990601026267</v>
      </c>
    </row>
    <row r="9860" spans="1:2">
      <c r="A9860">
        <v>9859</v>
      </c>
      <c r="B9860" s="119">
        <v>0.47528323934359595</v>
      </c>
    </row>
    <row r="9861" spans="1:2">
      <c r="A9861">
        <v>9860</v>
      </c>
      <c r="B9861" s="119">
        <v>0.80861657267692921</v>
      </c>
    </row>
    <row r="9862" spans="1:2">
      <c r="A9862">
        <v>9861</v>
      </c>
      <c r="B9862" s="119">
        <v>0.25306101712137374</v>
      </c>
    </row>
    <row r="9863" spans="1:2">
      <c r="A9863">
        <v>9862</v>
      </c>
      <c r="B9863" s="119">
        <v>0.58639435045470711</v>
      </c>
    </row>
    <row r="9864" spans="1:2">
      <c r="A9864">
        <v>9863</v>
      </c>
      <c r="B9864" s="119">
        <v>0.91972768378804037</v>
      </c>
    </row>
    <row r="9865" spans="1:2">
      <c r="A9865">
        <v>9864</v>
      </c>
      <c r="B9865" s="119">
        <v>6.7875831936188583E-2</v>
      </c>
    </row>
    <row r="9866" spans="1:2">
      <c r="A9866">
        <v>9865</v>
      </c>
      <c r="B9866" s="119">
        <v>0.40120916526952188</v>
      </c>
    </row>
    <row r="9867" spans="1:2">
      <c r="A9867">
        <v>9866</v>
      </c>
      <c r="B9867" s="119">
        <v>0.73454249860285525</v>
      </c>
    </row>
    <row r="9868" spans="1:2">
      <c r="A9868">
        <v>9867</v>
      </c>
      <c r="B9868" s="119">
        <v>0.1789869430472997</v>
      </c>
    </row>
    <row r="9869" spans="1:2">
      <c r="A9869">
        <v>9868</v>
      </c>
      <c r="B9869" s="119">
        <v>0.51232027638063304</v>
      </c>
    </row>
    <row r="9870" spans="1:2">
      <c r="A9870">
        <v>9869</v>
      </c>
      <c r="B9870" s="119">
        <v>0.84565360971396619</v>
      </c>
    </row>
    <row r="9871" spans="1:2">
      <c r="A9871">
        <v>9870</v>
      </c>
      <c r="B9871" s="119">
        <v>0.29009805415841078</v>
      </c>
    </row>
    <row r="9872" spans="1:2">
      <c r="A9872">
        <v>9871</v>
      </c>
      <c r="B9872" s="119">
        <v>0.62343138749174409</v>
      </c>
    </row>
    <row r="9873" spans="1:2">
      <c r="A9873">
        <v>9872</v>
      </c>
      <c r="B9873" s="119">
        <v>0.95676472082507735</v>
      </c>
    </row>
    <row r="9874" spans="1:2">
      <c r="A9874">
        <v>9873</v>
      </c>
      <c r="B9874" s="119">
        <v>0.10491286897322562</v>
      </c>
    </row>
    <row r="9875" spans="1:2">
      <c r="A9875">
        <v>9874</v>
      </c>
      <c r="B9875" s="119">
        <v>0.43824620230655892</v>
      </c>
    </row>
    <row r="9876" spans="1:2">
      <c r="A9876">
        <v>9875</v>
      </c>
      <c r="B9876" s="119">
        <v>0.77157953563989223</v>
      </c>
    </row>
    <row r="9877" spans="1:2">
      <c r="A9877">
        <v>9876</v>
      </c>
      <c r="B9877" s="119">
        <v>0.21602398008433674</v>
      </c>
    </row>
    <row r="9878" spans="1:2">
      <c r="A9878">
        <v>9877</v>
      </c>
      <c r="B9878" s="119">
        <v>0.54935731341767002</v>
      </c>
    </row>
    <row r="9879" spans="1:2">
      <c r="A9879">
        <v>9878</v>
      </c>
      <c r="B9879" s="119">
        <v>0.88269064675100328</v>
      </c>
    </row>
    <row r="9880" spans="1:2">
      <c r="A9880">
        <v>9879</v>
      </c>
      <c r="B9880" s="119">
        <v>0.32713509119544781</v>
      </c>
    </row>
    <row r="9881" spans="1:2">
      <c r="A9881">
        <v>9880</v>
      </c>
      <c r="B9881" s="119">
        <v>0.66046842452878118</v>
      </c>
    </row>
    <row r="9882" spans="1:2">
      <c r="A9882">
        <v>9881</v>
      </c>
      <c r="B9882" s="119">
        <v>0.99380175786211444</v>
      </c>
    </row>
    <row r="9883" spans="1:2">
      <c r="A9883">
        <v>9882</v>
      </c>
      <c r="B9883" s="119">
        <v>1.0262663211908754E-2</v>
      </c>
    </row>
    <row r="9884" spans="1:2">
      <c r="A9884">
        <v>9883</v>
      </c>
      <c r="B9884" s="119">
        <v>0.34359599654524209</v>
      </c>
    </row>
    <row r="9885" spans="1:2">
      <c r="A9885">
        <v>9884</v>
      </c>
      <c r="B9885" s="119">
        <v>0.67692932987857535</v>
      </c>
    </row>
    <row r="9886" spans="1:2">
      <c r="A9886">
        <v>9885</v>
      </c>
      <c r="B9886" s="119">
        <v>0.12137377432301986</v>
      </c>
    </row>
    <row r="9887" spans="1:2">
      <c r="A9887">
        <v>9886</v>
      </c>
      <c r="B9887" s="119">
        <v>0.45470710765635319</v>
      </c>
    </row>
    <row r="9888" spans="1:2">
      <c r="A9888">
        <v>9887</v>
      </c>
      <c r="B9888" s="119">
        <v>0.7880404409896864</v>
      </c>
    </row>
    <row r="9889" spans="1:2">
      <c r="A9889">
        <v>9888</v>
      </c>
      <c r="B9889" s="119">
        <v>0.23248488543413096</v>
      </c>
    </row>
    <row r="9890" spans="1:2">
      <c r="A9890">
        <v>9889</v>
      </c>
      <c r="B9890" s="119">
        <v>0.5658182187674643</v>
      </c>
    </row>
    <row r="9891" spans="1:2">
      <c r="A9891">
        <v>9890</v>
      </c>
      <c r="B9891" s="119">
        <v>0.89915155210079756</v>
      </c>
    </row>
    <row r="9892" spans="1:2">
      <c r="A9892">
        <v>9891</v>
      </c>
      <c r="B9892" s="119">
        <v>4.7299700248945795E-2</v>
      </c>
    </row>
    <row r="9893" spans="1:2">
      <c r="A9893">
        <v>9892</v>
      </c>
      <c r="B9893" s="119">
        <v>0.38063303358227912</v>
      </c>
    </row>
    <row r="9894" spans="1:2">
      <c r="A9894">
        <v>9893</v>
      </c>
      <c r="B9894" s="119">
        <v>0.71396636691561244</v>
      </c>
    </row>
    <row r="9895" spans="1:2">
      <c r="A9895">
        <v>9894</v>
      </c>
      <c r="B9895" s="119">
        <v>0.15841081136005689</v>
      </c>
    </row>
    <row r="9896" spans="1:2">
      <c r="A9896">
        <v>9895</v>
      </c>
      <c r="B9896" s="119">
        <v>0.49174414469339023</v>
      </c>
    </row>
    <row r="9897" spans="1:2">
      <c r="A9897">
        <v>9896</v>
      </c>
      <c r="B9897" s="119">
        <v>0.82507747802672338</v>
      </c>
    </row>
    <row r="9898" spans="1:2">
      <c r="A9898">
        <v>9897</v>
      </c>
      <c r="B9898" s="119">
        <v>0.26952192247116802</v>
      </c>
    </row>
    <row r="9899" spans="1:2">
      <c r="A9899">
        <v>9898</v>
      </c>
      <c r="B9899" s="119">
        <v>0.60285525580450128</v>
      </c>
    </row>
    <row r="9900" spans="1:2">
      <c r="A9900">
        <v>9899</v>
      </c>
      <c r="B9900" s="119">
        <v>0.93618858913783454</v>
      </c>
    </row>
    <row r="9901" spans="1:2">
      <c r="A9901">
        <v>9900</v>
      </c>
      <c r="B9901" s="119">
        <v>8.433673728598283E-2</v>
      </c>
    </row>
    <row r="9902" spans="1:2">
      <c r="A9902">
        <v>9901</v>
      </c>
      <c r="B9902" s="119">
        <v>0.41767007061931616</v>
      </c>
    </row>
    <row r="9903" spans="1:2">
      <c r="A9903">
        <v>9902</v>
      </c>
      <c r="B9903" s="119">
        <v>0.75100340395264942</v>
      </c>
    </row>
    <row r="9904" spans="1:2">
      <c r="A9904">
        <v>9903</v>
      </c>
      <c r="B9904" s="119">
        <v>0.19544784839709392</v>
      </c>
    </row>
    <row r="9905" spans="1:2">
      <c r="A9905">
        <v>9904</v>
      </c>
      <c r="B9905" s="119">
        <v>0.52878118173042721</v>
      </c>
    </row>
    <row r="9906" spans="1:2">
      <c r="A9906">
        <v>9905</v>
      </c>
      <c r="B9906" s="119">
        <v>0.86211451506376047</v>
      </c>
    </row>
    <row r="9907" spans="1:2">
      <c r="A9907">
        <v>9906</v>
      </c>
      <c r="B9907" s="119">
        <v>0.30655895950820505</v>
      </c>
    </row>
    <row r="9908" spans="1:2">
      <c r="A9908">
        <v>9907</v>
      </c>
      <c r="B9908" s="119">
        <v>0.63989229284153837</v>
      </c>
    </row>
    <row r="9909" spans="1:2">
      <c r="A9909">
        <v>9908</v>
      </c>
      <c r="B9909" s="119">
        <v>0.97322562617487163</v>
      </c>
    </row>
    <row r="9910" spans="1:2">
      <c r="A9910">
        <v>9909</v>
      </c>
      <c r="B9910" s="119">
        <v>2.2608342224254428E-2</v>
      </c>
    </row>
    <row r="9911" spans="1:2">
      <c r="A9911">
        <v>9910</v>
      </c>
      <c r="B9911" s="119">
        <v>0.35594167555758777</v>
      </c>
    </row>
    <row r="9912" spans="1:2">
      <c r="A9912">
        <v>9911</v>
      </c>
      <c r="B9912" s="119">
        <v>0.68927500889092097</v>
      </c>
    </row>
    <row r="9913" spans="1:2">
      <c r="A9913">
        <v>9912</v>
      </c>
      <c r="B9913" s="119">
        <v>0.13371945333536553</v>
      </c>
    </row>
    <row r="9914" spans="1:2">
      <c r="A9914">
        <v>9913</v>
      </c>
      <c r="B9914" s="119">
        <v>0.46705278666869887</v>
      </c>
    </row>
    <row r="9915" spans="1:2">
      <c r="A9915">
        <v>9914</v>
      </c>
      <c r="B9915" s="119">
        <v>0.80038612000203213</v>
      </c>
    </row>
    <row r="9916" spans="1:2">
      <c r="A9916">
        <v>9915</v>
      </c>
      <c r="B9916" s="119">
        <v>0.24483056444647663</v>
      </c>
    </row>
    <row r="9917" spans="1:2">
      <c r="A9917">
        <v>9916</v>
      </c>
      <c r="B9917" s="119">
        <v>0.57816389777981003</v>
      </c>
    </row>
    <row r="9918" spans="1:2">
      <c r="A9918">
        <v>9917</v>
      </c>
      <c r="B9918" s="119">
        <v>0.91149723111314329</v>
      </c>
    </row>
    <row r="9919" spans="1:2">
      <c r="A9919">
        <v>9918</v>
      </c>
      <c r="B9919" s="119">
        <v>5.9645379261291473E-2</v>
      </c>
    </row>
    <row r="9920" spans="1:2">
      <c r="A9920">
        <v>9919</v>
      </c>
      <c r="B9920" s="119">
        <v>0.3929787125946248</v>
      </c>
    </row>
    <row r="9921" spans="1:2">
      <c r="A9921">
        <v>9920</v>
      </c>
      <c r="B9921" s="119">
        <v>0.72631204592795817</v>
      </c>
    </row>
    <row r="9922" spans="1:2">
      <c r="A9922">
        <v>9921</v>
      </c>
      <c r="B9922" s="119">
        <v>0.17075649037240256</v>
      </c>
    </row>
    <row r="9923" spans="1:2">
      <c r="A9923">
        <v>9922</v>
      </c>
      <c r="B9923" s="119">
        <v>0.50408982370573585</v>
      </c>
    </row>
    <row r="9924" spans="1:2">
      <c r="A9924">
        <v>9923</v>
      </c>
      <c r="B9924" s="119">
        <v>0.83742315703906911</v>
      </c>
    </row>
    <row r="9925" spans="1:2">
      <c r="A9925">
        <v>9924</v>
      </c>
      <c r="B9925" s="119">
        <v>0.2818676014835137</v>
      </c>
    </row>
    <row r="9926" spans="1:2">
      <c r="A9926">
        <v>9925</v>
      </c>
      <c r="B9926" s="119">
        <v>0.61520093481684701</v>
      </c>
    </row>
    <row r="9927" spans="1:2">
      <c r="A9927">
        <v>9926</v>
      </c>
      <c r="B9927" s="119">
        <v>0.94853426815018027</v>
      </c>
    </row>
    <row r="9928" spans="1:2">
      <c r="A9928">
        <v>9927</v>
      </c>
      <c r="B9928" s="119">
        <v>9.6682416298328508E-2</v>
      </c>
    </row>
    <row r="9929" spans="1:2">
      <c r="A9929">
        <v>9928</v>
      </c>
      <c r="B9929" s="119">
        <v>0.43001574963166184</v>
      </c>
    </row>
    <row r="9930" spans="1:2">
      <c r="A9930">
        <v>9929</v>
      </c>
      <c r="B9930" s="119">
        <v>0.76334908296499515</v>
      </c>
    </row>
    <row r="9931" spans="1:2">
      <c r="A9931">
        <v>9930</v>
      </c>
      <c r="B9931" s="119">
        <v>0.2077935274094396</v>
      </c>
    </row>
    <row r="9932" spans="1:2">
      <c r="A9932">
        <v>9931</v>
      </c>
      <c r="B9932" s="119">
        <v>0.54112686074277283</v>
      </c>
    </row>
    <row r="9933" spans="1:2">
      <c r="A9933">
        <v>9932</v>
      </c>
      <c r="B9933" s="119">
        <v>0.87446019407610609</v>
      </c>
    </row>
    <row r="9934" spans="1:2">
      <c r="A9934">
        <v>9933</v>
      </c>
      <c r="B9934" s="119">
        <v>0.31890463852055073</v>
      </c>
    </row>
    <row r="9935" spans="1:2">
      <c r="A9935">
        <v>9934</v>
      </c>
      <c r="B9935" s="119">
        <v>0.65223797185388399</v>
      </c>
    </row>
    <row r="9936" spans="1:2">
      <c r="A9936">
        <v>9935</v>
      </c>
      <c r="B9936" s="119">
        <v>0.98557130518721725</v>
      </c>
    </row>
    <row r="9937" spans="1:2">
      <c r="A9937">
        <v>9936</v>
      </c>
      <c r="B9937" s="119">
        <v>3.4954021236600116E-2</v>
      </c>
    </row>
    <row r="9938" spans="1:2">
      <c r="A9938">
        <v>9937</v>
      </c>
      <c r="B9938" s="119">
        <v>0.36828735456993344</v>
      </c>
    </row>
    <row r="9939" spans="1:2">
      <c r="A9939">
        <v>9938</v>
      </c>
      <c r="B9939" s="119">
        <v>0.7016206879032667</v>
      </c>
    </row>
    <row r="9940" spans="1:2">
      <c r="A9940">
        <v>9939</v>
      </c>
      <c r="B9940" s="119">
        <v>0.14606513234771121</v>
      </c>
    </row>
    <row r="9941" spans="1:2">
      <c r="A9941">
        <v>9940</v>
      </c>
      <c r="B9941" s="119">
        <v>0.47939846568104455</v>
      </c>
    </row>
    <row r="9942" spans="1:2">
      <c r="A9942">
        <v>9941</v>
      </c>
      <c r="B9942" s="119">
        <v>0.81273179901437775</v>
      </c>
    </row>
    <row r="9943" spans="1:2">
      <c r="A9943">
        <v>9942</v>
      </c>
      <c r="B9943" s="119">
        <v>0.25717624345882234</v>
      </c>
    </row>
    <row r="9944" spans="1:2">
      <c r="A9944">
        <v>9943</v>
      </c>
      <c r="B9944" s="119">
        <v>0.59050957679215565</v>
      </c>
    </row>
    <row r="9945" spans="1:2">
      <c r="A9945">
        <v>9944</v>
      </c>
      <c r="B9945" s="119">
        <v>0.92384291012548891</v>
      </c>
    </row>
    <row r="9946" spans="1:2">
      <c r="A9946">
        <v>9945</v>
      </c>
      <c r="B9946" s="119">
        <v>7.1991058273637151E-2</v>
      </c>
    </row>
    <row r="9947" spans="1:2">
      <c r="A9947">
        <v>9946</v>
      </c>
      <c r="B9947" s="119">
        <v>0.40532439160697048</v>
      </c>
    </row>
    <row r="9948" spans="1:2">
      <c r="A9948">
        <v>9947</v>
      </c>
      <c r="B9948" s="119">
        <v>0.73865772494030379</v>
      </c>
    </row>
    <row r="9949" spans="1:2">
      <c r="A9949">
        <v>9948</v>
      </c>
      <c r="B9949" s="119">
        <v>0.18310216938474824</v>
      </c>
    </row>
    <row r="9950" spans="1:2">
      <c r="A9950">
        <v>9949</v>
      </c>
      <c r="B9950" s="119">
        <v>0.51643550271808158</v>
      </c>
    </row>
    <row r="9951" spans="1:2">
      <c r="A9951">
        <v>9950</v>
      </c>
      <c r="B9951" s="119">
        <v>0.84976883605141473</v>
      </c>
    </row>
    <row r="9952" spans="1:2">
      <c r="A9952">
        <v>9951</v>
      </c>
      <c r="B9952" s="119">
        <v>0.29421328049585938</v>
      </c>
    </row>
    <row r="9953" spans="1:2">
      <c r="A9953">
        <v>9952</v>
      </c>
      <c r="B9953" s="119">
        <v>0.62754661382919263</v>
      </c>
    </row>
    <row r="9954" spans="1:2">
      <c r="A9954">
        <v>9953</v>
      </c>
      <c r="B9954" s="119">
        <v>0.96087994716252589</v>
      </c>
    </row>
    <row r="9955" spans="1:2">
      <c r="A9955">
        <v>9954</v>
      </c>
      <c r="B9955" s="119">
        <v>0.10902809531067419</v>
      </c>
    </row>
    <row r="9956" spans="1:2">
      <c r="A9956">
        <v>9955</v>
      </c>
      <c r="B9956" s="119">
        <v>0.44236142864400751</v>
      </c>
    </row>
    <row r="9957" spans="1:2">
      <c r="A9957">
        <v>9956</v>
      </c>
      <c r="B9957" s="119">
        <v>0.77569476197734077</v>
      </c>
    </row>
    <row r="9958" spans="1:2">
      <c r="A9958">
        <v>9957</v>
      </c>
      <c r="B9958" s="119">
        <v>0.22013920642178528</v>
      </c>
    </row>
    <row r="9959" spans="1:2">
      <c r="A9959">
        <v>9958</v>
      </c>
      <c r="B9959" s="119">
        <v>0.55347253975511856</v>
      </c>
    </row>
    <row r="9960" spans="1:2">
      <c r="A9960">
        <v>9959</v>
      </c>
      <c r="B9960" s="119">
        <v>0.88680587308845182</v>
      </c>
    </row>
    <row r="9961" spans="1:2">
      <c r="A9961">
        <v>9960</v>
      </c>
      <c r="B9961" s="119">
        <v>0.33125031753289641</v>
      </c>
    </row>
    <row r="9962" spans="1:2">
      <c r="A9962">
        <v>9961</v>
      </c>
      <c r="B9962" s="119">
        <v>0.66458365086622972</v>
      </c>
    </row>
    <row r="9963" spans="1:2">
      <c r="A9963">
        <v>9962</v>
      </c>
      <c r="B9963" s="119">
        <v>0.99791698419956298</v>
      </c>
    </row>
    <row r="9964" spans="1:2">
      <c r="A9964">
        <v>9963</v>
      </c>
      <c r="B9964" s="119">
        <v>3.4039526494944873E-3</v>
      </c>
    </row>
    <row r="9965" spans="1:2">
      <c r="A9965">
        <v>9964</v>
      </c>
      <c r="B9965" s="119">
        <v>0.33673728598282782</v>
      </c>
    </row>
    <row r="9966" spans="1:2">
      <c r="A9966">
        <v>9965</v>
      </c>
      <c r="B9966" s="119">
        <v>0.67007061931616119</v>
      </c>
    </row>
    <row r="9967" spans="1:2">
      <c r="A9967">
        <v>9966</v>
      </c>
      <c r="B9967" s="119">
        <v>0.11451506376060559</v>
      </c>
    </row>
    <row r="9968" spans="1:2">
      <c r="A9968">
        <v>9967</v>
      </c>
      <c r="B9968" s="119">
        <v>0.44784839709393892</v>
      </c>
    </row>
    <row r="9969" spans="1:2">
      <c r="A9969">
        <v>9968</v>
      </c>
      <c r="B9969" s="119">
        <v>0.78118173042727224</v>
      </c>
    </row>
    <row r="9970" spans="1:2">
      <c r="A9970">
        <v>9969</v>
      </c>
      <c r="B9970" s="119">
        <v>0.22562617487171668</v>
      </c>
    </row>
    <row r="9971" spans="1:2">
      <c r="A9971">
        <v>9970</v>
      </c>
      <c r="B9971" s="119">
        <v>0.55895950820505014</v>
      </c>
    </row>
    <row r="9972" spans="1:2">
      <c r="A9972">
        <v>9971</v>
      </c>
      <c r="B9972" s="119">
        <v>0.8922928415383834</v>
      </c>
    </row>
    <row r="9973" spans="1:2">
      <c r="A9973">
        <v>9972</v>
      </c>
      <c r="B9973" s="119">
        <v>4.0440989686531523E-2</v>
      </c>
    </row>
    <row r="9974" spans="1:2">
      <c r="A9974">
        <v>9973</v>
      </c>
      <c r="B9974" s="119">
        <v>0.37377432301986485</v>
      </c>
    </row>
    <row r="9975" spans="1:2">
      <c r="A9975">
        <v>9974</v>
      </c>
      <c r="B9975" s="119">
        <v>0.70710765635319828</v>
      </c>
    </row>
    <row r="9976" spans="1:2">
      <c r="A9976">
        <v>9975</v>
      </c>
      <c r="B9976" s="119">
        <v>0.15155210079764261</v>
      </c>
    </row>
    <row r="9977" spans="1:2">
      <c r="A9977">
        <v>9976</v>
      </c>
      <c r="B9977" s="119">
        <v>0.48488543413097596</v>
      </c>
    </row>
    <row r="9978" spans="1:2">
      <c r="A9978">
        <v>9977</v>
      </c>
      <c r="B9978" s="119">
        <v>0.81821876746430922</v>
      </c>
    </row>
    <row r="9979" spans="1:2">
      <c r="A9979">
        <v>9978</v>
      </c>
      <c r="B9979" s="119">
        <v>0.26266321190875375</v>
      </c>
    </row>
    <row r="9980" spans="1:2">
      <c r="A9980">
        <v>9979</v>
      </c>
      <c r="B9980" s="119">
        <v>0.59599654524208712</v>
      </c>
    </row>
    <row r="9981" spans="1:2">
      <c r="A9981">
        <v>9980</v>
      </c>
      <c r="B9981" s="119">
        <v>0.92932987857542038</v>
      </c>
    </row>
    <row r="9982" spans="1:2">
      <c r="A9982">
        <v>9981</v>
      </c>
      <c r="B9982" s="119">
        <v>7.7478026723568558E-2</v>
      </c>
    </row>
    <row r="9983" spans="1:2">
      <c r="A9983">
        <v>9982</v>
      </c>
      <c r="B9983" s="119">
        <v>0.41081136005690189</v>
      </c>
    </row>
    <row r="9984" spans="1:2">
      <c r="A9984">
        <v>9983</v>
      </c>
      <c r="B9984" s="119">
        <v>0.74414469339023526</v>
      </c>
    </row>
    <row r="9985" spans="1:2">
      <c r="A9985">
        <v>9984</v>
      </c>
      <c r="B9985" s="119">
        <v>0.18858913783467965</v>
      </c>
    </row>
    <row r="9986" spans="1:2">
      <c r="A9986">
        <v>9985</v>
      </c>
      <c r="B9986" s="119">
        <v>0.52192247116801305</v>
      </c>
    </row>
    <row r="9987" spans="1:2">
      <c r="A9987">
        <v>9986</v>
      </c>
      <c r="B9987" s="119">
        <v>0.85525580450134631</v>
      </c>
    </row>
    <row r="9988" spans="1:2">
      <c r="A9988">
        <v>9987</v>
      </c>
      <c r="B9988" s="119">
        <v>0.29970024894579078</v>
      </c>
    </row>
    <row r="9989" spans="1:2">
      <c r="A9989">
        <v>9988</v>
      </c>
      <c r="B9989" s="119">
        <v>0.63303358227912421</v>
      </c>
    </row>
    <row r="9990" spans="1:2">
      <c r="A9990">
        <v>9989</v>
      </c>
      <c r="B9990" s="119">
        <v>0.96636691561245747</v>
      </c>
    </row>
    <row r="9991" spans="1:2">
      <c r="A9991">
        <v>9990</v>
      </c>
      <c r="B9991" s="119">
        <v>1.5749631661840166E-2</v>
      </c>
    </row>
    <row r="9992" spans="1:2">
      <c r="A9992">
        <v>9991</v>
      </c>
      <c r="B9992" s="119">
        <v>0.34908296499517349</v>
      </c>
    </row>
    <row r="9993" spans="1:2">
      <c r="A9993">
        <v>9992</v>
      </c>
      <c r="B9993" s="119">
        <v>0.68241629832850681</v>
      </c>
    </row>
    <row r="9994" spans="1:2">
      <c r="A9994">
        <v>9993</v>
      </c>
      <c r="B9994" s="119">
        <v>0.12686074277295126</v>
      </c>
    </row>
    <row r="9995" spans="1:2">
      <c r="A9995">
        <v>9994</v>
      </c>
      <c r="B9995" s="119">
        <v>0.4601940761062846</v>
      </c>
    </row>
    <row r="9996" spans="1:2">
      <c r="A9996">
        <v>9995</v>
      </c>
      <c r="B9996" s="119">
        <v>0.79352740943961797</v>
      </c>
    </row>
    <row r="9997" spans="1:2">
      <c r="A9997">
        <v>9996</v>
      </c>
      <c r="B9997" s="119">
        <v>0.23797185388406236</v>
      </c>
    </row>
    <row r="9998" spans="1:2">
      <c r="A9998">
        <v>9997</v>
      </c>
      <c r="B9998" s="119">
        <v>0.57130518721739587</v>
      </c>
    </row>
    <row r="9999" spans="1:2">
      <c r="A9999">
        <v>9998</v>
      </c>
      <c r="B9999" s="119">
        <v>0.90463852055072913</v>
      </c>
    </row>
    <row r="10000" spans="1:2">
      <c r="A10000">
        <v>9999</v>
      </c>
      <c r="B10000" s="119">
        <v>5.2786668698877201E-2</v>
      </c>
    </row>
    <row r="10001" spans="1:2">
      <c r="A10001">
        <v>10000</v>
      </c>
      <c r="B10001" s="119">
        <v>0.38612000203221053</v>
      </c>
    </row>
  </sheetData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7</vt:i4>
      </vt:variant>
    </vt:vector>
  </HeadingPairs>
  <TitlesOfParts>
    <vt:vector size="12" baseType="lpstr">
      <vt:lpstr>Input</vt:lpstr>
      <vt:lpstr>Asset</vt:lpstr>
      <vt:lpstr>Halton Sequences</vt:lpstr>
      <vt:lpstr>Mort Tables</vt:lpstr>
      <vt:lpstr>Hurdle Rate Simulation</vt:lpstr>
      <vt:lpstr>age</vt:lpstr>
      <vt:lpstr>ChinaMort1993</vt:lpstr>
      <vt:lpstr>Dben</vt:lpstr>
      <vt:lpstr>Gender</vt:lpstr>
      <vt:lpstr>H_rate</vt:lpstr>
      <vt:lpstr>Prem</vt:lpstr>
      <vt:lpstr>'Mort Tables'!Print_Titles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Jian Wang</cp:lastModifiedBy>
  <dcterms:created xsi:type="dcterms:W3CDTF">1996-12-17T01:32:42Z</dcterms:created>
  <dcterms:modified xsi:type="dcterms:W3CDTF">2010-04-22T21:38:26Z</dcterms:modified>
</cp:coreProperties>
</file>