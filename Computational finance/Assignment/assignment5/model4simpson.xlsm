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5480" windowHeight="1164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" i="2"/>
  <c r="E1"/>
  <c r="C11" i="1"/>
  <c r="H4" i="2" s="1"/>
  <c r="B11" i="1"/>
  <c r="E4" i="2" s="1"/>
  <c r="B4"/>
  <c r="I4" i="1"/>
  <c r="I2"/>
  <c r="A12"/>
  <c r="H4"/>
  <c r="A9"/>
  <c r="G4"/>
  <c r="A5"/>
  <c r="E7" i="2" l="1"/>
</calcChain>
</file>

<file path=xl/sharedStrings.xml><?xml version="1.0" encoding="utf-8"?>
<sst xmlns="http://schemas.openxmlformats.org/spreadsheetml/2006/main" count="27" uniqueCount="27">
  <si>
    <t xml:space="preserve">Function </t>
    <phoneticPr fontId="1" type="noConversion"/>
  </si>
  <si>
    <t>True Value</t>
    <phoneticPr fontId="1" type="noConversion"/>
  </si>
  <si>
    <t>The approximate value</t>
    <phoneticPr fontId="1" type="noConversion"/>
  </si>
  <si>
    <t>x</t>
    <phoneticPr fontId="1" type="noConversion"/>
  </si>
  <si>
    <t>x^2</t>
    <phoneticPr fontId="1" type="noConversion"/>
  </si>
  <si>
    <t>x^3</t>
    <phoneticPr fontId="1" type="noConversion"/>
  </si>
  <si>
    <t>sin(x)</t>
    <phoneticPr fontId="1" type="noConversion"/>
  </si>
  <si>
    <t>e^x</t>
    <phoneticPr fontId="1" type="noConversion"/>
  </si>
  <si>
    <t>x^4</t>
    <phoneticPr fontId="1" type="noConversion"/>
  </si>
  <si>
    <t>x^(6)</t>
    <phoneticPr fontId="1" type="noConversion"/>
  </si>
  <si>
    <t>0.3333</t>
    <phoneticPr fontId="1" type="noConversion"/>
  </si>
  <si>
    <t>ABS Error</t>
    <phoneticPr fontId="1" type="noConversion"/>
  </si>
  <si>
    <t>S</t>
    <phoneticPr fontId="1" type="noConversion"/>
  </si>
  <si>
    <t xml:space="preserve">T </t>
    <phoneticPr fontId="1" type="noConversion"/>
  </si>
  <si>
    <t>Delta</t>
    <phoneticPr fontId="1" type="noConversion"/>
  </si>
  <si>
    <t>R</t>
    <phoneticPr fontId="1" type="noConversion"/>
  </si>
  <si>
    <t>d1</t>
    <phoneticPr fontId="1" type="noConversion"/>
  </si>
  <si>
    <t>K</t>
    <phoneticPr fontId="1" type="noConversion"/>
  </si>
  <si>
    <t xml:space="preserve"> t</t>
    <phoneticPr fontId="1" type="noConversion"/>
  </si>
  <si>
    <t>d2</t>
    <phoneticPr fontId="1" type="noConversion"/>
  </si>
  <si>
    <t>P(d1)</t>
    <phoneticPr fontId="1" type="noConversion"/>
  </si>
  <si>
    <t>P(d2)</t>
    <phoneticPr fontId="1" type="noConversion"/>
  </si>
  <si>
    <t>call price</t>
    <phoneticPr fontId="1" type="noConversion"/>
  </si>
  <si>
    <t>d1</t>
    <phoneticPr fontId="1" type="noConversion"/>
  </si>
  <si>
    <t>d2</t>
    <phoneticPr fontId="1" type="noConversion"/>
  </si>
  <si>
    <t>P(d1)</t>
    <phoneticPr fontId="1" type="noConversion"/>
  </si>
  <si>
    <t>P(d2)</t>
    <phoneticPr fontId="1" type="noConversion"/>
  </si>
</sst>
</file>

<file path=xl/styles.xml><?xml version="1.0" encoding="utf-8"?>
<styleSheet xmlns="http://schemas.openxmlformats.org/spreadsheetml/2006/main">
  <numFmts count="7">
    <numFmt numFmtId="176" formatCode="0.00000000000_ "/>
    <numFmt numFmtId="177" formatCode="0.000000000000_ "/>
    <numFmt numFmtId="178" formatCode="0.00_ "/>
    <numFmt numFmtId="179" formatCode="0.0000000000000_ "/>
    <numFmt numFmtId="181" formatCode="0.00000000000000000_ "/>
    <numFmt numFmtId="186" formatCode="0.00000000_ "/>
    <numFmt numFmtId="187" formatCode="0.0000000_ "/>
  </numFmts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" xfId="0" applyBorder="1">
      <alignment vertical="center"/>
    </xf>
    <xf numFmtId="181" fontId="0" fillId="0" borderId="0" xfId="0" applyNumberFormat="1">
      <alignment vertical="center"/>
    </xf>
    <xf numFmtId="0" fontId="0" fillId="0" borderId="1" xfId="0" applyFill="1" applyBorder="1">
      <alignment vertical="center"/>
    </xf>
    <xf numFmtId="177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81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87" fontId="0" fillId="0" borderId="0" xfId="0" applyNumberFormat="1">
      <alignment vertical="center"/>
    </xf>
    <xf numFmtId="186" fontId="0" fillId="0" borderId="1" xfId="0" applyNumberForma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3"/>
  <sheetViews>
    <sheetView tabSelected="1" workbookViewId="0">
      <selection activeCell="B19" sqref="B19"/>
    </sheetView>
  </sheetViews>
  <sheetFormatPr defaultRowHeight="13.5"/>
  <cols>
    <col min="1" max="1" width="37.75" customWidth="1"/>
    <col min="2" max="2" width="22.5" customWidth="1"/>
    <col min="3" max="3" width="22.75" customWidth="1"/>
    <col min="4" max="4" width="7.25" bestFit="1" customWidth="1"/>
    <col min="5" max="5" width="6.5" bestFit="1" customWidth="1"/>
    <col min="6" max="6" width="4.5" customWidth="1"/>
    <col min="7" max="7" width="15.625" customWidth="1"/>
    <col min="8" max="8" width="18.5" customWidth="1"/>
    <col min="9" max="9" width="21.5" customWidth="1"/>
  </cols>
  <sheetData>
    <row r="1" spans="1:9">
      <c r="A1" s="1">
        <v>0.10151205342058076</v>
      </c>
      <c r="B1" s="3" t="s">
        <v>0</v>
      </c>
      <c r="C1" s="11" t="s">
        <v>3</v>
      </c>
      <c r="D1" s="11" t="s">
        <v>4</v>
      </c>
      <c r="E1" s="11" t="s">
        <v>5</v>
      </c>
      <c r="F1" s="11" t="s">
        <v>8</v>
      </c>
      <c r="G1" s="11" t="s">
        <v>9</v>
      </c>
      <c r="H1" s="11" t="s">
        <v>6</v>
      </c>
      <c r="I1" s="11" t="s">
        <v>7</v>
      </c>
    </row>
    <row r="2" spans="1:9">
      <c r="A2" s="4">
        <v>0.10151160583462468</v>
      </c>
      <c r="B2" s="3" t="s">
        <v>1</v>
      </c>
      <c r="C2" s="3">
        <v>0.5</v>
      </c>
      <c r="D2" s="8" t="s">
        <v>10</v>
      </c>
      <c r="E2" s="9">
        <v>0.25</v>
      </c>
      <c r="F2" s="3">
        <v>0.2</v>
      </c>
      <c r="G2" s="6">
        <v>0.14285714285714285</v>
      </c>
      <c r="H2" s="7">
        <v>0.45969769413186023</v>
      </c>
      <c r="I2" s="10">
        <f>EXP(1)-1</f>
        <v>1.7182818284590451</v>
      </c>
    </row>
    <row r="3" spans="1:9">
      <c r="A3" s="1"/>
      <c r="B3" s="3" t="s">
        <v>2</v>
      </c>
      <c r="C3" s="3">
        <v>0.5</v>
      </c>
      <c r="D3" s="3">
        <v>0.33329999999999999</v>
      </c>
      <c r="E3" s="3">
        <v>0.25</v>
      </c>
      <c r="F3" s="3">
        <v>0.2</v>
      </c>
      <c r="G3" s="6">
        <v>0.14285714322719895</v>
      </c>
      <c r="H3" s="7">
        <v>0.45969769407375149</v>
      </c>
      <c r="I3" s="10">
        <v>1.7182818284976265</v>
      </c>
    </row>
    <row r="4" spans="1:9">
      <c r="B4" s="5" t="s">
        <v>11</v>
      </c>
      <c r="C4" s="3">
        <v>0</v>
      </c>
      <c r="D4" s="3">
        <v>0</v>
      </c>
      <c r="E4" s="3">
        <v>0</v>
      </c>
      <c r="F4" s="3">
        <v>0</v>
      </c>
      <c r="G4" s="6">
        <f>G3-G2</f>
        <v>3.7005609687668084E-10</v>
      </c>
      <c r="H4" s="6">
        <f>H3-H2</f>
        <v>-5.8108740041973306E-11</v>
      </c>
      <c r="I4" s="6">
        <f>I3-I2</f>
        <v>3.8581360328748815E-11</v>
      </c>
    </row>
    <row r="5" spans="1:9">
      <c r="A5" s="4">
        <f>1/7</f>
        <v>0.14285714285714285</v>
      </c>
    </row>
    <row r="7" spans="1:9">
      <c r="A7" s="4">
        <v>0.14285714322719895</v>
      </c>
    </row>
    <row r="8" spans="1:9">
      <c r="A8" s="2"/>
    </row>
    <row r="9" spans="1:9">
      <c r="A9" s="4">
        <f>1-COS(1)</f>
        <v>0.45969769413186023</v>
      </c>
      <c r="B9" s="4">
        <v>0.10151160583462468</v>
      </c>
      <c r="C9" s="4">
        <v>8.134508756555546E-2</v>
      </c>
    </row>
    <row r="10" spans="1:9">
      <c r="A10" s="4">
        <v>0.45969769407375149</v>
      </c>
    </row>
    <row r="11" spans="1:9">
      <c r="B11" s="4">
        <f>B9+0.5</f>
        <v>0.60151160583462471</v>
      </c>
      <c r="C11" s="4">
        <f>C9+0.5</f>
        <v>0.58134508756555547</v>
      </c>
    </row>
    <row r="12" spans="1:9">
      <c r="A12" s="4">
        <f>EXP(1)-1</f>
        <v>1.7182818284590451</v>
      </c>
    </row>
    <row r="13" spans="1:9">
      <c r="A13" s="4">
        <v>1.7182818284976265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3"/>
  <sheetViews>
    <sheetView workbookViewId="0">
      <selection activeCell="D10" sqref="D10:E13"/>
    </sheetView>
  </sheetViews>
  <sheetFormatPr defaultRowHeight="13.5"/>
  <cols>
    <col min="3" max="3" width="12.875" customWidth="1"/>
    <col min="4" max="4" width="11.625" bestFit="1" customWidth="1"/>
    <col min="5" max="5" width="13.875" bestFit="1" customWidth="1"/>
    <col min="6" max="6" width="6.5" bestFit="1" customWidth="1"/>
    <col min="7" max="7" width="12.75" bestFit="1" customWidth="1"/>
    <col min="8" max="8" width="18.625" customWidth="1"/>
  </cols>
  <sheetData>
    <row r="1" spans="1:8">
      <c r="A1" t="s">
        <v>12</v>
      </c>
      <c r="B1">
        <v>3441</v>
      </c>
      <c r="D1" t="s">
        <v>16</v>
      </c>
      <c r="E1" s="12">
        <f>(LOG(B1/B2)+(B6+B3*B3/2)*(B4-B5))/(B3*SQRT(B4-B5))</f>
        <v>0.25726165943415008</v>
      </c>
      <c r="G1" t="s">
        <v>19</v>
      </c>
      <c r="H1">
        <f>(LOG(B1/B2)+(B6-B3*B3/2)*(B4-B5))/(B3*SQRT(B4-B5))</f>
        <v>0.20533573748891146</v>
      </c>
    </row>
    <row r="2" spans="1:8">
      <c r="A2" t="s">
        <v>17</v>
      </c>
      <c r="B2">
        <v>3425</v>
      </c>
    </row>
    <row r="3" spans="1:8">
      <c r="A3" t="s">
        <v>14</v>
      </c>
      <c r="B3">
        <v>0.13500000000000001</v>
      </c>
    </row>
    <row r="4" spans="1:8">
      <c r="A4" t="s">
        <v>13</v>
      </c>
      <c r="B4">
        <f>54/365</f>
        <v>0.14794520547945206</v>
      </c>
      <c r="D4" t="s">
        <v>20</v>
      </c>
      <c r="E4">
        <f>Sheet1!B11</f>
        <v>0.60151160583462471</v>
      </c>
      <c r="G4" t="s">
        <v>21</v>
      </c>
      <c r="H4">
        <f>Sheet1!C11</f>
        <v>0.58134508756555547</v>
      </c>
    </row>
    <row r="5" spans="1:8">
      <c r="A5" t="s">
        <v>18</v>
      </c>
      <c r="B5">
        <v>0</v>
      </c>
    </row>
    <row r="6" spans="1:8">
      <c r="A6" t="s">
        <v>15</v>
      </c>
      <c r="B6">
        <v>6.7500000000000004E-2</v>
      </c>
    </row>
    <row r="7" spans="1:8">
      <c r="D7" t="s">
        <v>22</v>
      </c>
      <c r="E7">
        <f>B1*E4-B2*EXP(-B6*(B4-B5))*H4</f>
        <v>98.479351463821786</v>
      </c>
    </row>
    <row r="10" spans="1:8">
      <c r="D10" s="11" t="s">
        <v>23</v>
      </c>
      <c r="E10" s="13">
        <v>0.25726165943415008</v>
      </c>
    </row>
    <row r="11" spans="1:8">
      <c r="D11" s="11" t="s">
        <v>24</v>
      </c>
      <c r="E11" s="13">
        <v>0.20533573748891146</v>
      </c>
    </row>
    <row r="12" spans="1:8">
      <c r="D12" s="11" t="s">
        <v>25</v>
      </c>
      <c r="E12" s="13">
        <v>0.60151160583462471</v>
      </c>
    </row>
    <row r="13" spans="1:8">
      <c r="D13" s="11" t="s">
        <v>26</v>
      </c>
      <c r="E13" s="13">
        <v>0.58134508756555547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2010-03-17T13:47:31Z</dcterms:modified>
</cp:coreProperties>
</file>